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360" yWindow="480" windowWidth="15480" windowHeight="7050" tabRatio="930"/>
  </bookViews>
  <sheets>
    <sheet name="Notes" sheetId="428" r:id="rId1"/>
    <sheet name="ProjectScoresTBL" sheetId="426" r:id="rId2"/>
    <sheet name="ProjectCommentsTBL" sheetId="427" r:id="rId3"/>
    <sheet name="ScheduleTBL" sheetId="54" r:id="rId4"/>
    <sheet name="Agenda" sheetId="15" state="hidden" r:id="rId5"/>
    <sheet name="187" sheetId="388" r:id="rId6"/>
    <sheet name="237" sheetId="389" r:id="rId7"/>
    <sheet name="238" sheetId="390" r:id="rId8"/>
    <sheet name="EvalDB" sheetId="5" r:id="rId9"/>
  </sheets>
  <definedNames>
    <definedName name="_xlnm._FilterDatabase" localSheetId="4" hidden="1">Agenda!$A$2:$V$157</definedName>
    <definedName name="_xlnm._FilterDatabase" localSheetId="3" hidden="1">ScheduleTBL!$A$1:$BQ$156</definedName>
  </definedNames>
  <calcPr calcId="145621"/>
  <extLst>
    <ext xmlns:x14="http://schemas.microsoft.com/office/spreadsheetml/2009/9/main" uri="{79F54976-1DA5-4618-B147-4CDE4B953A38}">
      <x14:workbookPr defaultImageDpi="96" discardImageEditData="1"/>
    </ext>
  </extLst>
</workbook>
</file>

<file path=xl/calcChain.xml><?xml version="1.0" encoding="utf-8"?>
<calcChain xmlns="http://schemas.openxmlformats.org/spreadsheetml/2006/main">
  <c r="O156" i="54" l="1"/>
  <c r="Q156" i="54" s="1"/>
  <c r="O155" i="54"/>
  <c r="Q155" i="54" s="1"/>
  <c r="O154" i="54"/>
  <c r="Q154" i="54" s="1"/>
  <c r="O153" i="54"/>
  <c r="O152" i="54"/>
  <c r="Q152" i="54" s="1"/>
  <c r="O151" i="54"/>
  <c r="Q151" i="54" s="1"/>
  <c r="O150" i="54"/>
  <c r="Q150" i="54" s="1"/>
  <c r="O149" i="54"/>
  <c r="Q149" i="54" s="1"/>
  <c r="O148" i="54"/>
  <c r="Q148" i="54" s="1"/>
  <c r="O147" i="54"/>
  <c r="Q147" i="54" s="1"/>
  <c r="O146" i="54"/>
  <c r="Q146" i="54" s="1"/>
  <c r="O145" i="54"/>
  <c r="Q145" i="54" s="1"/>
  <c r="O144" i="54"/>
  <c r="O143" i="54"/>
  <c r="Q143" i="54" s="1"/>
  <c r="O142" i="54"/>
  <c r="Q142" i="54" s="1"/>
  <c r="O141" i="54"/>
  <c r="Q141" i="54" s="1"/>
  <c r="O140" i="54"/>
  <c r="Q140" i="54" s="1"/>
  <c r="O139" i="54"/>
  <c r="Q139" i="54" s="1"/>
  <c r="O138" i="54"/>
  <c r="Q138" i="54" s="1"/>
  <c r="O137" i="54"/>
  <c r="Q137" i="54" s="1"/>
  <c r="O136" i="54"/>
  <c r="Q136" i="54" s="1"/>
  <c r="O135" i="54"/>
  <c r="Q135" i="54" s="1"/>
  <c r="O134" i="54"/>
  <c r="Q134" i="54" s="1"/>
  <c r="O133" i="54"/>
  <c r="Q133" i="54" s="1"/>
  <c r="O132" i="54"/>
  <c r="Q132" i="54" s="1"/>
  <c r="O131" i="54"/>
  <c r="Q131" i="54" s="1"/>
  <c r="O130" i="54"/>
  <c r="Q130" i="54" s="1"/>
  <c r="O129" i="54"/>
  <c r="Q129" i="54" s="1"/>
  <c r="O128" i="54"/>
  <c r="Q128" i="54" s="1"/>
  <c r="O127" i="54"/>
  <c r="Q127" i="54" s="1"/>
  <c r="O126" i="54"/>
  <c r="Q126" i="54" s="1"/>
  <c r="O125" i="54"/>
  <c r="Q125" i="54" s="1"/>
  <c r="O124" i="54"/>
  <c r="O123" i="54"/>
  <c r="Q123" i="54" s="1"/>
  <c r="O122" i="54"/>
  <c r="Q122" i="54" s="1"/>
  <c r="O121" i="54"/>
  <c r="Q121" i="54" s="1"/>
  <c r="O120" i="54"/>
  <c r="Q120" i="54" s="1"/>
  <c r="O119" i="54"/>
  <c r="Q119" i="54" s="1"/>
  <c r="O118" i="54"/>
  <c r="Q118" i="54" s="1"/>
  <c r="O117" i="54"/>
  <c r="Q117" i="54" s="1"/>
  <c r="O116" i="54"/>
  <c r="Q116" i="54" s="1"/>
  <c r="O115" i="54"/>
  <c r="Q115" i="54" s="1"/>
  <c r="O114" i="54"/>
  <c r="Q114" i="54" s="1"/>
  <c r="O113" i="54"/>
  <c r="Q113" i="54" s="1"/>
  <c r="O112" i="54"/>
  <c r="Q112" i="54" s="1"/>
  <c r="O111" i="54"/>
  <c r="Q111" i="54" s="1"/>
  <c r="O110" i="54"/>
  <c r="Q110" i="54" s="1"/>
  <c r="O109" i="54"/>
  <c r="Q109" i="54" s="1"/>
  <c r="O108" i="54"/>
  <c r="O107" i="54"/>
  <c r="Q107" i="54" s="1"/>
  <c r="O106" i="54"/>
  <c r="Q106" i="54"/>
  <c r="O105" i="54"/>
  <c r="Q105" i="54" s="1"/>
  <c r="O104" i="54"/>
  <c r="Q104" i="54" s="1"/>
  <c r="O103" i="54"/>
  <c r="Q103" i="54" s="1"/>
  <c r="O102" i="54"/>
  <c r="Q102" i="54" s="1"/>
  <c r="O101" i="54"/>
  <c r="Q101" i="54" s="1"/>
  <c r="O100" i="54"/>
  <c r="Q100" i="54" s="1"/>
  <c r="O99" i="54"/>
  <c r="Q99" i="54" s="1"/>
  <c r="O98" i="54"/>
  <c r="Q98" i="54" s="1"/>
  <c r="O97" i="54"/>
  <c r="Q97" i="54" s="1"/>
  <c r="O96" i="54"/>
  <c r="Q96" i="54" s="1"/>
  <c r="O95" i="54"/>
  <c r="Q95" i="54" s="1"/>
  <c r="O94" i="54"/>
  <c r="Q94" i="54" s="1"/>
  <c r="O93" i="54"/>
  <c r="Q93" i="54" s="1"/>
  <c r="O92" i="54"/>
  <c r="Q92" i="54" s="1"/>
  <c r="O91" i="54"/>
  <c r="Q91" i="54" s="1"/>
  <c r="O90" i="54"/>
  <c r="Q90" i="54" s="1"/>
  <c r="O89" i="54"/>
  <c r="Q89" i="54"/>
  <c r="O88" i="54"/>
  <c r="Q88" i="54" s="1"/>
  <c r="O87" i="54"/>
  <c r="Q87" i="54" s="1"/>
  <c r="O86" i="54"/>
  <c r="Q86" i="54" s="1"/>
  <c r="O85" i="54"/>
  <c r="Q85" i="54" s="1"/>
  <c r="O84" i="54"/>
  <c r="O83" i="54"/>
  <c r="Q83" i="54" s="1"/>
  <c r="O82" i="54"/>
  <c r="Q82" i="54" s="1"/>
  <c r="O81" i="54"/>
  <c r="Q81" i="54" s="1"/>
  <c r="O80" i="54"/>
  <c r="Q80" i="54" s="1"/>
  <c r="O79" i="54"/>
  <c r="Q79" i="54" s="1"/>
  <c r="O78" i="54"/>
  <c r="Q78" i="54" s="1"/>
  <c r="O77" i="54"/>
  <c r="Q77" i="54" s="1"/>
  <c r="O76" i="54"/>
  <c r="Q76" i="54" s="1"/>
  <c r="O75" i="54"/>
  <c r="Q75" i="54" s="1"/>
  <c r="O74" i="54"/>
  <c r="Q74" i="54" s="1"/>
  <c r="O73" i="54"/>
  <c r="Q73" i="54" s="1"/>
  <c r="O72" i="54"/>
  <c r="Q72" i="54" s="1"/>
  <c r="O71" i="54"/>
  <c r="Q71" i="54" s="1"/>
  <c r="O70" i="54"/>
  <c r="Q70" i="54" s="1"/>
  <c r="O69" i="54"/>
  <c r="Q69" i="54" s="1"/>
  <c r="O68" i="54"/>
  <c r="Q68" i="54" s="1"/>
  <c r="O67" i="54"/>
  <c r="Q67" i="54" s="1"/>
  <c r="O66" i="54"/>
  <c r="Q66" i="54"/>
  <c r="O65" i="54"/>
  <c r="Q65" i="54" s="1"/>
  <c r="O64" i="54"/>
  <c r="Q64" i="54" s="1"/>
  <c r="O63" i="54"/>
  <c r="Q63" i="54" s="1"/>
  <c r="O62" i="54"/>
  <c r="Q62" i="54" s="1"/>
  <c r="O61" i="54"/>
  <c r="Q61" i="54" s="1"/>
  <c r="O60" i="54"/>
  <c r="Q60" i="54" s="1"/>
  <c r="O59" i="54"/>
  <c r="Q59" i="54"/>
  <c r="O58" i="54"/>
  <c r="Q58" i="54" s="1"/>
  <c r="O57" i="54"/>
  <c r="Q57" i="54" s="1"/>
  <c r="O56" i="54"/>
  <c r="Q56" i="54" s="1"/>
  <c r="O54" i="54"/>
  <c r="Q54" i="54" s="1"/>
  <c r="O53" i="54"/>
  <c r="Q53" i="54" s="1"/>
  <c r="O52" i="54"/>
  <c r="Q52" i="54" s="1"/>
  <c r="O51" i="54"/>
  <c r="Q51" i="54" s="1"/>
  <c r="O50" i="54"/>
  <c r="Q50" i="54" s="1"/>
  <c r="O49" i="54"/>
  <c r="Q49" i="54" s="1"/>
  <c r="O48" i="54"/>
  <c r="Q48" i="54" s="1"/>
  <c r="O47" i="54"/>
  <c r="O46" i="54"/>
  <c r="Q46" i="54" s="1"/>
  <c r="O45" i="54"/>
  <c r="Q45" i="54" s="1"/>
  <c r="O44" i="54"/>
  <c r="Q44" i="54" s="1"/>
  <c r="O43" i="54"/>
  <c r="O42" i="54"/>
  <c r="Q42" i="54" s="1"/>
  <c r="O41" i="54"/>
  <c r="Q41" i="54" s="1"/>
  <c r="O40" i="54"/>
  <c r="Q40" i="54" s="1"/>
  <c r="O39" i="54"/>
  <c r="Q39" i="54" s="1"/>
  <c r="O38" i="54"/>
  <c r="Q38" i="54" s="1"/>
  <c r="O37" i="54"/>
  <c r="Q37" i="54" s="1"/>
  <c r="O36" i="54"/>
  <c r="Q36" i="54" s="1"/>
  <c r="O35" i="54"/>
  <c r="Q35" i="54"/>
  <c r="O34" i="54"/>
  <c r="Q34" i="54" s="1"/>
  <c r="O33" i="54"/>
  <c r="Q33" i="54" s="1"/>
  <c r="O32" i="54"/>
  <c r="Q32" i="54" s="1"/>
  <c r="O31" i="54"/>
  <c r="Q31" i="54" s="1"/>
  <c r="O30" i="54"/>
  <c r="Q30" i="54" s="1"/>
  <c r="O29" i="54"/>
  <c r="Q29" i="54" s="1"/>
  <c r="O28" i="54"/>
  <c r="Q28" i="54" s="1"/>
  <c r="O27" i="54"/>
  <c r="Q27" i="54" s="1"/>
  <c r="O26" i="54"/>
  <c r="Q26" i="54" s="1"/>
  <c r="O25" i="54"/>
  <c r="Q25" i="54" s="1"/>
  <c r="O24" i="54"/>
  <c r="Q24" i="54"/>
  <c r="O23" i="54"/>
  <c r="Q23" i="54" s="1"/>
  <c r="O22" i="54"/>
  <c r="Q22" i="54" s="1"/>
  <c r="O21" i="54"/>
  <c r="Q21" i="54" s="1"/>
  <c r="O20" i="54"/>
  <c r="Q20" i="54" s="1"/>
  <c r="O19" i="54"/>
  <c r="Q19" i="54" s="1"/>
  <c r="O18" i="54"/>
  <c r="Q18" i="54" s="1"/>
  <c r="O17" i="54"/>
  <c r="Q17" i="54" s="1"/>
  <c r="O16" i="54"/>
  <c r="Q16" i="54" s="1"/>
  <c r="O15" i="54"/>
  <c r="Q15" i="54" s="1"/>
  <c r="O14" i="54"/>
  <c r="Q14" i="54" s="1"/>
  <c r="O13" i="54"/>
  <c r="Q13" i="54" s="1"/>
  <c r="O12" i="54"/>
  <c r="Q12" i="54" s="1"/>
  <c r="O11" i="54"/>
  <c r="Q11" i="54" s="1"/>
  <c r="O10" i="54"/>
  <c r="Q10" i="54" s="1"/>
  <c r="Q84" i="54"/>
  <c r="O55" i="54"/>
  <c r="Q55" i="54" s="1"/>
  <c r="R156" i="54"/>
  <c r="R155" i="54"/>
  <c r="R154" i="54"/>
  <c r="R153" i="54"/>
  <c r="R152" i="54"/>
  <c r="R151" i="54"/>
  <c r="R150" i="54"/>
  <c r="R149" i="54"/>
  <c r="R148" i="54"/>
  <c r="R147" i="54"/>
  <c r="R146" i="54"/>
  <c r="R145" i="54"/>
  <c r="R144" i="54"/>
  <c r="Q144" i="54"/>
  <c r="R143" i="54"/>
  <c r="R142" i="54"/>
  <c r="R141" i="54"/>
  <c r="R140" i="54"/>
  <c r="R139" i="54"/>
  <c r="R138" i="54"/>
  <c r="R137" i="54"/>
  <c r="R136" i="54"/>
  <c r="R135" i="54"/>
  <c r="R134" i="54"/>
  <c r="R133" i="54"/>
  <c r="R132" i="54"/>
  <c r="R131" i="54"/>
  <c r="R130" i="54"/>
  <c r="R129" i="54"/>
  <c r="R128" i="54"/>
  <c r="R127" i="54"/>
  <c r="R126" i="54"/>
  <c r="R125" i="54"/>
  <c r="R124" i="54"/>
  <c r="R123" i="54"/>
  <c r="R122" i="54"/>
  <c r="R121" i="54"/>
  <c r="R120" i="54"/>
  <c r="R119" i="54"/>
  <c r="R118" i="54"/>
  <c r="R117" i="54"/>
  <c r="R116" i="54"/>
  <c r="R115" i="54"/>
  <c r="R114" i="54"/>
  <c r="R113" i="54"/>
  <c r="R112" i="54"/>
  <c r="R111" i="54"/>
  <c r="R110" i="54"/>
  <c r="R109" i="54"/>
  <c r="R108" i="54"/>
  <c r="R107" i="54"/>
  <c r="R106" i="54"/>
  <c r="R105" i="54"/>
  <c r="R104" i="54"/>
  <c r="R103" i="54"/>
  <c r="R102" i="54"/>
  <c r="R101" i="54"/>
  <c r="R100" i="54"/>
  <c r="R99" i="54"/>
  <c r="R98" i="54"/>
  <c r="R97" i="54"/>
  <c r="R96" i="54"/>
  <c r="R95" i="54"/>
  <c r="R94" i="54"/>
  <c r="R93" i="54"/>
  <c r="R92" i="54"/>
  <c r="R91" i="54"/>
  <c r="R90" i="54"/>
  <c r="R89" i="54"/>
  <c r="R88" i="54"/>
  <c r="R87" i="54"/>
  <c r="R86" i="54"/>
  <c r="R85" i="54"/>
  <c r="R84" i="54"/>
  <c r="R83" i="54"/>
  <c r="R82" i="54"/>
  <c r="R81" i="54"/>
  <c r="R80" i="54"/>
  <c r="R79" i="54"/>
  <c r="R78" i="54"/>
  <c r="R77" i="54"/>
  <c r="R76" i="54"/>
  <c r="R75" i="54"/>
  <c r="R74" i="54"/>
  <c r="R73" i="54"/>
  <c r="R72" i="54"/>
  <c r="R71" i="54"/>
  <c r="R70" i="54"/>
  <c r="R69" i="54"/>
  <c r="R68" i="54"/>
  <c r="R67" i="54"/>
  <c r="R66" i="54"/>
  <c r="R65" i="54"/>
  <c r="R64" i="54"/>
  <c r="R63" i="54"/>
  <c r="R62" i="54"/>
  <c r="R61" i="54"/>
  <c r="R60" i="54"/>
  <c r="R59" i="54"/>
  <c r="R58" i="54"/>
  <c r="R57" i="54"/>
  <c r="R56" i="54"/>
  <c r="R55" i="54"/>
  <c r="R54" i="54"/>
  <c r="R53" i="54"/>
  <c r="R52" i="54"/>
  <c r="R51" i="54"/>
  <c r="R50" i="54"/>
  <c r="R49" i="54"/>
  <c r="R48" i="54"/>
  <c r="R47" i="54"/>
  <c r="R46" i="54"/>
  <c r="R45" i="54"/>
  <c r="R44" i="54"/>
  <c r="R43" i="54"/>
  <c r="R42" i="54"/>
  <c r="R41" i="54"/>
  <c r="R40" i="54"/>
  <c r="R39" i="54"/>
  <c r="R38" i="54"/>
  <c r="R37" i="54"/>
  <c r="R36" i="54"/>
  <c r="R35" i="54"/>
  <c r="R34" i="54"/>
  <c r="R33" i="54"/>
  <c r="R32" i="54"/>
  <c r="R31" i="54"/>
  <c r="R30" i="54"/>
  <c r="R29" i="54"/>
  <c r="R28" i="54"/>
  <c r="R27" i="54"/>
  <c r="R26" i="54"/>
  <c r="R25" i="54"/>
  <c r="R24" i="54"/>
  <c r="R23" i="54"/>
  <c r="R22" i="54"/>
  <c r="R21" i="54"/>
  <c r="R20" i="54"/>
  <c r="R19" i="54"/>
  <c r="R18" i="54"/>
  <c r="R17" i="54"/>
  <c r="R16" i="54"/>
  <c r="R15" i="54"/>
  <c r="R14" i="54"/>
  <c r="R13" i="54"/>
  <c r="R12" i="54"/>
  <c r="R11" i="54"/>
  <c r="Q153" i="54"/>
  <c r="Q124" i="54"/>
  <c r="Q108" i="54"/>
  <c r="Q47" i="54"/>
  <c r="Q43" i="54"/>
  <c r="I130" i="5"/>
  <c r="AB130" i="5"/>
  <c r="AU130" i="5"/>
  <c r="BN130" i="5"/>
  <c r="CG130" i="5"/>
  <c r="CZ130" i="5"/>
  <c r="CZ131" i="5"/>
  <c r="CZ132" i="5"/>
  <c r="CG131" i="5"/>
  <c r="CG132" i="5"/>
  <c r="BN131" i="5"/>
  <c r="BN132" i="5"/>
  <c r="AU131" i="5"/>
  <c r="AU132" i="5"/>
  <c r="AB131" i="5"/>
  <c r="AB132" i="5"/>
  <c r="I131" i="5"/>
  <c r="I132" i="5"/>
  <c r="I124" i="5"/>
  <c r="AB124" i="5"/>
  <c r="AU124" i="5"/>
  <c r="BN124" i="5"/>
  <c r="CG124" i="5"/>
  <c r="CZ124" i="5"/>
  <c r="CZ125" i="5"/>
  <c r="CG125" i="5"/>
  <c r="BN125" i="5"/>
  <c r="AU125" i="5"/>
  <c r="AB125" i="5"/>
  <c r="I125" i="5"/>
  <c r="I107" i="5"/>
  <c r="AB107" i="5"/>
  <c r="AU107" i="5"/>
  <c r="BN107" i="5"/>
  <c r="CG107" i="5"/>
  <c r="CZ107" i="5"/>
  <c r="CZ108" i="5"/>
  <c r="CZ110" i="5"/>
  <c r="CZ111" i="5"/>
  <c r="CZ113" i="5"/>
  <c r="CZ115" i="5"/>
  <c r="CZ116" i="5"/>
  <c r="CZ117" i="5"/>
  <c r="CZ118" i="5"/>
  <c r="CZ122" i="5"/>
  <c r="CG108" i="5"/>
  <c r="CG110" i="5"/>
  <c r="CG111" i="5"/>
  <c r="CG113" i="5"/>
  <c r="CG115" i="5"/>
  <c r="CG116" i="5"/>
  <c r="CG117" i="5"/>
  <c r="CG118" i="5"/>
  <c r="CG122" i="5"/>
  <c r="BN108" i="5"/>
  <c r="BN110" i="5"/>
  <c r="BN111" i="5"/>
  <c r="BN113" i="5"/>
  <c r="BN115" i="5"/>
  <c r="BN116" i="5"/>
  <c r="BN117" i="5"/>
  <c r="BN118" i="5"/>
  <c r="BN122" i="5"/>
  <c r="AU108" i="5"/>
  <c r="AU110" i="5"/>
  <c r="AU111" i="5"/>
  <c r="AU113" i="5"/>
  <c r="AU115" i="5"/>
  <c r="AU116" i="5"/>
  <c r="AU117" i="5"/>
  <c r="AU118" i="5"/>
  <c r="AU122" i="5"/>
  <c r="AB108" i="5"/>
  <c r="AB110" i="5"/>
  <c r="AB111" i="5"/>
  <c r="AB113" i="5"/>
  <c r="AB115" i="5"/>
  <c r="AB116" i="5"/>
  <c r="AB117" i="5"/>
  <c r="AB118" i="5"/>
  <c r="AB122" i="5"/>
  <c r="I108" i="5"/>
  <c r="I110" i="5"/>
  <c r="I111" i="5"/>
  <c r="I113" i="5"/>
  <c r="I115" i="5"/>
  <c r="I116" i="5"/>
  <c r="I117" i="5"/>
  <c r="I118" i="5"/>
  <c r="I122" i="5"/>
  <c r="I82" i="5"/>
  <c r="AB82" i="5"/>
  <c r="AU82" i="5"/>
  <c r="BN82" i="5"/>
  <c r="CG82" i="5"/>
  <c r="CZ82" i="5"/>
  <c r="CZ83" i="5"/>
  <c r="CZ84" i="5"/>
  <c r="CZ88" i="5"/>
  <c r="CZ89" i="5"/>
  <c r="CZ90" i="5"/>
  <c r="CZ93" i="5"/>
  <c r="CZ94" i="5"/>
  <c r="CZ95" i="5"/>
  <c r="CZ96" i="5"/>
  <c r="CZ103" i="5"/>
  <c r="CZ104" i="5"/>
  <c r="CZ105" i="5"/>
  <c r="CG83" i="5"/>
  <c r="CG84" i="5"/>
  <c r="CG88" i="5"/>
  <c r="CG89" i="5"/>
  <c r="CG90" i="5"/>
  <c r="CG93" i="5"/>
  <c r="CG94" i="5"/>
  <c r="CG95" i="5"/>
  <c r="CG96" i="5"/>
  <c r="CG103" i="5"/>
  <c r="CG104" i="5"/>
  <c r="CG105" i="5"/>
  <c r="BN83" i="5"/>
  <c r="BN84" i="5"/>
  <c r="BN88" i="5"/>
  <c r="BN89" i="5"/>
  <c r="BN90" i="5"/>
  <c r="BN93" i="5"/>
  <c r="BN94" i="5"/>
  <c r="BN95" i="5"/>
  <c r="BN96" i="5"/>
  <c r="BN103" i="5"/>
  <c r="BN104" i="5"/>
  <c r="BN105" i="5"/>
  <c r="AU83" i="5"/>
  <c r="AU84" i="5"/>
  <c r="AU88" i="5"/>
  <c r="AU89" i="5"/>
  <c r="AU90" i="5"/>
  <c r="AU93" i="5"/>
  <c r="AU94" i="5"/>
  <c r="AU95" i="5"/>
  <c r="AU96" i="5"/>
  <c r="AU103" i="5"/>
  <c r="AU104" i="5"/>
  <c r="AU105" i="5"/>
  <c r="AB83" i="5"/>
  <c r="AB84" i="5"/>
  <c r="AB88" i="5"/>
  <c r="AB89" i="5"/>
  <c r="AB90" i="5"/>
  <c r="AB93" i="5"/>
  <c r="AB94" i="5"/>
  <c r="AB95" i="5"/>
  <c r="AB96" i="5"/>
  <c r="AB103" i="5"/>
  <c r="AB104" i="5"/>
  <c r="AB105" i="5"/>
  <c r="I83" i="5"/>
  <c r="I84" i="5"/>
  <c r="I88" i="5"/>
  <c r="I89" i="5"/>
  <c r="I90" i="5"/>
  <c r="I93" i="5"/>
  <c r="I94" i="5"/>
  <c r="I95" i="5"/>
  <c r="I96" i="5"/>
  <c r="I103" i="5"/>
  <c r="I104" i="5"/>
  <c r="I105" i="5"/>
  <c r="L4" i="15"/>
  <c r="K4" i="15"/>
  <c r="H4" i="15"/>
  <c r="E4" i="15"/>
  <c r="D4" i="15"/>
  <c r="C4" i="15"/>
  <c r="A4" i="15"/>
  <c r="J4" i="15" s="1"/>
  <c r="L3" i="15"/>
  <c r="K3" i="15"/>
  <c r="H3" i="15"/>
  <c r="F3" i="15"/>
  <c r="E3" i="15"/>
  <c r="D3" i="15"/>
  <c r="C3" i="15"/>
  <c r="A3" i="15"/>
  <c r="J3" i="15"/>
  <c r="D5" i="15"/>
  <c r="D6" i="15"/>
  <c r="D7" i="15"/>
  <c r="D8" i="15"/>
  <c r="L157" i="15"/>
  <c r="K157" i="15"/>
  <c r="L156" i="15"/>
  <c r="K156" i="15"/>
  <c r="L155" i="15"/>
  <c r="K155" i="15"/>
  <c r="L154" i="15"/>
  <c r="K154" i="15"/>
  <c r="L153" i="15"/>
  <c r="K153" i="15"/>
  <c r="L152" i="15"/>
  <c r="K152" i="15"/>
  <c r="L151" i="15"/>
  <c r="K151" i="15"/>
  <c r="L150" i="15"/>
  <c r="K150" i="15"/>
  <c r="L147" i="15"/>
  <c r="K147" i="15"/>
  <c r="L146" i="15"/>
  <c r="K146" i="15"/>
  <c r="L141" i="15"/>
  <c r="K141" i="15"/>
  <c r="L140" i="15"/>
  <c r="K140" i="15"/>
  <c r="L135" i="15"/>
  <c r="K135" i="15"/>
  <c r="L134" i="15"/>
  <c r="K134" i="15"/>
  <c r="K130" i="15"/>
  <c r="L129" i="15"/>
  <c r="K129" i="15"/>
  <c r="L128" i="15"/>
  <c r="K128" i="15"/>
  <c r="L127" i="15"/>
  <c r="K127" i="15"/>
  <c r="K124" i="15"/>
  <c r="L122" i="15"/>
  <c r="K122" i="15"/>
  <c r="L121" i="15"/>
  <c r="K121" i="15"/>
  <c r="L120" i="15"/>
  <c r="K120" i="15"/>
  <c r="L115" i="15"/>
  <c r="K115" i="15"/>
  <c r="L113" i="15"/>
  <c r="K113" i="15"/>
  <c r="L110" i="15"/>
  <c r="K110" i="15"/>
  <c r="K107" i="15"/>
  <c r="L103" i="15"/>
  <c r="K103" i="15"/>
  <c r="L102" i="15"/>
  <c r="K102" i="15"/>
  <c r="L101" i="15"/>
  <c r="K101" i="15"/>
  <c r="L100" i="15"/>
  <c r="K100" i="15"/>
  <c r="L99" i="15"/>
  <c r="K99" i="15"/>
  <c r="L98" i="15"/>
  <c r="K98" i="15"/>
  <c r="L93" i="15"/>
  <c r="K93" i="15"/>
  <c r="L92" i="15"/>
  <c r="K92" i="15"/>
  <c r="L88" i="15"/>
  <c r="K88" i="15"/>
  <c r="L87" i="15"/>
  <c r="K87" i="15"/>
  <c r="L86" i="15"/>
  <c r="K86" i="15"/>
  <c r="K82" i="15"/>
  <c r="L81" i="15"/>
  <c r="K81" i="15"/>
  <c r="K80" i="15"/>
  <c r="L79" i="15"/>
  <c r="K79" i="15"/>
  <c r="K78" i="15"/>
  <c r="K77" i="15"/>
  <c r="L76" i="15"/>
  <c r="K76" i="15"/>
  <c r="L75" i="15"/>
  <c r="K75" i="15"/>
  <c r="L74" i="15"/>
  <c r="K74" i="15"/>
  <c r="L73" i="15"/>
  <c r="K73" i="15"/>
  <c r="L72" i="15"/>
  <c r="K72" i="15"/>
  <c r="L71" i="15"/>
  <c r="K71" i="15"/>
  <c r="L70" i="15"/>
  <c r="K70" i="15"/>
  <c r="L69" i="15"/>
  <c r="K69" i="15"/>
  <c r="L68" i="15"/>
  <c r="K68" i="15"/>
  <c r="L67" i="15"/>
  <c r="K67" i="15"/>
  <c r="L66" i="15"/>
  <c r="K66" i="15"/>
  <c r="L65" i="15"/>
  <c r="K65" i="15"/>
  <c r="L64" i="15"/>
  <c r="K64" i="15"/>
  <c r="L63" i="15"/>
  <c r="K63" i="15"/>
  <c r="L62" i="15"/>
  <c r="K62" i="15"/>
  <c r="L61" i="15"/>
  <c r="K61" i="15"/>
  <c r="L60" i="15"/>
  <c r="K60" i="15"/>
  <c r="L59" i="15"/>
  <c r="K59" i="15"/>
  <c r="L58" i="15"/>
  <c r="K58" i="15"/>
  <c r="L54" i="15"/>
  <c r="K54" i="15"/>
  <c r="L53" i="15"/>
  <c r="K53" i="15"/>
  <c r="L47" i="15"/>
  <c r="K47" i="15"/>
  <c r="L46" i="15"/>
  <c r="K46" i="15"/>
  <c r="L45" i="15"/>
  <c r="K45" i="15"/>
  <c r="K41" i="15"/>
  <c r="L40" i="15"/>
  <c r="K40" i="15"/>
  <c r="L36" i="15"/>
  <c r="K36" i="15"/>
  <c r="L35" i="15"/>
  <c r="K35" i="15"/>
  <c r="L34" i="15"/>
  <c r="K34" i="15"/>
  <c r="L33" i="15"/>
  <c r="K33" i="15"/>
  <c r="L32" i="15"/>
  <c r="K32" i="15"/>
  <c r="L31" i="15"/>
  <c r="K31" i="15"/>
  <c r="L27" i="15"/>
  <c r="K27" i="15"/>
  <c r="L26" i="15"/>
  <c r="K26" i="15"/>
  <c r="K22" i="15"/>
  <c r="L19" i="15"/>
  <c r="K19" i="15"/>
  <c r="L18" i="15"/>
  <c r="K18" i="15"/>
  <c r="L17" i="15"/>
  <c r="K17" i="15"/>
  <c r="K14" i="15"/>
  <c r="K12" i="15"/>
  <c r="L11" i="15"/>
  <c r="K11" i="15"/>
  <c r="K10" i="15"/>
  <c r="L9" i="15"/>
  <c r="K9" i="15"/>
  <c r="K8" i="15"/>
  <c r="K7" i="15"/>
  <c r="L6" i="15"/>
  <c r="K6" i="15"/>
  <c r="L5" i="15"/>
  <c r="K5" i="15"/>
  <c r="AN129" i="54"/>
  <c r="L130" i="15"/>
  <c r="AN123" i="54"/>
  <c r="L124" i="15"/>
  <c r="AN106" i="54"/>
  <c r="L107" i="15"/>
  <c r="AN81" i="54"/>
  <c r="L82" i="15"/>
  <c r="AN79" i="54"/>
  <c r="L80" i="15"/>
  <c r="AN77" i="54"/>
  <c r="L78" i="15"/>
  <c r="AN76" i="54"/>
  <c r="L77" i="15"/>
  <c r="AN40" i="54"/>
  <c r="L41" i="15"/>
  <c r="AN21" i="54"/>
  <c r="L22" i="15"/>
  <c r="AN13" i="54"/>
  <c r="L14" i="15"/>
  <c r="AN11" i="54"/>
  <c r="L12" i="15"/>
  <c r="AN9" i="54"/>
  <c r="L10" i="15"/>
  <c r="AN7" i="54"/>
  <c r="L8" i="15"/>
  <c r="AN6" i="54"/>
  <c r="L7" i="15"/>
  <c r="AN148" i="54"/>
  <c r="L149" i="15"/>
  <c r="AM148" i="54"/>
  <c r="K149" i="15"/>
  <c r="AN147" i="54"/>
  <c r="L148" i="15"/>
  <c r="AM147" i="54"/>
  <c r="K148" i="15"/>
  <c r="AN144" i="54"/>
  <c r="L145" i="15"/>
  <c r="AM144" i="54"/>
  <c r="K145" i="15"/>
  <c r="AN143" i="54"/>
  <c r="L144" i="15"/>
  <c r="AM143" i="54"/>
  <c r="K144" i="15"/>
  <c r="AN142" i="54"/>
  <c r="L143" i="15"/>
  <c r="AM142" i="54"/>
  <c r="K143" i="15"/>
  <c r="AN141" i="54"/>
  <c r="L142" i="15"/>
  <c r="AM141" i="54"/>
  <c r="K142" i="15"/>
  <c r="AN138" i="54"/>
  <c r="L139" i="15"/>
  <c r="AM138" i="54"/>
  <c r="K139" i="15"/>
  <c r="AN137" i="54"/>
  <c r="L138" i="15"/>
  <c r="AM137" i="54"/>
  <c r="K138" i="15"/>
  <c r="AN136" i="54"/>
  <c r="L137" i="15"/>
  <c r="AM136" i="54"/>
  <c r="K137" i="15"/>
  <c r="AN135" i="54"/>
  <c r="L136" i="15"/>
  <c r="AM135" i="54"/>
  <c r="K136" i="15"/>
  <c r="AN132" i="54"/>
  <c r="L133" i="15"/>
  <c r="AM132" i="54"/>
  <c r="K133" i="15"/>
  <c r="AN131" i="54"/>
  <c r="L132" i="15"/>
  <c r="AM131" i="54"/>
  <c r="K132" i="15"/>
  <c r="AN130" i="54"/>
  <c r="L131" i="15"/>
  <c r="AM130" i="54"/>
  <c r="K131" i="15"/>
  <c r="AN125" i="54"/>
  <c r="L126" i="15"/>
  <c r="AM125" i="54"/>
  <c r="K126" i="15"/>
  <c r="AN124" i="54"/>
  <c r="L125" i="15"/>
  <c r="AM124" i="54"/>
  <c r="K125" i="15"/>
  <c r="AN122" i="54"/>
  <c r="L123" i="15"/>
  <c r="AM122" i="54"/>
  <c r="K123" i="15"/>
  <c r="AN118" i="54"/>
  <c r="AM118" i="54"/>
  <c r="AN117" i="54"/>
  <c r="AM117" i="54"/>
  <c r="AN116" i="54"/>
  <c r="L117" i="15"/>
  <c r="AM116" i="54"/>
  <c r="K117" i="15"/>
  <c r="AN115" i="54"/>
  <c r="L116" i="15"/>
  <c r="AM115" i="54"/>
  <c r="K116" i="15"/>
  <c r="AN113" i="54"/>
  <c r="L114" i="15"/>
  <c r="AM113" i="54"/>
  <c r="K114" i="15"/>
  <c r="AN111" i="54"/>
  <c r="L112" i="15"/>
  <c r="AM111" i="54"/>
  <c r="K112" i="15"/>
  <c r="AN110" i="54"/>
  <c r="L111" i="15"/>
  <c r="AM110" i="54"/>
  <c r="K111" i="15"/>
  <c r="AN108" i="54"/>
  <c r="L109" i="15"/>
  <c r="AM108" i="54"/>
  <c r="K109" i="15"/>
  <c r="AN107" i="54"/>
  <c r="L108" i="15"/>
  <c r="AM107" i="54"/>
  <c r="K108" i="15"/>
  <c r="AN105" i="54"/>
  <c r="L106" i="15"/>
  <c r="AM105" i="54"/>
  <c r="K106" i="15"/>
  <c r="AN104" i="54"/>
  <c r="L105" i="15"/>
  <c r="AM104" i="54"/>
  <c r="K105" i="15"/>
  <c r="AN103" i="54"/>
  <c r="L104" i="15"/>
  <c r="AM103" i="54"/>
  <c r="K104" i="15"/>
  <c r="AN96" i="54"/>
  <c r="L97" i="15"/>
  <c r="AM96" i="54"/>
  <c r="K97" i="15"/>
  <c r="AN95" i="54"/>
  <c r="L96" i="15"/>
  <c r="AM95" i="54"/>
  <c r="K96" i="15"/>
  <c r="AN94" i="54"/>
  <c r="L95" i="15"/>
  <c r="AM94" i="54"/>
  <c r="K95" i="15"/>
  <c r="AN93" i="54"/>
  <c r="L94" i="15"/>
  <c r="AM93" i="54"/>
  <c r="K94" i="15"/>
  <c r="AN90" i="54"/>
  <c r="L91" i="15"/>
  <c r="AM90" i="54"/>
  <c r="K91" i="15"/>
  <c r="AN89" i="54"/>
  <c r="L90" i="15"/>
  <c r="AM89" i="54"/>
  <c r="K90" i="15"/>
  <c r="AN88" i="54"/>
  <c r="L89" i="15"/>
  <c r="AM88" i="54"/>
  <c r="K89" i="15"/>
  <c r="AN84" i="54"/>
  <c r="L85" i="15"/>
  <c r="AM84" i="54"/>
  <c r="K85" i="15"/>
  <c r="AN83" i="54"/>
  <c r="L84" i="15"/>
  <c r="AM83" i="54"/>
  <c r="K84" i="15"/>
  <c r="AN82" i="54"/>
  <c r="L83" i="15"/>
  <c r="AM82" i="54"/>
  <c r="K83" i="15"/>
  <c r="AN56" i="54"/>
  <c r="L57" i="15"/>
  <c r="AM56" i="54"/>
  <c r="K57" i="15"/>
  <c r="AN55" i="54"/>
  <c r="AM55" i="54"/>
  <c r="K56" i="15"/>
  <c r="AN54" i="54"/>
  <c r="AM54" i="54"/>
  <c r="K55" i="15"/>
  <c r="AN51" i="54"/>
  <c r="L52" i="15"/>
  <c r="AM51" i="54"/>
  <c r="K52" i="15"/>
  <c r="AN50" i="54"/>
  <c r="L51" i="15"/>
  <c r="AM50" i="54"/>
  <c r="K51" i="15"/>
  <c r="AN49" i="54"/>
  <c r="L50" i="15"/>
  <c r="AM49" i="54"/>
  <c r="K50" i="15"/>
  <c r="AN48" i="54"/>
  <c r="AM48" i="54"/>
  <c r="K49" i="15"/>
  <c r="AN47" i="54"/>
  <c r="L48" i="15"/>
  <c r="AM47" i="54"/>
  <c r="K48" i="15"/>
  <c r="AN43" i="54"/>
  <c r="AM43" i="54"/>
  <c r="K44" i="15"/>
  <c r="AN42" i="54"/>
  <c r="AM42" i="54"/>
  <c r="K43" i="15"/>
  <c r="AN41" i="54"/>
  <c r="AM41" i="54"/>
  <c r="K42" i="15"/>
  <c r="AN38" i="54"/>
  <c r="L39" i="15"/>
  <c r="AM38" i="54"/>
  <c r="K39" i="15"/>
  <c r="AN37" i="54"/>
  <c r="L38" i="15"/>
  <c r="AM37" i="54"/>
  <c r="K38" i="15"/>
  <c r="AN36" i="54"/>
  <c r="L37" i="15"/>
  <c r="AM36" i="54"/>
  <c r="K37" i="15"/>
  <c r="AN29" i="54"/>
  <c r="L30" i="15"/>
  <c r="AM29" i="54"/>
  <c r="K30" i="15"/>
  <c r="AN28" i="54"/>
  <c r="L29" i="15"/>
  <c r="AM28" i="54"/>
  <c r="K29" i="15"/>
  <c r="AN27" i="54"/>
  <c r="AM27" i="54"/>
  <c r="K28" i="15"/>
  <c r="AN24" i="54"/>
  <c r="AM24" i="54"/>
  <c r="K25" i="15"/>
  <c r="AN23" i="54"/>
  <c r="L24" i="15"/>
  <c r="AM23" i="54"/>
  <c r="AN22" i="54"/>
  <c r="L23" i="15"/>
  <c r="AM22" i="54"/>
  <c r="K23" i="15"/>
  <c r="AN20" i="54"/>
  <c r="L21" i="15"/>
  <c r="AM20" i="54"/>
  <c r="K21" i="15"/>
  <c r="AN19" i="54"/>
  <c r="L20" i="15"/>
  <c r="AM19" i="54"/>
  <c r="K20" i="15"/>
  <c r="AN15" i="54"/>
  <c r="L16" i="15"/>
  <c r="AM15" i="54"/>
  <c r="K16" i="15"/>
  <c r="AN14" i="54"/>
  <c r="L15" i="15"/>
  <c r="AM14" i="54"/>
  <c r="K15"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5" i="15"/>
  <c r="H114" i="15"/>
  <c r="H113" i="15"/>
  <c r="H112" i="15"/>
  <c r="H111" i="15"/>
  <c r="H110" i="15"/>
  <c r="H109" i="15"/>
  <c r="H108" i="15"/>
  <c r="H107" i="15"/>
  <c r="H106" i="15"/>
  <c r="H105" i="15"/>
  <c r="H104" i="15"/>
  <c r="H103" i="15"/>
  <c r="H102" i="15"/>
  <c r="H101" i="15"/>
  <c r="H100" i="15"/>
  <c r="H99" i="15"/>
  <c r="H98" i="15"/>
  <c r="H97" i="15"/>
  <c r="H96" i="15"/>
  <c r="H95" i="15"/>
  <c r="H94" i="15"/>
  <c r="H93" i="15"/>
  <c r="H92" i="15"/>
  <c r="H91" i="15"/>
  <c r="H90" i="15"/>
  <c r="H89" i="15"/>
  <c r="H88" i="15"/>
  <c r="H87" i="15"/>
  <c r="H86" i="15"/>
  <c r="H85" i="15"/>
  <c r="H84" i="15"/>
  <c r="H83" i="15"/>
  <c r="H82" i="15"/>
  <c r="H81" i="15"/>
  <c r="H80" i="15"/>
  <c r="H79"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9" i="15"/>
  <c r="H38" i="15"/>
  <c r="H37" i="15"/>
  <c r="H36" i="15"/>
  <c r="H35" i="15"/>
  <c r="H34" i="15"/>
  <c r="H33" i="15"/>
  <c r="H32" i="15"/>
  <c r="H31" i="15"/>
  <c r="H30" i="15"/>
  <c r="H29" i="15"/>
  <c r="H28" i="15"/>
  <c r="H27" i="15"/>
  <c r="H26" i="15"/>
  <c r="H25" i="15"/>
  <c r="H24" i="15"/>
  <c r="H23" i="15"/>
  <c r="H22" i="15"/>
  <c r="H21" i="15"/>
  <c r="H20" i="15"/>
  <c r="H19" i="15"/>
  <c r="H18" i="15"/>
  <c r="H17" i="15"/>
  <c r="H16" i="15"/>
  <c r="H15" i="15"/>
  <c r="H14" i="15"/>
  <c r="H13" i="15"/>
  <c r="H12" i="15"/>
  <c r="H11" i="15"/>
  <c r="H10" i="15"/>
  <c r="H9" i="15"/>
  <c r="H8" i="15"/>
  <c r="H7" i="15"/>
  <c r="H6" i="15"/>
  <c r="H5"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F5" i="15"/>
  <c r="F33" i="15"/>
  <c r="F60" i="15"/>
  <c r="F67" i="15"/>
  <c r="F73" i="15"/>
  <c r="F75" i="15"/>
  <c r="F100" i="15"/>
  <c r="F127" i="15"/>
  <c r="F152" i="15"/>
  <c r="A5" i="15"/>
  <c r="J5" i="15"/>
  <c r="A6" i="15"/>
  <c r="J6" i="15"/>
  <c r="A7" i="15"/>
  <c r="J7" i="15"/>
  <c r="A8" i="15"/>
  <c r="J8" i="15"/>
  <c r="A9" i="15"/>
  <c r="J9" i="15"/>
  <c r="A10" i="15"/>
  <c r="J10" i="15"/>
  <c r="A11" i="15"/>
  <c r="J11" i="15"/>
  <c r="A12" i="15"/>
  <c r="J12" i="15"/>
  <c r="A13" i="15"/>
  <c r="J13" i="15"/>
  <c r="A14" i="15"/>
  <c r="A15" i="15"/>
  <c r="J15" i="15" s="1"/>
  <c r="A16" i="15"/>
  <c r="J16" i="15" s="1"/>
  <c r="A17" i="15"/>
  <c r="A18" i="15"/>
  <c r="J18" i="15"/>
  <c r="A19" i="15"/>
  <c r="J19" i="15"/>
  <c r="A20" i="15"/>
  <c r="J20" i="15"/>
  <c r="A21" i="15"/>
  <c r="J21" i="15"/>
  <c r="A22" i="15"/>
  <c r="V21" i="15"/>
  <c r="A23" i="15"/>
  <c r="J23" i="15"/>
  <c r="A24" i="15"/>
  <c r="J24" i="15"/>
  <c r="A25" i="15"/>
  <c r="J25" i="15"/>
  <c r="A26" i="15"/>
  <c r="V25" i="15"/>
  <c r="A27" i="15"/>
  <c r="J27" i="15"/>
  <c r="A28" i="15"/>
  <c r="J28" i="15"/>
  <c r="A29" i="15"/>
  <c r="J29" i="15"/>
  <c r="A30" i="15"/>
  <c r="J30" i="15"/>
  <c r="A31" i="15"/>
  <c r="A32" i="15"/>
  <c r="V31" i="15" s="1"/>
  <c r="A33" i="15"/>
  <c r="J33" i="15" s="1"/>
  <c r="A34" i="15"/>
  <c r="J34" i="15" s="1"/>
  <c r="A35" i="15"/>
  <c r="J35" i="15" s="1"/>
  <c r="A36" i="15"/>
  <c r="J36" i="15" s="1"/>
  <c r="A37" i="15"/>
  <c r="J37" i="15" s="1"/>
  <c r="A38" i="15"/>
  <c r="J38" i="15" s="1"/>
  <c r="A39" i="15"/>
  <c r="J39" i="15" s="1"/>
  <c r="A40" i="15"/>
  <c r="A41" i="15"/>
  <c r="J41" i="15"/>
  <c r="A42" i="15"/>
  <c r="J42" i="15"/>
  <c r="A43" i="15"/>
  <c r="J43" i="15"/>
  <c r="A44" i="15"/>
  <c r="J44" i="15"/>
  <c r="A45" i="15"/>
  <c r="A46" i="15"/>
  <c r="J46" i="15" s="1"/>
  <c r="A47" i="15"/>
  <c r="J47" i="15" s="1"/>
  <c r="A48" i="15"/>
  <c r="J48" i="15" s="1"/>
  <c r="A49" i="15"/>
  <c r="J49" i="15" s="1"/>
  <c r="A50" i="15"/>
  <c r="J50" i="15" s="1"/>
  <c r="A51" i="15"/>
  <c r="J51" i="15" s="1"/>
  <c r="A52" i="15"/>
  <c r="J52" i="15" s="1"/>
  <c r="A53" i="15"/>
  <c r="V52" i="15" s="1"/>
  <c r="A54" i="15"/>
  <c r="J54" i="15" s="1"/>
  <c r="A55" i="15"/>
  <c r="J55" i="15" s="1"/>
  <c r="A56" i="15"/>
  <c r="J56" i="15" s="1"/>
  <c r="A57" i="15"/>
  <c r="J57" i="15" s="1"/>
  <c r="A58" i="15"/>
  <c r="A59" i="15"/>
  <c r="J59" i="15"/>
  <c r="A60" i="15"/>
  <c r="J60" i="15"/>
  <c r="A61" i="15"/>
  <c r="J61" i="15"/>
  <c r="A62" i="15"/>
  <c r="J62" i="15"/>
  <c r="A63" i="15"/>
  <c r="J63" i="15"/>
  <c r="A64" i="15"/>
  <c r="J64" i="15"/>
  <c r="A65" i="15"/>
  <c r="J65" i="15"/>
  <c r="A66" i="15"/>
  <c r="J66" i="15"/>
  <c r="A67" i="15"/>
  <c r="J67" i="15"/>
  <c r="A68" i="15"/>
  <c r="J68" i="15"/>
  <c r="A69" i="15"/>
  <c r="J69" i="15"/>
  <c r="A70" i="15"/>
  <c r="J70" i="15"/>
  <c r="A71" i="15"/>
  <c r="J71" i="15"/>
  <c r="A72" i="15"/>
  <c r="J72" i="15"/>
  <c r="A73" i="15"/>
  <c r="J73" i="15"/>
  <c r="A74" i="15"/>
  <c r="J74" i="15"/>
  <c r="A75" i="15"/>
  <c r="J75" i="15"/>
  <c r="A76" i="15"/>
  <c r="J76" i="15"/>
  <c r="A77" i="15"/>
  <c r="J77" i="15"/>
  <c r="A78" i="15"/>
  <c r="J78" i="15"/>
  <c r="A79" i="15"/>
  <c r="J79" i="15"/>
  <c r="A80" i="15"/>
  <c r="J80" i="15"/>
  <c r="A81" i="15"/>
  <c r="J81" i="15"/>
  <c r="A82" i="15"/>
  <c r="J82" i="15"/>
  <c r="A83" i="15"/>
  <c r="J83" i="15"/>
  <c r="A84" i="15"/>
  <c r="J84" i="15"/>
  <c r="A85" i="15"/>
  <c r="J85" i="15"/>
  <c r="A86" i="15"/>
  <c r="A87" i="15"/>
  <c r="J87" i="15" s="1"/>
  <c r="A88" i="15"/>
  <c r="J88" i="15" s="1"/>
  <c r="A89" i="15"/>
  <c r="J89" i="15" s="1"/>
  <c r="A90" i="15"/>
  <c r="J90" i="15" s="1"/>
  <c r="A91" i="15"/>
  <c r="J91" i="15" s="1"/>
  <c r="A92" i="15"/>
  <c r="J92" i="15" s="1"/>
  <c r="A93" i="15"/>
  <c r="J93" i="15"/>
  <c r="A94" i="15"/>
  <c r="J94" i="15"/>
  <c r="A95" i="15"/>
  <c r="J95" i="15"/>
  <c r="A96" i="15"/>
  <c r="J96" i="15"/>
  <c r="A97" i="15"/>
  <c r="J97" i="15"/>
  <c r="A98" i="15"/>
  <c r="A99" i="15"/>
  <c r="J99" i="15" s="1"/>
  <c r="A100" i="15"/>
  <c r="J100" i="15" s="1"/>
  <c r="A101" i="15"/>
  <c r="J101" i="15" s="1"/>
  <c r="A102" i="15"/>
  <c r="J102" i="15"/>
  <c r="A103" i="15"/>
  <c r="J103" i="15"/>
  <c r="A104" i="15"/>
  <c r="J104" i="15"/>
  <c r="A105" i="15"/>
  <c r="J105" i="15"/>
  <c r="A106" i="15"/>
  <c r="J106" i="15"/>
  <c r="A107" i="15"/>
  <c r="A108" i="15"/>
  <c r="J108" i="15" s="1"/>
  <c r="A109" i="15"/>
  <c r="J109" i="15" s="1"/>
  <c r="A110" i="15"/>
  <c r="J110" i="15" s="1"/>
  <c r="A111" i="15"/>
  <c r="J111" i="15" s="1"/>
  <c r="A112" i="15"/>
  <c r="J112" i="15" s="1"/>
  <c r="A113" i="15"/>
  <c r="A114" i="15"/>
  <c r="J114" i="15"/>
  <c r="A115" i="15"/>
  <c r="J115" i="15"/>
  <c r="A116" i="15"/>
  <c r="J116" i="15"/>
  <c r="A117" i="15"/>
  <c r="J117" i="15"/>
  <c r="A118" i="15"/>
  <c r="J118" i="15"/>
  <c r="A119" i="15"/>
  <c r="J119" i="15"/>
  <c r="A120" i="15"/>
  <c r="A121" i="15"/>
  <c r="J121" i="15" s="1"/>
  <c r="A122" i="15"/>
  <c r="J122" i="15" s="1"/>
  <c r="A123" i="15"/>
  <c r="J123" i="15" s="1"/>
  <c r="A124" i="15"/>
  <c r="A125" i="15"/>
  <c r="J125" i="15"/>
  <c r="A126" i="15"/>
  <c r="J126" i="15"/>
  <c r="A127" i="15"/>
  <c r="A128" i="15"/>
  <c r="J128" i="15" s="1"/>
  <c r="A129" i="15"/>
  <c r="J129" i="15"/>
  <c r="A130" i="15"/>
  <c r="J130" i="15"/>
  <c r="A131" i="15"/>
  <c r="J131" i="15"/>
  <c r="A132" i="15"/>
  <c r="J132" i="15"/>
  <c r="A133" i="15"/>
  <c r="J133" i="15"/>
  <c r="A134" i="15"/>
  <c r="A135" i="15"/>
  <c r="J135" i="15" s="1"/>
  <c r="A136" i="15"/>
  <c r="A137" i="15"/>
  <c r="A138" i="15"/>
  <c r="A139" i="15"/>
  <c r="J139" i="15" s="1"/>
  <c r="A140" i="15"/>
  <c r="J140" i="15"/>
  <c r="A141" i="15"/>
  <c r="J141" i="15"/>
  <c r="A142" i="15"/>
  <c r="A143" i="15"/>
  <c r="A144" i="15"/>
  <c r="A145" i="15"/>
  <c r="A146" i="15"/>
  <c r="A147" i="15"/>
  <c r="J147" i="15" s="1"/>
  <c r="A148" i="15"/>
  <c r="A149" i="15"/>
  <c r="J149" i="15"/>
  <c r="A150" i="15"/>
  <c r="J150" i="15"/>
  <c r="A151" i="15"/>
  <c r="J151" i="15"/>
  <c r="A152" i="15"/>
  <c r="A153" i="15"/>
  <c r="J153" i="15" s="1"/>
  <c r="A154" i="15"/>
  <c r="J154" i="15" s="1"/>
  <c r="A155" i="15"/>
  <c r="J155" i="15" s="1"/>
  <c r="A156" i="15"/>
  <c r="J156" i="15" s="1"/>
  <c r="A157" i="15"/>
  <c r="J157" i="15" s="1"/>
  <c r="AN12" i="54"/>
  <c r="L13" i="15"/>
  <c r="L55" i="15"/>
  <c r="L42" i="15"/>
  <c r="L49" i="15"/>
  <c r="L25" i="15"/>
  <c r="L43" i="15"/>
  <c r="L56" i="15"/>
  <c r="L28" i="15"/>
  <c r="L44" i="15"/>
  <c r="K24" i="15"/>
  <c r="J142" i="15"/>
  <c r="J45" i="15"/>
  <c r="V44" i="15"/>
  <c r="J146" i="15"/>
  <c r="J26" i="15"/>
  <c r="J113" i="15"/>
  <c r="J22" i="15"/>
  <c r="J120" i="15"/>
  <c r="J152" i="15"/>
  <c r="J127" i="15"/>
  <c r="AM12" i="54"/>
  <c r="K13" i="15"/>
  <c r="C156" i="54"/>
  <c r="B157" i="15"/>
  <c r="C155" i="54"/>
  <c r="B156" i="15"/>
  <c r="C154" i="54"/>
  <c r="B155" i="15"/>
  <c r="C153" i="54"/>
  <c r="B154" i="15"/>
  <c r="C152" i="54"/>
  <c r="B153" i="15"/>
  <c r="C151" i="54"/>
  <c r="B152" i="15"/>
  <c r="C150" i="54"/>
  <c r="B151" i="15"/>
  <c r="C149" i="54"/>
  <c r="B150" i="15"/>
  <c r="C146" i="54"/>
  <c r="B147" i="15"/>
  <c r="C145" i="54"/>
  <c r="B146" i="15"/>
  <c r="C140" i="54"/>
  <c r="B141" i="15"/>
  <c r="C139" i="54"/>
  <c r="B140" i="15"/>
  <c r="C134" i="54"/>
  <c r="B135" i="15"/>
  <c r="C133" i="54"/>
  <c r="B134" i="15"/>
  <c r="C129" i="54"/>
  <c r="B130" i="15"/>
  <c r="C128" i="54"/>
  <c r="B129" i="15"/>
  <c r="C127" i="54"/>
  <c r="B128" i="15"/>
  <c r="C126" i="54"/>
  <c r="B127" i="15"/>
  <c r="C123" i="54"/>
  <c r="B124" i="15"/>
  <c r="C121" i="54"/>
  <c r="B122" i="15"/>
  <c r="C120" i="54"/>
  <c r="B121" i="15"/>
  <c r="C119" i="54"/>
  <c r="B120" i="15"/>
  <c r="C117" i="54"/>
  <c r="B118" i="15"/>
  <c r="C114" i="54"/>
  <c r="B115" i="15"/>
  <c r="C112" i="54"/>
  <c r="B113" i="15"/>
  <c r="C109" i="54"/>
  <c r="B110" i="15"/>
  <c r="C106" i="54"/>
  <c r="B107" i="15"/>
  <c r="C102" i="54"/>
  <c r="B103" i="15"/>
  <c r="C101" i="54"/>
  <c r="B102" i="15"/>
  <c r="C100" i="54"/>
  <c r="B101" i="15"/>
  <c r="C99" i="54"/>
  <c r="B100" i="15"/>
  <c r="C98" i="54"/>
  <c r="B99" i="15"/>
  <c r="C97" i="54"/>
  <c r="B98" i="15"/>
  <c r="C92" i="54"/>
  <c r="B93" i="15"/>
  <c r="C91" i="54"/>
  <c r="B92" i="15"/>
  <c r="C87" i="54"/>
  <c r="B88" i="15"/>
  <c r="C86" i="54"/>
  <c r="B87" i="15"/>
  <c r="C85" i="54"/>
  <c r="B86" i="15"/>
  <c r="C81" i="54"/>
  <c r="B82" i="15"/>
  <c r="C80" i="54"/>
  <c r="B81" i="15"/>
  <c r="C79" i="54"/>
  <c r="B80" i="15"/>
  <c r="C78" i="54"/>
  <c r="B79" i="15"/>
  <c r="C77" i="54"/>
  <c r="B78" i="15"/>
  <c r="C76" i="54"/>
  <c r="B77" i="15"/>
  <c r="C75" i="54"/>
  <c r="B76" i="15"/>
  <c r="C74" i="54"/>
  <c r="B75" i="15"/>
  <c r="C73" i="54"/>
  <c r="B74" i="15"/>
  <c r="C72" i="54"/>
  <c r="B73" i="15"/>
  <c r="C71" i="54"/>
  <c r="B72" i="15"/>
  <c r="C70" i="54"/>
  <c r="B71" i="15"/>
  <c r="C69" i="54"/>
  <c r="B70" i="15"/>
  <c r="C68" i="54"/>
  <c r="B69" i="15"/>
  <c r="C67" i="54"/>
  <c r="B68" i="15"/>
  <c r="C66" i="54"/>
  <c r="B67" i="15"/>
  <c r="C65" i="54"/>
  <c r="B66" i="15"/>
  <c r="C64" i="54"/>
  <c r="B65" i="15"/>
  <c r="C63" i="54"/>
  <c r="B64" i="15"/>
  <c r="C62" i="54"/>
  <c r="B63" i="15"/>
  <c r="C61" i="54"/>
  <c r="B62" i="15"/>
  <c r="C60" i="54"/>
  <c r="B61" i="15"/>
  <c r="C59" i="54"/>
  <c r="B60" i="15"/>
  <c r="C58" i="54"/>
  <c r="B59" i="15"/>
  <c r="C57" i="54"/>
  <c r="B58" i="15"/>
  <c r="C55" i="54"/>
  <c r="B56" i="15"/>
  <c r="C53" i="54"/>
  <c r="B54" i="15"/>
  <c r="C52" i="54"/>
  <c r="B53" i="15"/>
  <c r="C46" i="54"/>
  <c r="B47" i="15"/>
  <c r="C45" i="54"/>
  <c r="B46" i="15"/>
  <c r="C44" i="54"/>
  <c r="B45" i="15"/>
  <c r="C40" i="54"/>
  <c r="B41" i="15"/>
  <c r="C39" i="54"/>
  <c r="B40" i="15"/>
  <c r="C35" i="54"/>
  <c r="B36" i="15"/>
  <c r="C34" i="54"/>
  <c r="B35" i="15"/>
  <c r="C33" i="54"/>
  <c r="B34" i="15"/>
  <c r="C32" i="54"/>
  <c r="B33" i="15"/>
  <c r="C31" i="54"/>
  <c r="B32" i="15"/>
  <c r="C30" i="54"/>
  <c r="B31" i="15"/>
  <c r="C26" i="54"/>
  <c r="B27" i="15"/>
  <c r="C25" i="54"/>
  <c r="B26" i="15"/>
  <c r="C21" i="54"/>
  <c r="B22" i="15"/>
  <c r="C18" i="54"/>
  <c r="B19" i="15"/>
  <c r="C17" i="54"/>
  <c r="B18" i="15"/>
  <c r="C16" i="54"/>
  <c r="B17" i="15"/>
  <c r="C13" i="54"/>
  <c r="B14" i="15"/>
  <c r="C11" i="54"/>
  <c r="B12" i="15"/>
  <c r="C10" i="54"/>
  <c r="B11" i="15"/>
  <c r="C9" i="54"/>
  <c r="B10" i="15"/>
  <c r="C8" i="54"/>
  <c r="B9" i="15"/>
  <c r="C7" i="54"/>
  <c r="B8" i="15"/>
  <c r="C6" i="54"/>
  <c r="B7" i="15"/>
  <c r="C5" i="54"/>
  <c r="B6" i="15"/>
  <c r="C4" i="54"/>
  <c r="B5" i="15"/>
  <c r="C3" i="54"/>
  <c r="B4" i="15"/>
  <c r="C2" i="54"/>
  <c r="B3" i="15"/>
  <c r="BF156" i="54"/>
  <c r="BF155" i="54"/>
  <c r="BF154" i="54"/>
  <c r="BF153" i="54"/>
  <c r="BF152" i="54"/>
  <c r="BF151" i="54"/>
  <c r="BF150" i="54"/>
  <c r="BF149" i="54"/>
  <c r="BF148" i="54"/>
  <c r="BF147" i="54"/>
  <c r="BF146" i="54"/>
  <c r="BF145" i="54"/>
  <c r="BF144" i="54"/>
  <c r="BF143" i="54"/>
  <c r="BF142" i="54"/>
  <c r="BF141" i="54"/>
  <c r="BF140" i="54"/>
  <c r="BF139" i="54"/>
  <c r="BF138" i="54"/>
  <c r="BF137" i="54"/>
  <c r="BF136" i="54"/>
  <c r="BF135" i="54"/>
  <c r="BF134" i="54"/>
  <c r="BF133" i="54"/>
  <c r="BF132" i="54"/>
  <c r="BF131" i="54"/>
  <c r="BF130" i="54"/>
  <c r="BF129" i="54"/>
  <c r="BF128" i="54"/>
  <c r="BF127" i="54"/>
  <c r="BF126" i="54"/>
  <c r="BF125" i="54"/>
  <c r="BF124" i="54"/>
  <c r="BF123" i="54"/>
  <c r="BF122" i="54"/>
  <c r="BF121" i="54"/>
  <c r="BF120" i="54"/>
  <c r="BF119" i="54"/>
  <c r="BF118" i="54"/>
  <c r="BF117" i="54"/>
  <c r="BF116" i="54"/>
  <c r="BF115" i="54"/>
  <c r="BF114" i="54"/>
  <c r="BF113" i="54"/>
  <c r="BF112" i="54"/>
  <c r="BF111" i="54"/>
  <c r="BF110" i="54"/>
  <c r="BF109" i="54"/>
  <c r="BF108" i="54"/>
  <c r="BF107" i="54"/>
  <c r="BF106" i="54"/>
  <c r="BF105" i="54"/>
  <c r="BF104" i="54"/>
  <c r="BF103" i="54"/>
  <c r="BF102" i="54"/>
  <c r="BF101" i="54"/>
  <c r="BF100" i="54"/>
  <c r="BF99" i="54"/>
  <c r="BF98" i="54"/>
  <c r="BF97" i="54"/>
  <c r="BF96" i="54"/>
  <c r="BF95" i="54"/>
  <c r="BF94" i="54"/>
  <c r="BF93" i="54"/>
  <c r="BF92" i="54"/>
  <c r="BF91" i="54"/>
  <c r="BF90" i="54"/>
  <c r="BF89" i="54"/>
  <c r="BF88" i="54"/>
  <c r="BF87" i="54"/>
  <c r="BF86" i="54"/>
  <c r="BF85" i="54"/>
  <c r="BF84" i="54"/>
  <c r="BF83" i="54"/>
  <c r="BF82" i="54"/>
  <c r="BF81" i="54"/>
  <c r="BF80" i="54"/>
  <c r="BF79" i="54"/>
  <c r="BF78" i="54"/>
  <c r="BF77" i="54"/>
  <c r="BF76" i="54"/>
  <c r="BF75" i="54"/>
  <c r="BF74" i="54"/>
  <c r="BF73" i="54"/>
  <c r="BF72" i="54"/>
  <c r="BF71" i="54"/>
  <c r="BF70" i="54"/>
  <c r="BF69" i="54"/>
  <c r="BF68" i="54"/>
  <c r="BF67" i="54"/>
  <c r="BF66" i="54"/>
  <c r="BF65" i="54"/>
  <c r="BF64" i="54"/>
  <c r="BF63" i="54"/>
  <c r="BF62" i="54"/>
  <c r="BF61" i="54"/>
  <c r="BF60" i="54"/>
  <c r="BF59" i="54"/>
  <c r="BF58" i="54"/>
  <c r="BF57" i="54"/>
  <c r="BF56" i="54"/>
  <c r="BF55" i="54"/>
  <c r="BF54" i="54"/>
  <c r="BF53" i="54"/>
  <c r="BF52" i="54"/>
  <c r="BF51" i="54"/>
  <c r="BF50" i="54"/>
  <c r="BF49" i="54"/>
  <c r="BF48" i="54"/>
  <c r="BF47" i="54"/>
  <c r="BF46" i="54"/>
  <c r="BF45" i="54"/>
  <c r="BF44" i="54"/>
  <c r="BF43" i="54"/>
  <c r="BF42" i="54"/>
  <c r="BF41" i="54"/>
  <c r="BF40" i="54"/>
  <c r="BF39" i="54"/>
  <c r="BF38" i="54"/>
  <c r="BF37" i="54"/>
  <c r="BF36" i="54"/>
  <c r="BF35" i="54"/>
  <c r="BF34" i="54"/>
  <c r="BF33" i="54"/>
  <c r="BF32" i="54"/>
  <c r="BF31" i="54"/>
  <c r="BF30" i="54"/>
  <c r="BF29" i="54"/>
  <c r="BF28" i="54"/>
  <c r="BF27" i="54"/>
  <c r="BF26" i="54"/>
  <c r="BF25" i="54"/>
  <c r="BF24" i="54"/>
  <c r="BF23" i="54"/>
  <c r="BF22" i="54"/>
  <c r="BF21" i="54"/>
  <c r="BF20" i="54"/>
  <c r="BF19" i="54"/>
  <c r="BF18" i="54"/>
  <c r="BF17" i="54"/>
  <c r="BF16" i="54"/>
  <c r="BF15" i="54"/>
  <c r="BF14" i="54"/>
  <c r="BF13" i="54"/>
  <c r="BF12" i="54"/>
  <c r="BF11" i="54"/>
  <c r="BF10" i="54"/>
  <c r="BF9" i="54"/>
  <c r="BF8" i="54"/>
  <c r="BF7" i="54"/>
  <c r="BF6" i="54"/>
  <c r="BF5" i="54"/>
  <c r="BF4" i="54"/>
  <c r="BF3" i="54"/>
  <c r="P156" i="54"/>
  <c r="I157" i="15"/>
  <c r="P155" i="54"/>
  <c r="I156" i="15"/>
  <c r="P154" i="54"/>
  <c r="I155" i="15"/>
  <c r="P153" i="54"/>
  <c r="I154" i="15"/>
  <c r="P152" i="54"/>
  <c r="I153" i="15"/>
  <c r="P151" i="54"/>
  <c r="I152" i="15"/>
  <c r="G151" i="54"/>
  <c r="G152" i="15"/>
  <c r="P150" i="54"/>
  <c r="I151" i="15"/>
  <c r="P149" i="54"/>
  <c r="I150" i="15"/>
  <c r="P148" i="54"/>
  <c r="I149" i="15"/>
  <c r="C148" i="54"/>
  <c r="B149" i="15"/>
  <c r="P147" i="54"/>
  <c r="I148" i="15"/>
  <c r="C147" i="54"/>
  <c r="B148" i="15"/>
  <c r="P146" i="54"/>
  <c r="I147" i="15"/>
  <c r="P145" i="54"/>
  <c r="I146" i="15"/>
  <c r="P144" i="54"/>
  <c r="I145" i="15"/>
  <c r="C144" i="54"/>
  <c r="B145" i="15"/>
  <c r="P143" i="54"/>
  <c r="I144" i="15"/>
  <c r="C143" i="54"/>
  <c r="B144" i="15"/>
  <c r="P142" i="54"/>
  <c r="I143" i="15"/>
  <c r="C142" i="54"/>
  <c r="B143" i="15"/>
  <c r="P141" i="54"/>
  <c r="I142" i="15"/>
  <c r="C141" i="54"/>
  <c r="B142" i="15"/>
  <c r="P140" i="54"/>
  <c r="I141" i="15"/>
  <c r="P139" i="54"/>
  <c r="I140" i="15"/>
  <c r="P138" i="54"/>
  <c r="I139" i="15"/>
  <c r="C138" i="54"/>
  <c r="B139" i="15"/>
  <c r="P137" i="54"/>
  <c r="I138" i="15"/>
  <c r="C137" i="54"/>
  <c r="B138" i="15"/>
  <c r="P136" i="54"/>
  <c r="I137" i="15"/>
  <c r="C136" i="54"/>
  <c r="B137" i="15"/>
  <c r="P135" i="54"/>
  <c r="C135" i="54"/>
  <c r="B136" i="15"/>
  <c r="P134" i="54"/>
  <c r="I135" i="15"/>
  <c r="P133" i="54"/>
  <c r="I134" i="15"/>
  <c r="P132" i="54"/>
  <c r="I133" i="15"/>
  <c r="C132" i="54"/>
  <c r="B133" i="15"/>
  <c r="P131" i="54"/>
  <c r="I132" i="15"/>
  <c r="C131" i="54"/>
  <c r="B132" i="15"/>
  <c r="P130" i="54"/>
  <c r="I131" i="15"/>
  <c r="C130" i="54"/>
  <c r="B131" i="15"/>
  <c r="P129" i="54"/>
  <c r="I130" i="15"/>
  <c r="P128" i="54"/>
  <c r="I129" i="15"/>
  <c r="P127" i="54"/>
  <c r="I128" i="15"/>
  <c r="P126" i="54"/>
  <c r="I127" i="15"/>
  <c r="G126" i="54"/>
  <c r="G127" i="15"/>
  <c r="P125" i="54"/>
  <c r="I126" i="15"/>
  <c r="C125" i="54"/>
  <c r="B126" i="15"/>
  <c r="P124" i="54"/>
  <c r="C124" i="54"/>
  <c r="B125" i="15"/>
  <c r="P123" i="54"/>
  <c r="I124" i="15"/>
  <c r="P122" i="54"/>
  <c r="C122" i="54"/>
  <c r="B123" i="15"/>
  <c r="P121" i="54"/>
  <c r="P120" i="54"/>
  <c r="I121" i="15"/>
  <c r="P119" i="54"/>
  <c r="I120" i="15"/>
  <c r="P118" i="54"/>
  <c r="I119" i="15"/>
  <c r="C118" i="54"/>
  <c r="B119" i="15"/>
  <c r="P117" i="54"/>
  <c r="I118" i="15"/>
  <c r="P116" i="54"/>
  <c r="I117" i="15"/>
  <c r="C116" i="54"/>
  <c r="B117" i="15"/>
  <c r="P115" i="54"/>
  <c r="C115" i="54"/>
  <c r="B116" i="15"/>
  <c r="P114" i="54"/>
  <c r="I115" i="15"/>
  <c r="P113" i="54"/>
  <c r="I114" i="15"/>
  <c r="C113" i="54"/>
  <c r="B114" i="15"/>
  <c r="P112" i="54"/>
  <c r="I113" i="15"/>
  <c r="P111" i="54"/>
  <c r="I112" i="15"/>
  <c r="C111" i="54"/>
  <c r="B112" i="15"/>
  <c r="P110" i="54"/>
  <c r="I111" i="15"/>
  <c r="C110" i="54"/>
  <c r="B111" i="15"/>
  <c r="P109" i="54"/>
  <c r="P108" i="54"/>
  <c r="I109" i="15"/>
  <c r="C108" i="54"/>
  <c r="B109" i="15"/>
  <c r="P107" i="54"/>
  <c r="C107" i="54"/>
  <c r="B108" i="15"/>
  <c r="P106" i="54"/>
  <c r="I107" i="15"/>
  <c r="P105" i="54"/>
  <c r="I106" i="15"/>
  <c r="C105" i="54"/>
  <c r="B106" i="15"/>
  <c r="P104" i="54"/>
  <c r="I105" i="15"/>
  <c r="C104" i="54"/>
  <c r="B105" i="15"/>
  <c r="P103" i="54"/>
  <c r="C103" i="54"/>
  <c r="B104" i="15"/>
  <c r="P102" i="54"/>
  <c r="I103" i="15"/>
  <c r="P101" i="54"/>
  <c r="I102" i="15"/>
  <c r="P100" i="54"/>
  <c r="I101" i="15"/>
  <c r="P99" i="54"/>
  <c r="I100" i="15"/>
  <c r="G99" i="54"/>
  <c r="F100" i="54"/>
  <c r="G100" i="54"/>
  <c r="P98" i="54"/>
  <c r="I99" i="15"/>
  <c r="P97" i="54"/>
  <c r="I98" i="15"/>
  <c r="P96" i="54"/>
  <c r="I97" i="15"/>
  <c r="C96" i="54"/>
  <c r="B97" i="15"/>
  <c r="P95" i="54"/>
  <c r="I96" i="15"/>
  <c r="C95" i="54"/>
  <c r="B96" i="15"/>
  <c r="P94" i="54"/>
  <c r="I95" i="15"/>
  <c r="C94" i="54"/>
  <c r="B95" i="15"/>
  <c r="P93" i="54"/>
  <c r="I94" i="15"/>
  <c r="C93" i="54"/>
  <c r="B94" i="15"/>
  <c r="P92" i="54"/>
  <c r="I93" i="15"/>
  <c r="P91" i="54"/>
  <c r="P90" i="54"/>
  <c r="I91" i="15"/>
  <c r="C90" i="54"/>
  <c r="B91" i="15"/>
  <c r="P89" i="54"/>
  <c r="I90" i="15"/>
  <c r="C89" i="54"/>
  <c r="B90" i="15"/>
  <c r="P88" i="54"/>
  <c r="C88" i="54"/>
  <c r="B89" i="15"/>
  <c r="P87" i="54"/>
  <c r="I88" i="15"/>
  <c r="P85" i="54"/>
  <c r="P84" i="54"/>
  <c r="C84" i="54"/>
  <c r="B85" i="15"/>
  <c r="P83" i="54"/>
  <c r="I84" i="15"/>
  <c r="C83" i="54"/>
  <c r="B84" i="15"/>
  <c r="P82" i="54"/>
  <c r="I83" i="15"/>
  <c r="C82" i="54"/>
  <c r="B83" i="15"/>
  <c r="P81" i="54"/>
  <c r="I82" i="15"/>
  <c r="P80" i="54"/>
  <c r="I81" i="15"/>
  <c r="P79" i="54"/>
  <c r="I80" i="15"/>
  <c r="P78" i="54"/>
  <c r="I79" i="15"/>
  <c r="P77" i="54"/>
  <c r="I78" i="15"/>
  <c r="P76" i="54"/>
  <c r="I77" i="15"/>
  <c r="P75" i="54"/>
  <c r="I76" i="15"/>
  <c r="P74" i="54"/>
  <c r="I75" i="15"/>
  <c r="G74" i="54"/>
  <c r="P73" i="54"/>
  <c r="I74" i="15"/>
  <c r="P72" i="54"/>
  <c r="I73" i="15"/>
  <c r="G72" i="54"/>
  <c r="G73" i="15"/>
  <c r="P71" i="54"/>
  <c r="I72" i="15"/>
  <c r="P70" i="54"/>
  <c r="I71" i="15"/>
  <c r="P69" i="54"/>
  <c r="I70" i="15"/>
  <c r="P68" i="54"/>
  <c r="I69" i="15"/>
  <c r="P67" i="54"/>
  <c r="I68" i="15"/>
  <c r="P66" i="54"/>
  <c r="I67" i="15"/>
  <c r="G66" i="54"/>
  <c r="F67" i="54"/>
  <c r="P65" i="54"/>
  <c r="I66" i="15"/>
  <c r="P64" i="54"/>
  <c r="I65" i="15"/>
  <c r="D64" i="54"/>
  <c r="P63" i="54"/>
  <c r="I64" i="15"/>
  <c r="P62" i="54"/>
  <c r="I63" i="15"/>
  <c r="P61" i="54"/>
  <c r="I62" i="15"/>
  <c r="P60" i="54"/>
  <c r="P59" i="54"/>
  <c r="I60" i="15"/>
  <c r="G59" i="54"/>
  <c r="F60" i="54"/>
  <c r="P58" i="54"/>
  <c r="I59" i="15"/>
  <c r="P57" i="54"/>
  <c r="I58" i="15"/>
  <c r="P56" i="54"/>
  <c r="I57" i="15"/>
  <c r="C56" i="54"/>
  <c r="B57" i="15"/>
  <c r="P55" i="54"/>
  <c r="I56" i="15"/>
  <c r="P54" i="54"/>
  <c r="I55" i="15"/>
  <c r="C54" i="54"/>
  <c r="B55" i="15"/>
  <c r="P53" i="54"/>
  <c r="I54" i="15"/>
  <c r="P52" i="54"/>
  <c r="I53" i="15"/>
  <c r="P51" i="54"/>
  <c r="I52" i="15"/>
  <c r="C51" i="54"/>
  <c r="B52" i="15"/>
  <c r="P50" i="54"/>
  <c r="I51" i="15"/>
  <c r="C50" i="54"/>
  <c r="B51" i="15"/>
  <c r="P49" i="54"/>
  <c r="I50" i="15"/>
  <c r="C49" i="54"/>
  <c r="B50" i="15"/>
  <c r="P48" i="54"/>
  <c r="I49" i="15"/>
  <c r="C48" i="54"/>
  <c r="B49" i="15"/>
  <c r="P47" i="54"/>
  <c r="I48" i="15"/>
  <c r="C47" i="54"/>
  <c r="B48" i="15"/>
  <c r="P46" i="54"/>
  <c r="I47" i="15"/>
  <c r="P45" i="54"/>
  <c r="I46" i="15"/>
  <c r="P44" i="54"/>
  <c r="I45" i="15"/>
  <c r="P43" i="54"/>
  <c r="I44" i="15"/>
  <c r="C43" i="54"/>
  <c r="B44" i="15"/>
  <c r="P42" i="54"/>
  <c r="I43" i="15"/>
  <c r="C42" i="54"/>
  <c r="B43" i="15"/>
  <c r="P41" i="54"/>
  <c r="I42" i="15"/>
  <c r="C41" i="54"/>
  <c r="B42" i="15"/>
  <c r="P40" i="54"/>
  <c r="I41" i="15"/>
  <c r="P39" i="54"/>
  <c r="I40" i="15"/>
  <c r="P38" i="54"/>
  <c r="I39" i="15"/>
  <c r="C38" i="54"/>
  <c r="B39" i="15"/>
  <c r="P37" i="54"/>
  <c r="I38" i="15"/>
  <c r="C37" i="54"/>
  <c r="B38" i="15"/>
  <c r="P36" i="54"/>
  <c r="I37" i="15"/>
  <c r="C36" i="54"/>
  <c r="B37" i="15"/>
  <c r="P35" i="54"/>
  <c r="I36" i="15"/>
  <c r="P34" i="54"/>
  <c r="I35" i="15"/>
  <c r="P33" i="54"/>
  <c r="I34" i="15"/>
  <c r="P32" i="54"/>
  <c r="G32" i="54"/>
  <c r="G33" i="15"/>
  <c r="P31" i="54"/>
  <c r="I32" i="15"/>
  <c r="P30" i="54"/>
  <c r="I31" i="15"/>
  <c r="P29" i="54"/>
  <c r="I30" i="15"/>
  <c r="C29" i="54"/>
  <c r="B30" i="15"/>
  <c r="P28" i="54"/>
  <c r="I29" i="15"/>
  <c r="C28" i="54"/>
  <c r="B29" i="15"/>
  <c r="P27" i="54"/>
  <c r="C27" i="54"/>
  <c r="B28" i="15"/>
  <c r="P26" i="54"/>
  <c r="I27" i="15"/>
  <c r="P25" i="54"/>
  <c r="P24" i="54"/>
  <c r="I25" i="15"/>
  <c r="C24" i="54"/>
  <c r="B25" i="15"/>
  <c r="P23" i="54"/>
  <c r="I24" i="15"/>
  <c r="C23" i="54"/>
  <c r="B24" i="15"/>
  <c r="P22" i="54"/>
  <c r="I23" i="15"/>
  <c r="C22" i="54"/>
  <c r="B23" i="15"/>
  <c r="P21" i="54"/>
  <c r="I22" i="15"/>
  <c r="P20" i="54"/>
  <c r="I21" i="15"/>
  <c r="C20" i="54"/>
  <c r="B21" i="15"/>
  <c r="C19" i="54"/>
  <c r="B20" i="15"/>
  <c r="P18" i="54"/>
  <c r="I19" i="15"/>
  <c r="P16" i="54"/>
  <c r="P15" i="54"/>
  <c r="I16" i="15"/>
  <c r="C15" i="54"/>
  <c r="B16" i="15"/>
  <c r="P14" i="54"/>
  <c r="I15" i="15"/>
  <c r="C14" i="54"/>
  <c r="B15" i="15"/>
  <c r="P13" i="54"/>
  <c r="I14" i="15"/>
  <c r="P12" i="54"/>
  <c r="C12" i="54"/>
  <c r="B13" i="15"/>
  <c r="P11" i="54"/>
  <c r="R10" i="54"/>
  <c r="P10" i="54"/>
  <c r="R9" i="54"/>
  <c r="P9" i="54"/>
  <c r="R8" i="54"/>
  <c r="P8" i="54"/>
  <c r="R7" i="54"/>
  <c r="P7" i="54"/>
  <c r="R6" i="54"/>
  <c r="P6" i="54"/>
  <c r="R5" i="54"/>
  <c r="P5" i="54"/>
  <c r="R4" i="54"/>
  <c r="P4" i="54"/>
  <c r="G4" i="54"/>
  <c r="F5" i="54"/>
  <c r="F6" i="15"/>
  <c r="R3" i="54"/>
  <c r="P3" i="54"/>
  <c r="R2" i="54"/>
  <c r="P2" i="54"/>
  <c r="G2" i="54"/>
  <c r="F3" i="54"/>
  <c r="F4" i="15"/>
  <c r="BF2" i="54"/>
  <c r="I104" i="15"/>
  <c r="I110" i="15"/>
  <c r="I116" i="15"/>
  <c r="I20" i="15"/>
  <c r="I26" i="15"/>
  <c r="I61" i="15"/>
  <c r="I89" i="15"/>
  <c r="I92" i="15"/>
  <c r="I136" i="15"/>
  <c r="I18" i="15"/>
  <c r="I87" i="15"/>
  <c r="I17" i="15"/>
  <c r="I86" i="15"/>
  <c r="I108" i="15"/>
  <c r="I33" i="15"/>
  <c r="I12" i="15"/>
  <c r="I122" i="15"/>
  <c r="I125" i="15"/>
  <c r="F73" i="54"/>
  <c r="F74" i="15"/>
  <c r="I28" i="15"/>
  <c r="G67" i="15"/>
  <c r="F33" i="54"/>
  <c r="F34" i="15"/>
  <c r="I13" i="15"/>
  <c r="I85" i="15"/>
  <c r="I123" i="15"/>
  <c r="FT132" i="5"/>
  <c r="FS132" i="5"/>
  <c r="FR132" i="5"/>
  <c r="FQ132" i="5"/>
  <c r="FP132" i="5"/>
  <c r="FO132" i="5"/>
  <c r="FN132" i="5"/>
  <c r="FM132" i="5"/>
  <c r="FL132" i="5"/>
  <c r="FK132" i="5"/>
  <c r="FJ132" i="5"/>
  <c r="FI132" i="5"/>
  <c r="FH132" i="5"/>
  <c r="FG132" i="5"/>
  <c r="FF132" i="5"/>
  <c r="FE132" i="5"/>
  <c r="FD132" i="5"/>
  <c r="FC132" i="5"/>
  <c r="FB132" i="5"/>
  <c r="FA132" i="5"/>
  <c r="EZ132" i="5"/>
  <c r="EY132" i="5"/>
  <c r="EX132" i="5"/>
  <c r="EW132" i="5"/>
  <c r="EV132" i="5"/>
  <c r="EU132" i="5"/>
  <c r="ET132" i="5"/>
  <c r="ES132" i="5"/>
  <c r="ER132" i="5"/>
  <c r="EQ132" i="5"/>
  <c r="EP132" i="5"/>
  <c r="EO132" i="5"/>
  <c r="EN132" i="5"/>
  <c r="EM132" i="5"/>
  <c r="EL132" i="5"/>
  <c r="EK132" i="5"/>
  <c r="EJ132" i="5"/>
  <c r="EI132" i="5"/>
  <c r="EH132" i="5"/>
  <c r="EG132" i="5"/>
  <c r="EF132" i="5"/>
  <c r="EE132" i="5"/>
  <c r="ED132" i="5"/>
  <c r="EC132" i="5"/>
  <c r="EB132" i="5"/>
  <c r="EA132" i="5"/>
  <c r="DZ132" i="5"/>
  <c r="DY132" i="5"/>
  <c r="DX132" i="5"/>
  <c r="DW132" i="5"/>
  <c r="DV132" i="5"/>
  <c r="DU132" i="5"/>
  <c r="DT132" i="5"/>
  <c r="DS132" i="5"/>
  <c r="DR132" i="5"/>
  <c r="DQ132" i="5"/>
  <c r="DP132" i="5"/>
  <c r="DO132" i="5"/>
  <c r="DN132" i="5"/>
  <c r="DM132" i="5"/>
  <c r="DL132" i="5"/>
  <c r="DK132" i="5"/>
  <c r="DJ132" i="5"/>
  <c r="DI132" i="5"/>
  <c r="DH132" i="5"/>
  <c r="DG132" i="5"/>
  <c r="DF132" i="5"/>
  <c r="DE132" i="5"/>
  <c r="DD132" i="5"/>
  <c r="DC132" i="5"/>
  <c r="DB132" i="5"/>
  <c r="DA132" i="5"/>
  <c r="CY132" i="5"/>
  <c r="CX132" i="5"/>
  <c r="CW132" i="5"/>
  <c r="CV132" i="5"/>
  <c r="CU132" i="5"/>
  <c r="CT132" i="5"/>
  <c r="CS132" i="5"/>
  <c r="CR132" i="5"/>
  <c r="CQ132" i="5"/>
  <c r="CP132" i="5"/>
  <c r="CO132" i="5"/>
  <c r="CN132" i="5"/>
  <c r="CM132" i="5"/>
  <c r="CL132" i="5"/>
  <c r="CK132" i="5"/>
  <c r="CJ132" i="5"/>
  <c r="CI132" i="5"/>
  <c r="CH132" i="5"/>
  <c r="CF132" i="5"/>
  <c r="CE132" i="5"/>
  <c r="CD132" i="5"/>
  <c r="CC132" i="5"/>
  <c r="CB132" i="5"/>
  <c r="CA132" i="5"/>
  <c r="BZ132" i="5"/>
  <c r="BY132" i="5"/>
  <c r="BX132" i="5"/>
  <c r="BW132" i="5"/>
  <c r="BV132" i="5"/>
  <c r="BU132" i="5"/>
  <c r="BT132" i="5"/>
  <c r="BS132" i="5"/>
  <c r="BR132" i="5"/>
  <c r="BQ132" i="5"/>
  <c r="BP132" i="5"/>
  <c r="BO132" i="5"/>
  <c r="BM132" i="5"/>
  <c r="BL132" i="5"/>
  <c r="BK132" i="5"/>
  <c r="BJ132" i="5"/>
  <c r="BI132" i="5"/>
  <c r="BH132" i="5"/>
  <c r="BG132" i="5"/>
  <c r="BF132" i="5"/>
  <c r="BE132" i="5"/>
  <c r="BD132" i="5"/>
  <c r="BC132" i="5"/>
  <c r="BB132" i="5"/>
  <c r="BA132" i="5"/>
  <c r="AZ132" i="5"/>
  <c r="AY132" i="5"/>
  <c r="AX132" i="5"/>
  <c r="AW132" i="5"/>
  <c r="AV132" i="5"/>
  <c r="AT132" i="5"/>
  <c r="AS132" i="5"/>
  <c r="AR132" i="5"/>
  <c r="AQ132" i="5"/>
  <c r="AP132" i="5"/>
  <c r="AO132" i="5"/>
  <c r="AN132" i="5"/>
  <c r="AM132" i="5"/>
  <c r="AL132" i="5"/>
  <c r="AK132" i="5"/>
  <c r="AJ132" i="5"/>
  <c r="AI132" i="5"/>
  <c r="AH132" i="5"/>
  <c r="AG132" i="5"/>
  <c r="AF132" i="5"/>
  <c r="AE132" i="5"/>
  <c r="AD132" i="5"/>
  <c r="AC132" i="5"/>
  <c r="AA132" i="5"/>
  <c r="Z132" i="5"/>
  <c r="Y132" i="5"/>
  <c r="X132" i="5"/>
  <c r="W132" i="5"/>
  <c r="V132" i="5"/>
  <c r="U132" i="5"/>
  <c r="T132" i="5"/>
  <c r="S132" i="5"/>
  <c r="R132" i="5"/>
  <c r="Q132" i="5"/>
  <c r="P132" i="5"/>
  <c r="O132" i="5"/>
  <c r="N132" i="5"/>
  <c r="M132" i="5"/>
  <c r="L132" i="5"/>
  <c r="K132" i="5"/>
  <c r="J132" i="5"/>
  <c r="H132" i="5"/>
  <c r="G132" i="5"/>
  <c r="F132" i="5"/>
  <c r="E132" i="5"/>
  <c r="D132" i="5"/>
  <c r="C132" i="5"/>
  <c r="B132" i="5"/>
  <c r="CA130" i="5"/>
  <c r="BL130" i="5"/>
  <c r="EY131" i="5"/>
  <c r="DV131" i="5"/>
  <c r="L130" i="5"/>
  <c r="BE130" i="5"/>
  <c r="AX130" i="5"/>
  <c r="AI130" i="5"/>
  <c r="BB131" i="5"/>
  <c r="DQ130" i="5"/>
  <c r="BM131" i="5"/>
  <c r="BY130" i="5"/>
  <c r="AC130" i="5"/>
  <c r="AJ130" i="5"/>
  <c r="R130" i="5"/>
  <c r="BM130" i="5"/>
  <c r="AE130" i="5"/>
  <c r="BK131" i="5"/>
  <c r="FB131" i="5"/>
  <c r="FJ131" i="5"/>
  <c r="FB130" i="5"/>
  <c r="FK131" i="5"/>
  <c r="DD130" i="5"/>
  <c r="BI130" i="5"/>
  <c r="DP131" i="5"/>
  <c r="BL131" i="5"/>
  <c r="CX131" i="5"/>
  <c r="DX131" i="5"/>
  <c r="DL131" i="5"/>
  <c r="DH130" i="5"/>
  <c r="BE131" i="5"/>
  <c r="DT130" i="5"/>
  <c r="T131" i="5"/>
  <c r="BG131" i="5"/>
  <c r="EK130" i="5"/>
  <c r="CB131" i="5"/>
  <c r="CV131" i="5"/>
  <c r="DY131" i="5"/>
  <c r="AD131" i="5"/>
  <c r="E130" i="5"/>
  <c r="BS131" i="5"/>
  <c r="AH130" i="5"/>
  <c r="AK130" i="5"/>
  <c r="FL130" i="5"/>
  <c r="CO131" i="5"/>
  <c r="CL130" i="5"/>
  <c r="DW130" i="5"/>
  <c r="BZ131" i="5"/>
  <c r="FF130" i="5"/>
  <c r="B131" i="5"/>
  <c r="FA131" i="5"/>
  <c r="EP131" i="5"/>
  <c r="AL130" i="5"/>
  <c r="ER130" i="5"/>
  <c r="DP130" i="5"/>
  <c r="M131" i="5"/>
  <c r="FC130" i="5"/>
  <c r="BK130" i="5"/>
  <c r="J130" i="5"/>
  <c r="FH130" i="5"/>
  <c r="AX131" i="5"/>
  <c r="DC130" i="5"/>
  <c r="FO131" i="5"/>
  <c r="V131" i="5"/>
  <c r="FK130" i="5"/>
  <c r="FG131" i="5"/>
  <c r="EK131" i="5"/>
  <c r="DX130" i="5"/>
  <c r="BC130" i="5"/>
  <c r="CJ130" i="5"/>
  <c r="BR130" i="5"/>
  <c r="DR130" i="5"/>
  <c r="EU131" i="5"/>
  <c r="FG130" i="5"/>
  <c r="CE131" i="5"/>
  <c r="FT131" i="5"/>
  <c r="EH130" i="5"/>
  <c r="CK130" i="5"/>
  <c r="EB131" i="5"/>
  <c r="CK131" i="5"/>
  <c r="EI130" i="5"/>
  <c r="BT130" i="5"/>
  <c r="FM131" i="5"/>
  <c r="EV131" i="5"/>
  <c r="X130" i="5"/>
  <c r="ES131" i="5"/>
  <c r="FO130" i="5"/>
  <c r="AZ131" i="5"/>
  <c r="EV130" i="5"/>
  <c r="DO131" i="5"/>
  <c r="FQ130" i="5"/>
  <c r="AG131" i="5"/>
  <c r="BQ130" i="5"/>
  <c r="CM131" i="5"/>
  <c r="CM130" i="5"/>
  <c r="CP131" i="5"/>
  <c r="DE131" i="5"/>
  <c r="Z131" i="5"/>
  <c r="CU130" i="5"/>
  <c r="AP131" i="5"/>
  <c r="G131" i="5"/>
  <c r="EY130" i="5"/>
  <c r="DU130" i="5"/>
  <c r="EJ130" i="5"/>
  <c r="FN131" i="5"/>
  <c r="EQ131" i="5"/>
  <c r="CW131" i="5"/>
  <c r="CY131" i="5"/>
  <c r="AQ130" i="5"/>
  <c r="FM130" i="5"/>
  <c r="CC130" i="5"/>
  <c r="AJ131" i="5"/>
  <c r="EC131" i="5"/>
  <c r="EL131" i="5"/>
  <c r="DA131" i="5"/>
  <c r="EA130" i="5"/>
  <c r="BD130" i="5"/>
  <c r="EO130" i="5"/>
  <c r="FL131" i="5"/>
  <c r="CI130" i="5"/>
  <c r="F131" i="5"/>
  <c r="U131" i="5"/>
  <c r="CS130" i="5"/>
  <c r="DS130" i="5"/>
  <c r="CD131" i="5"/>
  <c r="FR131" i="5"/>
  <c r="AT131" i="5"/>
  <c r="Q131" i="5"/>
  <c r="DL130" i="5"/>
  <c r="CA131" i="5"/>
  <c r="BU131" i="5"/>
  <c r="CW130" i="5"/>
  <c r="FD131" i="5"/>
  <c r="BP131" i="5"/>
  <c r="G130" i="5"/>
  <c r="CJ131" i="5"/>
  <c r="FR130" i="5"/>
  <c r="CF131" i="5"/>
  <c r="AP130" i="5"/>
  <c r="DJ130" i="5"/>
  <c r="EU130" i="5"/>
  <c r="CO130" i="5"/>
  <c r="DO130" i="5"/>
  <c r="M130" i="5"/>
  <c r="FC131" i="5"/>
  <c r="BX131" i="5"/>
  <c r="L131" i="5"/>
  <c r="BF130" i="5"/>
  <c r="CT131" i="5"/>
  <c r="BG130" i="5"/>
  <c r="EX130" i="5"/>
  <c r="BZ130" i="5"/>
  <c r="T130" i="5"/>
  <c r="FH131" i="5"/>
  <c r="AS131" i="5"/>
  <c r="CX130" i="5"/>
  <c r="P130" i="5"/>
  <c r="FI130" i="5"/>
  <c r="EZ131" i="5"/>
  <c r="EC130" i="5"/>
  <c r="AK131" i="5"/>
  <c r="AO131" i="5"/>
  <c r="V130" i="5"/>
  <c r="DG131" i="5"/>
  <c r="DD131" i="5"/>
  <c r="BH131" i="5"/>
  <c r="EP130" i="5"/>
  <c r="H131" i="5"/>
  <c r="BY131" i="5"/>
  <c r="FP131" i="5"/>
  <c r="S130" i="5"/>
  <c r="DN131" i="5"/>
  <c r="FI131" i="5"/>
  <c r="BO131" i="5"/>
  <c r="Q130" i="5"/>
  <c r="DZ130" i="5"/>
  <c r="EW130" i="5"/>
  <c r="S131" i="5"/>
  <c r="BS130" i="5"/>
  <c r="AR131" i="5"/>
  <c r="CY130" i="5"/>
  <c r="U130" i="5"/>
  <c r="EE130" i="5"/>
  <c r="AO130" i="5"/>
  <c r="O131" i="5"/>
  <c r="DB131" i="5"/>
  <c r="DT131" i="5"/>
  <c r="CT130" i="5"/>
  <c r="CH130" i="5"/>
  <c r="AQ131" i="5"/>
  <c r="DC131" i="5"/>
  <c r="BT131" i="5"/>
  <c r="P131" i="5"/>
  <c r="DK130" i="5"/>
  <c r="BQ131" i="5"/>
  <c r="AE131" i="5"/>
  <c r="K130" i="5"/>
  <c r="ES130" i="5"/>
  <c r="ER131" i="5"/>
  <c r="EQ130" i="5"/>
  <c r="DB130" i="5"/>
  <c r="CS131" i="5"/>
  <c r="AI131" i="5"/>
  <c r="ET130" i="5"/>
  <c r="FT130" i="5"/>
  <c r="DS131" i="5"/>
  <c r="O130" i="5"/>
  <c r="BV131" i="5"/>
  <c r="EO131" i="5"/>
  <c r="EZ130" i="5"/>
  <c r="AL131" i="5"/>
  <c r="Z130" i="5"/>
  <c r="AY130" i="5"/>
  <c r="BO130" i="5"/>
  <c r="AT130" i="5"/>
  <c r="CD130" i="5"/>
  <c r="AH131" i="5"/>
  <c r="BC131" i="5"/>
  <c r="AV130" i="5"/>
  <c r="FA130" i="5"/>
  <c r="J131" i="5"/>
  <c r="BU130" i="5"/>
  <c r="BA130" i="5"/>
  <c r="BP130" i="5"/>
  <c r="EF131" i="5"/>
  <c r="E131" i="5"/>
  <c r="EF130" i="5"/>
  <c r="AF130" i="5"/>
  <c r="CH131" i="5"/>
  <c r="CR131" i="5"/>
  <c r="D131" i="5"/>
  <c r="AW130" i="5"/>
  <c r="DY130" i="5"/>
  <c r="FS130" i="5"/>
  <c r="AN131" i="5"/>
  <c r="EG130" i="5"/>
  <c r="EG131" i="5"/>
  <c r="CV130" i="5"/>
  <c r="DK131" i="5"/>
  <c r="CB130" i="5"/>
  <c r="CP130" i="5"/>
  <c r="CF130" i="5"/>
  <c r="DM131" i="5"/>
  <c r="BR131" i="5"/>
  <c r="AM131" i="5"/>
  <c r="DR131" i="5"/>
  <c r="AA130" i="5"/>
  <c r="DH131" i="5"/>
  <c r="H130" i="5"/>
  <c r="EN131" i="5"/>
  <c r="B130" i="5"/>
  <c r="BW131" i="5"/>
  <c r="AY131" i="5"/>
  <c r="DI130" i="5"/>
  <c r="FF131" i="5"/>
  <c r="EA131" i="5"/>
  <c r="DZ131" i="5"/>
  <c r="CL131" i="5"/>
  <c r="BB130" i="5"/>
  <c r="FN130" i="5"/>
  <c r="D130" i="5"/>
  <c r="N131" i="5"/>
  <c r="AC131" i="5"/>
  <c r="W130" i="5"/>
  <c r="K131" i="5"/>
  <c r="ET131" i="5"/>
  <c r="Y130" i="5"/>
  <c r="AG130" i="5"/>
  <c r="EW131" i="5"/>
  <c r="EM131" i="5"/>
  <c r="EN130" i="5"/>
  <c r="EB130" i="5"/>
  <c r="EH131" i="5"/>
  <c r="DQ131" i="5"/>
  <c r="EX131" i="5"/>
  <c r="BI131" i="5"/>
  <c r="BW130" i="5"/>
  <c r="FE130" i="5"/>
  <c r="FP130" i="5"/>
  <c r="FD130" i="5"/>
  <c r="DU131" i="5"/>
  <c r="AF131" i="5"/>
  <c r="ED130" i="5"/>
  <c r="F130" i="5"/>
  <c r="EL130" i="5"/>
  <c r="FS131" i="5"/>
  <c r="C130" i="5"/>
  <c r="CQ131" i="5"/>
  <c r="DJ131" i="5"/>
  <c r="DA130" i="5"/>
  <c r="AM130" i="5"/>
  <c r="DF130" i="5"/>
  <c r="EM130" i="5"/>
  <c r="DM130" i="5"/>
  <c r="BV130" i="5"/>
  <c r="DW131" i="5"/>
  <c r="BA131" i="5"/>
  <c r="DI131" i="5"/>
  <c r="DG130" i="5"/>
  <c r="DV130" i="5"/>
  <c r="BX130" i="5"/>
  <c r="CN131" i="5"/>
  <c r="AR130" i="5"/>
  <c r="AN130" i="5"/>
  <c r="CN130" i="5"/>
  <c r="FJ130" i="5"/>
  <c r="R131" i="5"/>
  <c r="CC131" i="5"/>
  <c r="BH130" i="5"/>
  <c r="AW131" i="5"/>
  <c r="N130" i="5"/>
  <c r="W131" i="5"/>
  <c r="AV131" i="5"/>
  <c r="C131" i="5"/>
  <c r="EE131" i="5"/>
  <c r="Y131" i="5"/>
  <c r="BD131" i="5"/>
  <c r="AS130" i="5"/>
  <c r="BJ130" i="5"/>
  <c r="CE130" i="5"/>
  <c r="AA131" i="5"/>
  <c r="FQ131" i="5"/>
  <c r="CI131" i="5"/>
  <c r="AZ130" i="5"/>
  <c r="X131" i="5"/>
  <c r="DE130" i="5"/>
  <c r="DF131" i="5"/>
  <c r="EJ131" i="5"/>
  <c r="AD130" i="5"/>
  <c r="ED131" i="5"/>
  <c r="CR130" i="5"/>
  <c r="BF131" i="5"/>
  <c r="CQ130" i="5"/>
  <c r="EI131" i="5"/>
  <c r="FE131" i="5"/>
  <c r="CU131" i="5"/>
  <c r="DN130" i="5"/>
  <c r="BJ131" i="5"/>
  <c r="BS114" i="5"/>
  <c r="FN104" i="5"/>
  <c r="CG123" i="5"/>
  <c r="AR123" i="5"/>
  <c r="AW120" i="5"/>
  <c r="BC102" i="5"/>
  <c r="BU107" i="5"/>
  <c r="FI110" i="5"/>
  <c r="BU126" i="5"/>
  <c r="C125" i="5"/>
  <c r="X122" i="5"/>
  <c r="EE125" i="5"/>
  <c r="AQ122" i="5"/>
  <c r="CI101" i="5"/>
  <c r="AP126" i="5"/>
  <c r="EX123" i="5"/>
  <c r="FB125" i="5"/>
  <c r="O116" i="5"/>
  <c r="AB127" i="5"/>
  <c r="FC114" i="5"/>
  <c r="BF122" i="5"/>
  <c r="CJ125" i="5"/>
  <c r="FL110" i="5"/>
  <c r="DC124" i="5"/>
  <c r="FJ118" i="5"/>
  <c r="L126" i="5"/>
  <c r="CF102" i="5"/>
  <c r="CD100" i="5"/>
  <c r="BU109" i="5"/>
  <c r="FA110" i="5"/>
  <c r="BI124" i="5"/>
  <c r="EI125" i="5"/>
  <c r="AG110" i="5"/>
  <c r="FJ129" i="5"/>
  <c r="AF125" i="5"/>
  <c r="DF105" i="5"/>
  <c r="FQ123" i="5"/>
  <c r="AA102" i="5"/>
  <c r="EN121" i="5"/>
  <c r="CO126" i="5"/>
  <c r="AA116" i="5"/>
  <c r="K122" i="5"/>
  <c r="AD106" i="5"/>
  <c r="DW124" i="5"/>
  <c r="ES112" i="5"/>
  <c r="DN123" i="5"/>
  <c r="FL125" i="5"/>
  <c r="CZ129" i="5"/>
  <c r="ES128" i="5"/>
  <c r="X124" i="5"/>
  <c r="AM124" i="5"/>
  <c r="CA102" i="5"/>
  <c r="BD107" i="5"/>
  <c r="BI110" i="5"/>
  <c r="N120" i="5"/>
  <c r="AD117" i="5"/>
  <c r="D129" i="5"/>
  <c r="BM115" i="5"/>
  <c r="FF107" i="5"/>
  <c r="BF102" i="5"/>
  <c r="CX127" i="5"/>
  <c r="DX117" i="5"/>
  <c r="CS103" i="5"/>
  <c r="W113" i="5"/>
  <c r="AH115" i="5"/>
  <c r="H122" i="5"/>
  <c r="BJ108" i="5"/>
  <c r="CT124" i="5"/>
  <c r="DX122" i="5"/>
  <c r="Y129" i="5"/>
  <c r="CJ102" i="5"/>
  <c r="DU103" i="5"/>
  <c r="BW102" i="5"/>
  <c r="DT102" i="5"/>
  <c r="EG118" i="5"/>
  <c r="FK127" i="5"/>
  <c r="FT111" i="5"/>
  <c r="CM100" i="5"/>
  <c r="CQ117" i="5"/>
  <c r="CR117" i="5"/>
  <c r="EA123" i="5"/>
  <c r="EC124" i="5"/>
  <c r="CI103" i="5"/>
  <c r="F118" i="5"/>
  <c r="BK113" i="5"/>
  <c r="AW110" i="5"/>
  <c r="CU112" i="5"/>
  <c r="DF115" i="5"/>
  <c r="FA101" i="5"/>
  <c r="B103" i="5"/>
  <c r="CK100" i="5"/>
  <c r="AK106" i="5"/>
  <c r="EQ102" i="5"/>
  <c r="CM118" i="5"/>
  <c r="CX125" i="5"/>
  <c r="CS120" i="5"/>
  <c r="BL115" i="5"/>
  <c r="DJ118" i="5"/>
  <c r="DP117" i="5"/>
  <c r="DG101" i="5"/>
  <c r="EI123" i="5"/>
  <c r="M128" i="5"/>
  <c r="AR124" i="5"/>
  <c r="FB113" i="5"/>
  <c r="EH111" i="5"/>
  <c r="BM119" i="5"/>
  <c r="EW99" i="5"/>
  <c r="ER127" i="5"/>
  <c r="F68" i="5"/>
  <c r="CW103" i="5"/>
  <c r="CT100" i="5"/>
  <c r="D103" i="5"/>
  <c r="FM101" i="5"/>
  <c r="W125" i="5"/>
  <c r="EN125" i="5"/>
  <c r="FP103" i="5"/>
  <c r="DX104" i="5"/>
  <c r="DB127" i="5"/>
  <c r="DR118" i="5"/>
  <c r="CQ116" i="5"/>
  <c r="BZ115" i="5"/>
  <c r="CD123" i="5"/>
  <c r="DX127" i="5"/>
  <c r="AQ103" i="5"/>
  <c r="FF128" i="5"/>
  <c r="EU124" i="5"/>
  <c r="BD120" i="5"/>
  <c r="L100" i="5"/>
  <c r="P123" i="5"/>
  <c r="FN117" i="5"/>
  <c r="AW113" i="5"/>
  <c r="DI124" i="5"/>
  <c r="CG120" i="5"/>
  <c r="BQ128" i="5"/>
  <c r="BL106" i="5"/>
  <c r="AV105" i="5"/>
  <c r="EH110" i="5"/>
  <c r="BS107" i="5"/>
  <c r="N112" i="5"/>
  <c r="EO122" i="5"/>
  <c r="BT109" i="5"/>
  <c r="CV120" i="5"/>
  <c r="CY120" i="5"/>
  <c r="ET107" i="5"/>
  <c r="DU113" i="5"/>
  <c r="FN124" i="5"/>
  <c r="BL121" i="5"/>
  <c r="CW116" i="5"/>
  <c r="EM118" i="5"/>
  <c r="BL123" i="5"/>
  <c r="N125" i="5"/>
  <c r="Z114" i="5"/>
  <c r="AI125" i="5"/>
  <c r="BP107" i="5"/>
  <c r="CA114" i="5"/>
  <c r="FN110" i="5"/>
  <c r="B124" i="5"/>
  <c r="FN107" i="5"/>
  <c r="DL124" i="5"/>
  <c r="AN120" i="5"/>
  <c r="G102" i="5"/>
  <c r="DW118" i="5"/>
  <c r="M115" i="5"/>
  <c r="AX121" i="5"/>
  <c r="G82" i="5"/>
  <c r="FA111" i="5"/>
  <c r="EU123" i="5"/>
  <c r="AI104" i="5"/>
  <c r="DP121" i="5"/>
  <c r="FA116" i="5"/>
  <c r="EB127" i="5"/>
  <c r="DJ105" i="5"/>
  <c r="CH105" i="5"/>
  <c r="AK122" i="5"/>
  <c r="FD121" i="5"/>
  <c r="BX115" i="5"/>
  <c r="AY122" i="5"/>
  <c r="DL112" i="5"/>
  <c r="CP106" i="5"/>
  <c r="EP121" i="5"/>
  <c r="EF112" i="5"/>
  <c r="CR107" i="5"/>
  <c r="FQ124" i="5"/>
  <c r="CP107" i="5"/>
  <c r="C113" i="5"/>
  <c r="DJ125" i="5"/>
  <c r="L128" i="5"/>
  <c r="FC103" i="5"/>
  <c r="EN120" i="5"/>
  <c r="U108" i="5"/>
  <c r="FQ105" i="5"/>
  <c r="CN107" i="5"/>
  <c r="AO129" i="5"/>
  <c r="AD99" i="5"/>
  <c r="DO106" i="5"/>
  <c r="V112" i="5"/>
  <c r="ES110" i="5"/>
  <c r="EY111" i="5"/>
  <c r="BR128" i="5"/>
  <c r="BT123" i="5"/>
  <c r="FP109" i="5"/>
  <c r="EG126" i="5"/>
  <c r="AB121" i="5"/>
  <c r="EH123" i="5"/>
  <c r="EY125" i="5"/>
  <c r="AA129" i="5"/>
  <c r="DH106" i="5"/>
  <c r="BT117" i="5"/>
  <c r="AL127" i="5"/>
  <c r="H116" i="5"/>
  <c r="BC116" i="5"/>
  <c r="BL110" i="5"/>
  <c r="EQ111" i="5"/>
  <c r="CF112" i="5"/>
  <c r="EZ129" i="5"/>
  <c r="BP109" i="5"/>
  <c r="FD101" i="5"/>
  <c r="EJ109" i="5"/>
  <c r="CE106" i="5"/>
  <c r="AJ105" i="5"/>
  <c r="F104" i="5"/>
  <c r="CH113" i="5"/>
  <c r="AP129" i="5"/>
  <c r="BZ109" i="5"/>
  <c r="BK122" i="5"/>
  <c r="EP128" i="5"/>
  <c r="P99" i="5"/>
  <c r="FK122" i="5"/>
  <c r="FC129" i="5"/>
  <c r="AZ113" i="5"/>
  <c r="EJ124" i="5"/>
  <c r="AP107" i="5"/>
  <c r="BE104" i="5"/>
  <c r="FK123" i="5"/>
  <c r="EQ110" i="5"/>
  <c r="M121" i="5"/>
  <c r="BS121" i="5"/>
  <c r="EN117" i="5"/>
  <c r="FM107" i="5"/>
  <c r="AG113" i="5"/>
  <c r="I100" i="5"/>
  <c r="BY100" i="5"/>
  <c r="DS129" i="5"/>
  <c r="ER128" i="5"/>
  <c r="M99" i="5"/>
  <c r="DY124" i="5"/>
  <c r="BL118" i="5"/>
  <c r="DJ115" i="5"/>
  <c r="ED115" i="5"/>
  <c r="AA122" i="5"/>
  <c r="CE120" i="5"/>
  <c r="EB115" i="5"/>
  <c r="EL115" i="5"/>
  <c r="BG123" i="5"/>
  <c r="CL110" i="5"/>
  <c r="EH112" i="5"/>
  <c r="DK122" i="5"/>
  <c r="DT124" i="5"/>
  <c r="BB114" i="5"/>
  <c r="FO127" i="5"/>
  <c r="DH127" i="5"/>
  <c r="DD128" i="5"/>
  <c r="H83" i="5"/>
  <c r="DW112" i="5"/>
  <c r="DH126" i="5"/>
  <c r="FR114" i="5"/>
  <c r="AD100" i="5"/>
  <c r="EW125" i="5"/>
  <c r="CL125" i="5"/>
  <c r="DW121" i="5"/>
  <c r="F73" i="5"/>
  <c r="DR99" i="5"/>
  <c r="AR110" i="5"/>
  <c r="AN109" i="5"/>
  <c r="DO127" i="5"/>
  <c r="DU100" i="5"/>
  <c r="DX128" i="5"/>
  <c r="EC127" i="5"/>
  <c r="AT117" i="5"/>
  <c r="EK102" i="5"/>
  <c r="DF114" i="5"/>
  <c r="BP112" i="5"/>
  <c r="EZ117" i="5"/>
  <c r="J121" i="5"/>
  <c r="EO128" i="5"/>
  <c r="BD104" i="5"/>
  <c r="S115" i="5"/>
  <c r="DD107" i="5"/>
  <c r="DP114" i="5"/>
  <c r="X128" i="5"/>
  <c r="DI100" i="5"/>
  <c r="FN106" i="5"/>
  <c r="DU107" i="5"/>
  <c r="BC126" i="5"/>
  <c r="U110" i="5"/>
  <c r="EW127" i="5"/>
  <c r="BW112" i="5"/>
  <c r="G96" i="5"/>
  <c r="EV105" i="5"/>
  <c r="FI123" i="5"/>
  <c r="FM106" i="5"/>
  <c r="ES103" i="5"/>
  <c r="EY117" i="5"/>
  <c r="FE107" i="5"/>
  <c r="ET127" i="5"/>
  <c r="BI123" i="5"/>
  <c r="BS129" i="5"/>
  <c r="FQ118" i="5"/>
  <c r="L124" i="5"/>
  <c r="DV100" i="5"/>
  <c r="BQ117" i="5"/>
  <c r="BC123" i="5"/>
  <c r="P106" i="5"/>
  <c r="AF128" i="5"/>
  <c r="ET122" i="5"/>
  <c r="AG111" i="5"/>
  <c r="FN123" i="5"/>
  <c r="EP105" i="5"/>
  <c r="FA126" i="5"/>
  <c r="BB129" i="5"/>
  <c r="CM111" i="5"/>
  <c r="FG108" i="5"/>
  <c r="P121" i="5"/>
  <c r="Z108" i="5"/>
  <c r="AG123" i="5"/>
  <c r="FG129" i="5"/>
  <c r="CH102" i="5"/>
  <c r="CI113" i="5"/>
  <c r="FI124" i="5"/>
  <c r="AZ129" i="5"/>
  <c r="AG120" i="5"/>
  <c r="AN123" i="5"/>
  <c r="BU102" i="5"/>
  <c r="CE111" i="5"/>
  <c r="DA121" i="5"/>
  <c r="FO120" i="5"/>
  <c r="EP114" i="5"/>
  <c r="CB107" i="5"/>
  <c r="BL122" i="5"/>
  <c r="O119" i="5"/>
  <c r="EH128" i="5"/>
  <c r="DG122" i="5"/>
  <c r="CP126" i="5"/>
  <c r="EG122" i="5"/>
  <c r="DX126" i="5"/>
  <c r="P112" i="5"/>
  <c r="CT107" i="5"/>
  <c r="DN112" i="5"/>
  <c r="EP116" i="5"/>
  <c r="AP120" i="5"/>
  <c r="AA117" i="5"/>
  <c r="L102" i="5"/>
  <c r="AU106" i="5"/>
  <c r="BR129" i="5"/>
  <c r="DE118" i="5"/>
  <c r="M102" i="5"/>
  <c r="FQ101" i="5"/>
  <c r="B116" i="5"/>
  <c r="AQ110" i="5"/>
  <c r="CX109" i="5"/>
  <c r="F83" i="5"/>
  <c r="CT115" i="5"/>
  <c r="DM121" i="5"/>
  <c r="EH116" i="5"/>
  <c r="CA106" i="5"/>
  <c r="EJ123" i="5"/>
  <c r="EB111" i="5"/>
  <c r="EM113" i="5"/>
  <c r="BU113" i="5"/>
  <c r="ES105" i="5"/>
  <c r="EP126" i="5"/>
  <c r="DA103" i="5"/>
  <c r="W107" i="5"/>
  <c r="K126" i="5"/>
  <c r="DO99" i="5"/>
  <c r="F82" i="5"/>
  <c r="DQ108" i="5"/>
  <c r="DX124" i="5"/>
  <c r="CT111" i="5"/>
  <c r="FR99" i="5"/>
  <c r="AY108" i="5"/>
  <c r="AP123" i="5"/>
  <c r="AS129" i="5"/>
  <c r="F127" i="5"/>
  <c r="CM117" i="5"/>
  <c r="CP122" i="5"/>
  <c r="BF129" i="5"/>
  <c r="Z110" i="5"/>
  <c r="BL111" i="5"/>
  <c r="CB118" i="5"/>
  <c r="BW118" i="5"/>
  <c r="CW102" i="5"/>
  <c r="AS120" i="5"/>
  <c r="FH128" i="5"/>
  <c r="AP125" i="5"/>
  <c r="BV126" i="5"/>
  <c r="CV101" i="5"/>
  <c r="J108" i="5"/>
  <c r="M126" i="5"/>
  <c r="CA124" i="5"/>
  <c r="U119" i="5"/>
  <c r="DJ113" i="5"/>
  <c r="FK120" i="5"/>
  <c r="DH111" i="5"/>
  <c r="FT118" i="5"/>
  <c r="AH106" i="5"/>
  <c r="DR106" i="5"/>
  <c r="AR101" i="5"/>
  <c r="DC107" i="5"/>
  <c r="CC121" i="5"/>
  <c r="C115" i="5"/>
  <c r="AW129" i="5"/>
  <c r="DW120" i="5"/>
  <c r="CQ124" i="5"/>
  <c r="FN127" i="5"/>
  <c r="DV116" i="5"/>
  <c r="CD126" i="5"/>
  <c r="E111" i="5"/>
  <c r="AW116" i="5"/>
  <c r="AN106" i="5"/>
  <c r="BH127" i="5"/>
  <c r="DX100" i="5"/>
  <c r="BK120" i="5"/>
  <c r="S122" i="5"/>
  <c r="AB123" i="5"/>
  <c r="ER126" i="5"/>
  <c r="DP116" i="5"/>
  <c r="C121" i="5"/>
  <c r="FJ120" i="5"/>
  <c r="EV125" i="5"/>
  <c r="H105" i="5"/>
  <c r="DT120" i="5"/>
  <c r="AT129" i="5"/>
  <c r="AJ116" i="5"/>
  <c r="CO107" i="5"/>
  <c r="CO115" i="5"/>
  <c r="ET99" i="5"/>
  <c r="BD112" i="5"/>
  <c r="EL120" i="5"/>
  <c r="EY119" i="5"/>
  <c r="BJ105" i="5"/>
  <c r="FN111" i="5"/>
  <c r="CV107" i="5"/>
  <c r="S129" i="5"/>
  <c r="CN122" i="5"/>
  <c r="EX122" i="5"/>
  <c r="BV123" i="5"/>
  <c r="EL116" i="5"/>
  <c r="T108" i="5"/>
  <c r="DK111" i="5"/>
  <c r="AG109" i="5"/>
  <c r="EU103" i="5"/>
  <c r="AX109" i="5"/>
  <c r="CW100" i="5"/>
  <c r="DC114" i="5"/>
  <c r="DN120" i="5"/>
  <c r="EN119" i="5"/>
  <c r="AL118" i="5"/>
  <c r="FF106" i="5"/>
  <c r="I112" i="5"/>
  <c r="CM129" i="5"/>
  <c r="FD127" i="5"/>
  <c r="FJ106" i="5"/>
  <c r="FI102" i="5"/>
  <c r="BB99" i="5"/>
  <c r="EO99" i="5"/>
  <c r="V107" i="5"/>
  <c r="CX103" i="5"/>
  <c r="AO124" i="5"/>
  <c r="EX129" i="5"/>
  <c r="K108" i="5"/>
  <c r="DO128" i="5"/>
  <c r="R114" i="5"/>
  <c r="DY127" i="5"/>
  <c r="DZ105" i="5"/>
  <c r="AA100" i="5"/>
  <c r="DW108" i="5"/>
  <c r="G119" i="5"/>
  <c r="AE129" i="5"/>
  <c r="FB123" i="5"/>
  <c r="CY111" i="5"/>
  <c r="G103" i="5"/>
  <c r="AS110" i="5"/>
  <c r="BQ102" i="5"/>
  <c r="BT128" i="5"/>
  <c r="CG128" i="5"/>
  <c r="M127" i="5"/>
  <c r="Q115" i="5"/>
  <c r="DF123" i="5"/>
  <c r="DT106" i="5"/>
  <c r="FB103" i="5"/>
  <c r="AC113" i="5"/>
  <c r="W110" i="5"/>
  <c r="DT111" i="5"/>
  <c r="V118" i="5"/>
  <c r="DH105" i="5"/>
  <c r="DR122" i="5"/>
  <c r="CD120" i="5"/>
  <c r="M119" i="5"/>
  <c r="U105" i="5"/>
  <c r="X116" i="5"/>
  <c r="AY115" i="5"/>
  <c r="E105" i="5"/>
  <c r="AD127" i="5"/>
  <c r="ED126" i="5"/>
  <c r="CQ110" i="5"/>
  <c r="DN109" i="5"/>
  <c r="U127" i="5"/>
  <c r="ES108" i="5"/>
  <c r="FQ104" i="5"/>
  <c r="D99" i="5"/>
  <c r="EC117" i="5"/>
  <c r="CI106" i="5"/>
  <c r="AA119" i="5"/>
  <c r="BI122" i="5"/>
  <c r="DC111" i="5"/>
  <c r="EF108" i="5"/>
  <c r="BA116" i="5"/>
  <c r="EC129" i="5"/>
  <c r="CC123" i="5"/>
  <c r="CB127" i="5"/>
  <c r="FR103" i="5"/>
  <c r="EM100" i="5"/>
  <c r="DU125" i="5"/>
  <c r="CA113" i="5"/>
  <c r="DT119" i="5"/>
  <c r="DM127" i="5"/>
  <c r="EC116" i="5"/>
  <c r="EA117" i="5"/>
  <c r="DK102" i="5"/>
  <c r="BB110" i="5"/>
  <c r="BZ113" i="5"/>
  <c r="FJ110" i="5"/>
  <c r="EO123" i="5"/>
  <c r="I127" i="5"/>
  <c r="CN101" i="5"/>
  <c r="DB123" i="5"/>
  <c r="EB124" i="5"/>
  <c r="P103" i="5"/>
  <c r="BP106" i="5"/>
  <c r="BO101" i="5"/>
  <c r="BX116" i="5"/>
  <c r="FH101" i="5"/>
  <c r="AS103" i="5"/>
  <c r="EK126" i="5"/>
  <c r="AL106" i="5"/>
  <c r="BA115" i="5"/>
  <c r="DG123" i="5"/>
  <c r="ER107" i="5"/>
  <c r="BK124" i="5"/>
  <c r="BW123" i="5"/>
  <c r="EF103" i="5"/>
  <c r="AX108" i="5"/>
  <c r="AF116" i="5"/>
  <c r="EN122" i="5"/>
  <c r="CV118" i="5"/>
  <c r="AF107" i="5"/>
  <c r="DY104" i="5"/>
  <c r="FK115" i="5"/>
  <c r="AN111" i="5"/>
  <c r="BY127" i="5"/>
  <c r="EB100" i="5"/>
  <c r="EW110" i="5"/>
  <c r="T99" i="5"/>
  <c r="DA101" i="5"/>
  <c r="DK114" i="5"/>
  <c r="FR120" i="5"/>
  <c r="R118" i="5"/>
  <c r="BD110" i="5"/>
  <c r="FK128" i="5"/>
  <c r="EE109" i="5"/>
  <c r="CU129" i="5"/>
  <c r="FN103" i="5"/>
  <c r="FK100" i="5"/>
  <c r="CO118" i="5"/>
  <c r="AT107" i="5"/>
  <c r="DV119" i="5"/>
  <c r="AA120" i="5"/>
  <c r="CP113" i="5"/>
  <c r="CM101" i="5"/>
  <c r="FB119" i="5"/>
  <c r="EG128" i="5"/>
  <c r="BL104" i="5"/>
  <c r="FG116" i="5"/>
  <c r="EZ104" i="5"/>
  <c r="EG127" i="5"/>
  <c r="BI100" i="5"/>
  <c r="DA110" i="5"/>
  <c r="I120" i="5"/>
  <c r="EV129" i="5"/>
  <c r="BA114" i="5"/>
  <c r="X127" i="5"/>
  <c r="BV128" i="5"/>
  <c r="EY124" i="5"/>
  <c r="EQ99" i="5"/>
  <c r="Q121" i="5"/>
  <c r="DH122" i="5"/>
  <c r="AK117" i="5"/>
  <c r="EZ116" i="5"/>
  <c r="AQ127" i="5"/>
  <c r="DK104" i="5"/>
  <c r="CQ113" i="5"/>
  <c r="FG102" i="5"/>
  <c r="G79" i="5"/>
  <c r="AS125" i="5"/>
  <c r="Z107" i="5"/>
  <c r="ER125" i="5"/>
  <c r="K107" i="5"/>
  <c r="FO108" i="5"/>
  <c r="AS101" i="5"/>
  <c r="DI106" i="5"/>
  <c r="CE127" i="5"/>
  <c r="DU115" i="5"/>
  <c r="CX108" i="5"/>
  <c r="DR103" i="5"/>
  <c r="BU110" i="5"/>
  <c r="F110" i="5"/>
  <c r="S124" i="5"/>
  <c r="EE106" i="5"/>
  <c r="CY123" i="5"/>
  <c r="AA106" i="5"/>
  <c r="CX116" i="5"/>
  <c r="FH110" i="5"/>
  <c r="EJ101" i="5"/>
  <c r="FH125" i="5"/>
  <c r="CB125" i="5"/>
  <c r="X101" i="5"/>
  <c r="CD108" i="5"/>
  <c r="AQ113" i="5"/>
  <c r="ED118" i="5"/>
  <c r="CU106" i="5"/>
  <c r="ES118" i="5"/>
  <c r="FE115" i="5"/>
  <c r="EV108" i="5"/>
  <c r="FD108" i="5"/>
  <c r="W108" i="5"/>
  <c r="CU107" i="5"/>
  <c r="EA126" i="5"/>
  <c r="FL103" i="5"/>
  <c r="AL103" i="5"/>
  <c r="BR123" i="5"/>
  <c r="AZ103" i="5"/>
  <c r="CF127" i="5"/>
  <c r="AM129" i="5"/>
  <c r="DN114" i="5"/>
  <c r="EJ113" i="5"/>
  <c r="DJ112" i="5"/>
  <c r="EK108" i="5"/>
  <c r="AA127" i="5"/>
  <c r="FP115" i="5"/>
  <c r="EV121" i="5"/>
  <c r="AD116" i="5"/>
  <c r="AL104" i="5"/>
  <c r="V105" i="5"/>
  <c r="BJ122" i="5"/>
  <c r="Z125" i="5"/>
  <c r="V128" i="5"/>
  <c r="EC113" i="5"/>
  <c r="BR124" i="5"/>
  <c r="DW106" i="5"/>
  <c r="AU126" i="5"/>
  <c r="BK119" i="5"/>
  <c r="K113" i="5"/>
  <c r="BF126" i="5"/>
  <c r="FQ109" i="5"/>
  <c r="CY115" i="5"/>
  <c r="H119" i="5"/>
  <c r="FM122" i="5"/>
  <c r="FA128" i="5"/>
  <c r="DU114" i="5"/>
  <c r="U128" i="5"/>
  <c r="BE117" i="5"/>
  <c r="CV106" i="5"/>
  <c r="C107" i="5"/>
  <c r="BF123" i="5"/>
  <c r="FH121" i="5"/>
  <c r="EO124" i="5"/>
  <c r="CJ114" i="5"/>
  <c r="AM126" i="5"/>
  <c r="CL113" i="5"/>
  <c r="EF125" i="5"/>
  <c r="M117" i="5"/>
  <c r="FF114" i="5"/>
  <c r="EO104" i="5"/>
  <c r="DH118" i="5"/>
  <c r="DM102" i="5"/>
  <c r="CK124" i="5"/>
  <c r="DP111" i="5"/>
  <c r="FF123" i="5"/>
  <c r="BX120" i="5"/>
  <c r="ET125" i="5"/>
  <c r="FF102" i="5"/>
  <c r="DF103" i="5"/>
  <c r="CM120" i="5"/>
  <c r="AT118" i="5"/>
  <c r="AL120" i="5"/>
  <c r="L123" i="5"/>
  <c r="W103" i="5"/>
  <c r="DC120" i="5"/>
  <c r="AJ123" i="5"/>
  <c r="EZ109" i="5"/>
  <c r="AG126" i="5"/>
  <c r="BR113" i="5"/>
  <c r="AB114" i="5"/>
  <c r="DT126" i="5"/>
  <c r="FA103" i="5"/>
  <c r="AW109" i="5"/>
  <c r="U124" i="5"/>
  <c r="FD119" i="5"/>
  <c r="BL117" i="5"/>
  <c r="BX125" i="5"/>
  <c r="AL112" i="5"/>
  <c r="CU110" i="5"/>
  <c r="BZ101" i="5"/>
  <c r="M113" i="5"/>
  <c r="CL127" i="5"/>
  <c r="Q127" i="5"/>
  <c r="AL117" i="5"/>
  <c r="EY114" i="5"/>
  <c r="I128" i="5"/>
  <c r="CX115" i="5"/>
  <c r="BF124" i="5"/>
  <c r="BI125" i="5"/>
  <c r="EW101" i="5"/>
  <c r="CE110" i="5"/>
  <c r="EZ108" i="5"/>
  <c r="FI116" i="5"/>
  <c r="T124" i="5"/>
  <c r="AQ101" i="5"/>
  <c r="EG109" i="5"/>
  <c r="BS113" i="5"/>
  <c r="FS125" i="5"/>
  <c r="DH119" i="5"/>
  <c r="CN106" i="5"/>
  <c r="EE116" i="5"/>
  <c r="BT100" i="5"/>
  <c r="BQ107" i="5"/>
  <c r="M122" i="5"/>
  <c r="CI126" i="5"/>
  <c r="BY102" i="5"/>
  <c r="X123" i="5"/>
  <c r="EW105" i="5"/>
  <c r="FS114" i="5"/>
  <c r="DV120" i="5"/>
  <c r="F98" i="5"/>
  <c r="CA117" i="5"/>
  <c r="BM117" i="5"/>
  <c r="AY121" i="5"/>
  <c r="DO123" i="5"/>
  <c r="FE127" i="5"/>
  <c r="DS117" i="5"/>
  <c r="T104" i="5"/>
  <c r="DN122" i="5"/>
  <c r="DC113" i="5"/>
  <c r="FL122" i="5"/>
  <c r="CC122" i="5"/>
  <c r="EV117" i="5"/>
  <c r="FE129" i="5"/>
  <c r="AE122" i="5"/>
  <c r="DR104" i="5"/>
  <c r="CR116" i="5"/>
  <c r="R128" i="5"/>
  <c r="CY104" i="5"/>
  <c r="FC118" i="5"/>
  <c r="FN125" i="5"/>
  <c r="DM112" i="5"/>
  <c r="W116" i="5"/>
  <c r="AF106" i="5"/>
  <c r="CB110" i="5"/>
  <c r="EP115" i="5"/>
  <c r="DX120" i="5"/>
  <c r="BS120" i="5"/>
  <c r="AE125" i="5"/>
  <c r="BZ124" i="5"/>
  <c r="EJ116" i="5"/>
  <c r="BX112" i="5"/>
  <c r="BT125" i="5"/>
  <c r="AQ124" i="5"/>
  <c r="DP99" i="5"/>
  <c r="K114" i="5"/>
  <c r="BH117" i="5"/>
  <c r="EC120" i="5"/>
  <c r="AW122" i="5"/>
  <c r="BJ119" i="5"/>
  <c r="BA112" i="5"/>
  <c r="AD121" i="5"/>
  <c r="BM108" i="5"/>
  <c r="BH123" i="5"/>
  <c r="AE121" i="5"/>
  <c r="AM101" i="5"/>
  <c r="BV106" i="5"/>
  <c r="BS116" i="5"/>
  <c r="DI117" i="5"/>
  <c r="AW104" i="5"/>
  <c r="R108" i="5"/>
  <c r="AP108" i="5"/>
  <c r="FK104" i="5"/>
  <c r="CP116" i="5"/>
  <c r="EM115" i="5"/>
  <c r="S116" i="5"/>
  <c r="FS121" i="5"/>
  <c r="CQ119" i="5"/>
  <c r="AR113" i="5"/>
  <c r="AZ123" i="5"/>
  <c r="EU105" i="5"/>
  <c r="Q102" i="5"/>
  <c r="U101" i="5"/>
  <c r="AC115" i="5"/>
  <c r="FP106" i="5"/>
  <c r="BN129" i="5"/>
  <c r="DH114" i="5"/>
  <c r="Z101" i="5"/>
  <c r="FJ111" i="5"/>
  <c r="J109" i="5"/>
  <c r="CJ103" i="5"/>
  <c r="BD111" i="5"/>
  <c r="DR107" i="5"/>
  <c r="DK119" i="5"/>
  <c r="DL121" i="5"/>
  <c r="Q126" i="5"/>
  <c r="EZ106" i="5"/>
  <c r="EY116" i="5"/>
  <c r="O108" i="5"/>
  <c r="AV127" i="5"/>
  <c r="CY119" i="5"/>
  <c r="DS109" i="5"/>
  <c r="AV100" i="5"/>
  <c r="EN118" i="5"/>
  <c r="BA111" i="5"/>
  <c r="DS106" i="5"/>
  <c r="FD115" i="5"/>
  <c r="CW126" i="5"/>
  <c r="AT123" i="5"/>
  <c r="DY120" i="5"/>
  <c r="CU121" i="5"/>
  <c r="DE102" i="5"/>
  <c r="AL99" i="5"/>
  <c r="AM115" i="5"/>
  <c r="DJ127" i="5"/>
  <c r="AH124" i="5"/>
  <c r="AT105" i="5"/>
  <c r="DO109" i="5"/>
  <c r="DI109" i="5"/>
  <c r="AO128" i="5"/>
  <c r="DU106" i="5"/>
  <c r="AF121" i="5"/>
  <c r="EL102" i="5"/>
  <c r="O127" i="5"/>
  <c r="BX111" i="5"/>
  <c r="DR115" i="5"/>
  <c r="BY104" i="5"/>
  <c r="BW129" i="5"/>
  <c r="ET112" i="5"/>
  <c r="AT122" i="5"/>
  <c r="FP107" i="5"/>
  <c r="EC122" i="5"/>
  <c r="DG129" i="5"/>
  <c r="FQ127" i="5"/>
  <c r="BO123" i="5"/>
  <c r="BH124" i="5"/>
  <c r="DX119" i="5"/>
  <c r="H90" i="5"/>
  <c r="Q104" i="5"/>
  <c r="M108" i="5"/>
  <c r="Q113" i="5"/>
  <c r="EC125" i="5"/>
  <c r="CF108" i="5"/>
  <c r="FB122" i="5"/>
  <c r="AP99" i="5"/>
  <c r="BR126" i="5"/>
  <c r="DZ111" i="5"/>
  <c r="CV112" i="5"/>
  <c r="FR126" i="5"/>
  <c r="CO113" i="5"/>
  <c r="DW113" i="5"/>
  <c r="AI123" i="5"/>
  <c r="EP122" i="5"/>
  <c r="AO113" i="5"/>
  <c r="CC129" i="5"/>
  <c r="AZ124" i="5"/>
  <c r="BM113" i="5"/>
  <c r="E123" i="5"/>
  <c r="CE115" i="5"/>
  <c r="S104" i="5"/>
  <c r="DX114" i="5"/>
  <c r="DU108" i="5"/>
  <c r="CI112" i="5"/>
  <c r="FB107" i="5"/>
  <c r="BC106" i="5"/>
  <c r="BK125" i="5"/>
  <c r="CS107" i="5"/>
  <c r="AK114" i="5"/>
  <c r="O101" i="5"/>
  <c r="FA117" i="5"/>
  <c r="CS106" i="5"/>
  <c r="AR114" i="5"/>
  <c r="AX118" i="5"/>
  <c r="EM124" i="5"/>
  <c r="ED116" i="5"/>
  <c r="M109" i="5"/>
  <c r="DU127" i="5"/>
  <c r="DM123" i="5"/>
  <c r="FF112" i="5"/>
  <c r="CR100" i="5"/>
  <c r="E113" i="5"/>
  <c r="AH105" i="5"/>
  <c r="AD104" i="5"/>
  <c r="BC124" i="5"/>
  <c r="FC116" i="5"/>
  <c r="EM110" i="5"/>
  <c r="BD122" i="5"/>
  <c r="BM112" i="5"/>
  <c r="DB129" i="5"/>
  <c r="AS111" i="5"/>
  <c r="EH100" i="5"/>
  <c r="FT99" i="5"/>
  <c r="EN126" i="5"/>
  <c r="DZ114" i="5"/>
  <c r="L115" i="5"/>
  <c r="AW102" i="5"/>
  <c r="AF102" i="5"/>
  <c r="BQ123" i="5"/>
  <c r="AB119" i="5"/>
  <c r="ET117" i="5"/>
  <c r="CC126" i="5"/>
  <c r="DH99" i="5"/>
  <c r="EU118" i="5"/>
  <c r="U115" i="5"/>
  <c r="CE113" i="5"/>
  <c r="Z105" i="5"/>
  <c r="X125" i="5"/>
  <c r="BM123" i="5"/>
  <c r="EL125" i="5"/>
  <c r="FA122" i="5"/>
  <c r="DM99" i="5"/>
  <c r="W114" i="5"/>
  <c r="EA113" i="5"/>
  <c r="DL126" i="5"/>
  <c r="EB126" i="5"/>
  <c r="DA109" i="5"/>
  <c r="FC121" i="5"/>
  <c r="Q119" i="5"/>
  <c r="BD103" i="5"/>
  <c r="EL126" i="5"/>
  <c r="AU123" i="5"/>
  <c r="FP123" i="5"/>
  <c r="BI115" i="5"/>
  <c r="B109" i="5"/>
  <c r="DT105" i="5"/>
  <c r="BE120" i="5"/>
  <c r="EL113" i="5"/>
  <c r="CQ112" i="5"/>
  <c r="AI119" i="5"/>
  <c r="CU117" i="5"/>
  <c r="EF117" i="5"/>
  <c r="V109" i="5"/>
  <c r="Y116" i="5"/>
  <c r="CA121" i="5"/>
  <c r="CO124" i="5"/>
  <c r="AN102" i="5"/>
  <c r="CI127" i="5"/>
  <c r="BR116" i="5"/>
  <c r="BD127" i="5"/>
  <c r="DQ99" i="5"/>
  <c r="FK113" i="5"/>
  <c r="J105" i="5"/>
  <c r="AK124" i="5"/>
  <c r="FJ126" i="5"/>
  <c r="EO117" i="5"/>
  <c r="FS113" i="5"/>
  <c r="FG122" i="5"/>
  <c r="DF111" i="5"/>
  <c r="W129" i="5"/>
  <c r="ES107" i="5"/>
  <c r="BC117" i="5"/>
  <c r="DV111" i="5"/>
  <c r="DU122" i="5"/>
  <c r="AJ128" i="5"/>
  <c r="DI99" i="5"/>
  <c r="CF101" i="5"/>
  <c r="AJ124" i="5"/>
  <c r="O124" i="5"/>
  <c r="EV107" i="5"/>
  <c r="DW129" i="5"/>
  <c r="EW117" i="5"/>
  <c r="DL108" i="5"/>
  <c r="EX128" i="5"/>
  <c r="BE127" i="5"/>
  <c r="DE106" i="5"/>
  <c r="DZ121" i="5"/>
  <c r="DI129" i="5"/>
  <c r="AE108" i="5"/>
  <c r="DR111" i="5"/>
  <c r="CN125" i="5"/>
  <c r="ED104" i="5"/>
  <c r="CB121" i="5"/>
  <c r="AZ119" i="5"/>
  <c r="J128" i="5"/>
  <c r="AK120" i="5"/>
  <c r="ED112" i="5"/>
  <c r="AZ104" i="5"/>
  <c r="Y102" i="5"/>
  <c r="AI114" i="5"/>
  <c r="BW101" i="5"/>
  <c r="CV124" i="5"/>
  <c r="BS128" i="5"/>
  <c r="DG99" i="5"/>
  <c r="AI116" i="5"/>
  <c r="FA105" i="5"/>
  <c r="DA127" i="5"/>
  <c r="BD119" i="5"/>
  <c r="U113" i="5"/>
  <c r="BW104" i="5"/>
  <c r="AF108" i="5"/>
  <c r="DT113" i="5"/>
  <c r="BW111" i="5"/>
  <c r="DA112" i="5"/>
  <c r="FR116" i="5"/>
  <c r="FR124" i="5"/>
  <c r="AV115" i="5"/>
  <c r="DD120" i="5"/>
  <c r="CR121" i="5"/>
  <c r="FS105" i="5"/>
  <c r="BI128" i="5"/>
  <c r="EA128" i="5"/>
  <c r="EN123" i="5"/>
  <c r="DH100" i="5"/>
  <c r="EF128" i="5"/>
  <c r="BM109" i="5"/>
  <c r="EC126" i="5"/>
  <c r="DE111" i="5"/>
  <c r="DJ126" i="5"/>
  <c r="DF124" i="5"/>
  <c r="EC107" i="5"/>
  <c r="BH102" i="5"/>
  <c r="CV116" i="5"/>
  <c r="ED128" i="5"/>
  <c r="Y104" i="5"/>
  <c r="BX117" i="5"/>
  <c r="EN111" i="5"/>
  <c r="AX110" i="5"/>
  <c r="CK107" i="5"/>
  <c r="AA103" i="5"/>
  <c r="EY115" i="5"/>
  <c r="AO102" i="5"/>
  <c r="DV102" i="5"/>
  <c r="BU108" i="5"/>
  <c r="ES104" i="5"/>
  <c r="DI119" i="5"/>
  <c r="EE101" i="5"/>
  <c r="BO126" i="5"/>
  <c r="BK115" i="5"/>
  <c r="DF120" i="5"/>
  <c r="EI118" i="5"/>
  <c r="EE123" i="5"/>
  <c r="DJ106" i="5"/>
  <c r="X129" i="5"/>
  <c r="DL103" i="5"/>
  <c r="BZ126" i="5"/>
  <c r="AE110" i="5"/>
  <c r="FM105" i="5"/>
  <c r="M118" i="5"/>
  <c r="ED107" i="5"/>
  <c r="BQ105" i="5"/>
  <c r="CB99" i="5"/>
  <c r="BH109" i="5"/>
  <c r="AU120" i="5"/>
  <c r="AM128" i="5"/>
  <c r="DO102" i="5"/>
  <c r="EG123" i="5"/>
  <c r="FF101" i="5"/>
  <c r="EJ103" i="5"/>
  <c r="FR104" i="5"/>
  <c r="AF127" i="5"/>
  <c r="CN108" i="5"/>
  <c r="P124" i="5"/>
  <c r="AG103" i="5"/>
  <c r="G81" i="5"/>
  <c r="ED100" i="5"/>
  <c r="AA115" i="5"/>
  <c r="S99" i="5"/>
  <c r="BF115" i="5"/>
  <c r="EY128" i="5"/>
  <c r="EZ114" i="5"/>
  <c r="EG100" i="5"/>
  <c r="W123" i="5"/>
  <c r="FQ102" i="5"/>
  <c r="F128" i="5"/>
  <c r="CL100" i="5"/>
  <c r="EE121" i="5"/>
  <c r="AV126" i="5"/>
  <c r="FG125" i="5"/>
  <c r="AS114" i="5"/>
  <c r="FJ103" i="5"/>
  <c r="BT118" i="5"/>
  <c r="C109" i="5"/>
  <c r="AD120" i="5"/>
  <c r="BM102" i="5"/>
  <c r="BH120" i="5"/>
  <c r="BB102" i="5"/>
  <c r="N108" i="5"/>
  <c r="BP123" i="5"/>
  <c r="CO108" i="5"/>
  <c r="EQ115" i="5"/>
  <c r="H68" i="5"/>
  <c r="CM113" i="5"/>
  <c r="X108" i="5"/>
  <c r="P128" i="5"/>
  <c r="FT123" i="5"/>
  <c r="DO112" i="5"/>
  <c r="DA129" i="5"/>
  <c r="DB122" i="5"/>
  <c r="AU119" i="5"/>
  <c r="AI101" i="5"/>
  <c r="BC128" i="5"/>
  <c r="DR113" i="5"/>
  <c r="DI116" i="5"/>
  <c r="CX102" i="5"/>
  <c r="DO110" i="5"/>
  <c r="BZ118" i="5"/>
  <c r="DU116" i="5"/>
  <c r="BW106" i="5"/>
  <c r="Q105" i="5"/>
  <c r="EM129" i="5"/>
  <c r="FR106" i="5"/>
  <c r="DJ101" i="5"/>
  <c r="AS127" i="5"/>
  <c r="EZ99" i="5"/>
  <c r="DV110" i="5"/>
  <c r="AG129" i="5"/>
  <c r="DE114" i="5"/>
  <c r="AT114" i="5"/>
  <c r="X120" i="5"/>
  <c r="EB107" i="5"/>
  <c r="CY112" i="5"/>
  <c r="DF110" i="5"/>
  <c r="ER124" i="5"/>
  <c r="DN127" i="5"/>
  <c r="EA129" i="5"/>
  <c r="CX120" i="5"/>
  <c r="K99" i="5"/>
  <c r="EE129" i="5"/>
  <c r="R104" i="5"/>
  <c r="DA107" i="5"/>
  <c r="Y99" i="5"/>
  <c r="FD99" i="5"/>
  <c r="CH101" i="5"/>
  <c r="BI121" i="5"/>
  <c r="E120" i="5"/>
  <c r="DJ110" i="5"/>
  <c r="G110" i="5"/>
  <c r="BS117" i="5"/>
  <c r="EK120" i="5"/>
  <c r="AT110" i="5"/>
  <c r="DQ105" i="5"/>
  <c r="BL128" i="5"/>
  <c r="DN118" i="5"/>
  <c r="DL101" i="5"/>
  <c r="G99" i="5"/>
  <c r="EW111" i="5"/>
  <c r="DB107" i="5"/>
  <c r="AK108" i="5"/>
  <c r="AY112" i="5"/>
  <c r="EV126" i="5"/>
  <c r="CB119" i="5"/>
  <c r="AI126" i="5"/>
  <c r="FP124" i="5"/>
  <c r="BX122" i="5"/>
  <c r="S100" i="5"/>
  <c r="AH123" i="5"/>
  <c r="AM109" i="5"/>
  <c r="R120" i="5"/>
  <c r="FI119" i="5"/>
  <c r="CX100" i="5"/>
  <c r="AS126" i="5"/>
  <c r="FH111" i="5"/>
  <c r="CL114" i="5"/>
  <c r="FS110" i="5"/>
  <c r="DP102" i="5"/>
  <c r="DA119" i="5"/>
  <c r="AO116" i="5"/>
  <c r="U122" i="5"/>
  <c r="H92" i="5"/>
  <c r="BD106" i="5"/>
  <c r="CX123" i="5"/>
  <c r="CS99" i="5"/>
  <c r="DN124" i="5"/>
  <c r="DX121" i="5"/>
  <c r="U109" i="5"/>
  <c r="Q110" i="5"/>
  <c r="DN128" i="5"/>
  <c r="BD121" i="5"/>
  <c r="DV109" i="5"/>
  <c r="DX110" i="5"/>
  <c r="DX111" i="5"/>
  <c r="BE107" i="5"/>
  <c r="EH124" i="5"/>
  <c r="CC118" i="5"/>
  <c r="DH120" i="5"/>
  <c r="AT121" i="5"/>
  <c r="BO104" i="5"/>
  <c r="EH127" i="5"/>
  <c r="CT127" i="5"/>
  <c r="BI103" i="5"/>
  <c r="CQ103" i="5"/>
  <c r="ET116" i="5"/>
  <c r="DY113" i="5"/>
  <c r="CG100" i="5"/>
  <c r="W106" i="5"/>
  <c r="FB129" i="5"/>
  <c r="CK120" i="5"/>
  <c r="CY129" i="5"/>
  <c r="EK103" i="5"/>
  <c r="DP107" i="5"/>
  <c r="BK108" i="5"/>
  <c r="BH100" i="5"/>
  <c r="CW111" i="5"/>
  <c r="D104" i="5"/>
  <c r="FA127" i="5"/>
  <c r="DB103" i="5"/>
  <c r="FR117" i="5"/>
  <c r="AX99" i="5"/>
  <c r="EG107" i="5"/>
  <c r="CN123" i="5"/>
  <c r="DX112" i="5"/>
  <c r="FN128" i="5"/>
  <c r="DC122" i="5"/>
  <c r="CL128" i="5"/>
  <c r="FE108" i="5"/>
  <c r="AM119" i="5"/>
  <c r="DB128" i="5"/>
  <c r="H118" i="5"/>
  <c r="EI121" i="5"/>
  <c r="EO116" i="5"/>
  <c r="D122" i="5"/>
  <c r="CC101" i="5"/>
  <c r="DJ99" i="5"/>
  <c r="DZ119" i="5"/>
  <c r="AW126" i="5"/>
  <c r="DU101" i="5"/>
  <c r="CS129" i="5"/>
  <c r="CH99" i="5"/>
  <c r="BG121" i="5"/>
  <c r="BW110" i="5"/>
  <c r="FK99" i="5"/>
  <c r="CD103" i="5"/>
  <c r="BO114" i="5"/>
  <c r="FJ123" i="5"/>
  <c r="AN118" i="5"/>
  <c r="DR102" i="5"/>
  <c r="DM125" i="5"/>
  <c r="BG111" i="5"/>
  <c r="BB100" i="5"/>
  <c r="EF100" i="5"/>
  <c r="AY117" i="5"/>
  <c r="BY123" i="5"/>
  <c r="AJ99" i="5"/>
  <c r="FD112" i="5"/>
  <c r="CN124" i="5"/>
  <c r="BE100" i="5"/>
  <c r="DD105" i="5"/>
  <c r="FF104" i="5"/>
  <c r="AY128" i="5"/>
  <c r="F95" i="5"/>
  <c r="W126" i="5"/>
  <c r="EC109" i="5"/>
  <c r="ER102" i="5"/>
  <c r="CY100" i="5"/>
  <c r="EI109" i="5"/>
  <c r="EO110" i="5"/>
  <c r="EN100" i="5"/>
  <c r="FH126" i="5"/>
  <c r="EP119" i="5"/>
  <c r="BH115" i="5"/>
  <c r="CI117" i="5"/>
  <c r="EM123" i="5"/>
  <c r="FI103" i="5"/>
  <c r="EJ122" i="5"/>
  <c r="ED119" i="5"/>
  <c r="DP118" i="5"/>
  <c r="EG103" i="5"/>
  <c r="CU124" i="5"/>
  <c r="DC106" i="5"/>
  <c r="BK109" i="5"/>
  <c r="BZ121" i="5"/>
  <c r="CV104" i="5"/>
  <c r="DK127" i="5"/>
  <c r="DZ124" i="5"/>
  <c r="H82" i="5"/>
  <c r="K120" i="5"/>
  <c r="P108" i="5"/>
  <c r="EU112" i="5"/>
  <c r="CJ104" i="5"/>
  <c r="FC112" i="5"/>
  <c r="P105" i="5"/>
  <c r="BZ120" i="5"/>
  <c r="FF99" i="5"/>
  <c r="DW122" i="5"/>
  <c r="BY118" i="5"/>
  <c r="BJ128" i="5"/>
  <c r="AZ107" i="5"/>
  <c r="F80" i="5"/>
  <c r="AN115" i="5"/>
  <c r="BP104" i="5"/>
  <c r="EB103" i="5"/>
  <c r="DY112" i="5"/>
  <c r="EP107" i="5"/>
  <c r="AS109" i="5"/>
  <c r="X115" i="5"/>
  <c r="DZ103" i="5"/>
  <c r="BE125" i="5"/>
  <c r="AR119" i="5"/>
  <c r="CP117" i="5"/>
  <c r="AJ108" i="5"/>
  <c r="BK100" i="5"/>
  <c r="CD101" i="5"/>
  <c r="V103" i="5"/>
  <c r="DL99" i="5"/>
  <c r="DL111" i="5"/>
  <c r="AT104" i="5"/>
  <c r="DM110" i="5"/>
  <c r="AI122" i="5"/>
  <c r="EW116" i="5"/>
  <c r="ED106" i="5"/>
  <c r="DJ114" i="5"/>
  <c r="G92" i="5"/>
  <c r="X105" i="5"/>
  <c r="CD125" i="5"/>
  <c r="BU111" i="5"/>
  <c r="BV116" i="5"/>
  <c r="BV110" i="5"/>
  <c r="DO119" i="5"/>
  <c r="CW122" i="5"/>
  <c r="FL116" i="5"/>
  <c r="BQ118" i="5"/>
  <c r="BT114" i="5"/>
  <c r="ES106" i="5"/>
  <c r="FP105" i="5"/>
  <c r="C100" i="5"/>
  <c r="AE106" i="5"/>
  <c r="BC120" i="5"/>
  <c r="BJ112" i="5"/>
  <c r="V121" i="5"/>
  <c r="EB121" i="5"/>
  <c r="G71" i="5"/>
  <c r="BY116" i="5"/>
  <c r="EQ116" i="5"/>
  <c r="EF122" i="5"/>
  <c r="AU102" i="5"/>
  <c r="BI116" i="5"/>
  <c r="BG127" i="5"/>
  <c r="B120" i="5"/>
  <c r="BA129" i="5"/>
  <c r="CO109" i="5"/>
  <c r="P101" i="5"/>
  <c r="BV127" i="5"/>
  <c r="CI111" i="5"/>
  <c r="AR99" i="5"/>
  <c r="EB116" i="5"/>
  <c r="DL129" i="5"/>
  <c r="AQ111" i="5"/>
  <c r="CM124" i="5"/>
  <c r="DE124" i="5"/>
  <c r="DF128" i="5"/>
  <c r="BX104" i="5"/>
  <c r="EB112" i="5"/>
  <c r="DP125" i="5"/>
  <c r="DV129" i="5"/>
  <c r="DM111" i="5"/>
  <c r="EB110" i="5"/>
  <c r="AC107" i="5"/>
  <c r="FS103" i="5"/>
  <c r="CL120" i="5"/>
  <c r="ES126" i="5"/>
  <c r="AN107" i="5"/>
  <c r="DK121" i="5"/>
  <c r="AP109" i="5"/>
  <c r="BR117" i="5"/>
  <c r="FA107" i="5"/>
  <c r="EW100" i="5"/>
  <c r="J115" i="5"/>
  <c r="AH110" i="5"/>
  <c r="DU109" i="5"/>
  <c r="FE104" i="5"/>
  <c r="FF100" i="5"/>
  <c r="FS106" i="5"/>
  <c r="B106" i="5"/>
  <c r="AI124" i="5"/>
  <c r="FP125" i="5"/>
  <c r="CW123" i="5"/>
  <c r="BR121" i="5"/>
  <c r="AH120" i="5"/>
  <c r="FM129" i="5"/>
  <c r="DF112" i="5"/>
  <c r="FT117" i="5"/>
  <c r="BJ125" i="5"/>
  <c r="DD125" i="5"/>
  <c r="DK117" i="5"/>
  <c r="EE103" i="5"/>
  <c r="AA123" i="5"/>
  <c r="BU127" i="5"/>
  <c r="BP102" i="5"/>
  <c r="CN121" i="5"/>
  <c r="AF115" i="5"/>
  <c r="DT107" i="5"/>
  <c r="DS125" i="5"/>
  <c r="DD104" i="5"/>
  <c r="FP128" i="5"/>
  <c r="EO101" i="5"/>
  <c r="L118" i="5"/>
  <c r="DZ117" i="5"/>
  <c r="CO121" i="5"/>
  <c r="FD120" i="5"/>
  <c r="CK121" i="5"/>
  <c r="CC112" i="5"/>
  <c r="BX127" i="5"/>
  <c r="AZ99" i="5"/>
  <c r="CE128" i="5"/>
  <c r="FT106" i="5"/>
  <c r="CF119" i="5"/>
  <c r="W104" i="5"/>
  <c r="DN126" i="5"/>
  <c r="FM99" i="5"/>
  <c r="CQ109" i="5"/>
  <c r="DW103" i="5"/>
  <c r="DE117" i="5"/>
  <c r="B114" i="5"/>
  <c r="FR122" i="5"/>
  <c r="CO105" i="5"/>
  <c r="DY106" i="5"/>
  <c r="EQ104" i="5"/>
  <c r="EA120" i="5"/>
  <c r="Y120" i="5"/>
  <c r="CB123" i="5"/>
  <c r="EO118" i="5"/>
  <c r="BH119" i="5"/>
  <c r="FR121" i="5"/>
  <c r="T126" i="5"/>
  <c r="AY119" i="5"/>
  <c r="BY107" i="5"/>
  <c r="BY117" i="5"/>
  <c r="DI123" i="5"/>
  <c r="CX101" i="5"/>
  <c r="T123" i="5"/>
  <c r="CY128" i="5"/>
  <c r="CK116" i="5"/>
  <c r="AT102" i="5"/>
  <c r="H123" i="5"/>
  <c r="EW123" i="5"/>
  <c r="Y126" i="5"/>
  <c r="FE105" i="5"/>
  <c r="FH103" i="5"/>
  <c r="BI117" i="5"/>
  <c r="FB114" i="5"/>
  <c r="BI126" i="5"/>
  <c r="CC108" i="5"/>
  <c r="EU99" i="5"/>
  <c r="CQ129" i="5"/>
  <c r="FC127" i="5"/>
  <c r="BK101" i="5"/>
  <c r="CJ129" i="5"/>
  <c r="FQ111" i="5"/>
  <c r="BC112" i="5"/>
  <c r="CV121" i="5"/>
  <c r="BK103" i="5"/>
  <c r="FM121" i="5"/>
  <c r="BO119" i="5"/>
  <c r="CR111" i="5"/>
  <c r="CB106" i="5"/>
  <c r="H91" i="5"/>
  <c r="F103" i="5"/>
  <c r="CK112" i="5"/>
  <c r="CX121" i="5"/>
  <c r="CR102" i="5"/>
  <c r="FI127" i="5"/>
  <c r="BH106" i="5"/>
  <c r="E110" i="5"/>
  <c r="DO126" i="5"/>
  <c r="EH109" i="5"/>
  <c r="EF123" i="5"/>
  <c r="BP125" i="5"/>
  <c r="CJ126" i="5"/>
  <c r="AC108" i="5"/>
  <c r="AQ107" i="5"/>
  <c r="DL119" i="5"/>
  <c r="FM124" i="5"/>
  <c r="DH110" i="5"/>
  <c r="ES114" i="5"/>
  <c r="CG99" i="5"/>
  <c r="CM103" i="5"/>
  <c r="FL99" i="5"/>
  <c r="CN129" i="5"/>
  <c r="DL118" i="5"/>
  <c r="CO127" i="5"/>
  <c r="EV122" i="5"/>
  <c r="BS110" i="5"/>
  <c r="BB122" i="5"/>
  <c r="EN128" i="5"/>
  <c r="DS124" i="5"/>
  <c r="EL118" i="5"/>
  <c r="CF100" i="5"/>
  <c r="DR120" i="5"/>
  <c r="DZ122" i="5"/>
  <c r="CW125" i="5"/>
  <c r="CE108" i="5"/>
  <c r="AY106" i="5"/>
  <c r="AJ115" i="5"/>
  <c r="CT117" i="5"/>
  <c r="DI107" i="5"/>
  <c r="BO121" i="5"/>
  <c r="ED109" i="5"/>
  <c r="I126" i="5"/>
  <c r="BQ111" i="5"/>
  <c r="CZ114" i="5"/>
  <c r="AM107" i="5"/>
  <c r="AU100" i="5"/>
  <c r="FG105" i="5"/>
  <c r="DW128" i="5"/>
  <c r="DE123" i="5"/>
  <c r="DM115" i="5"/>
  <c r="C124" i="5"/>
  <c r="DV126" i="5"/>
  <c r="EQ127" i="5"/>
  <c r="CW108" i="5"/>
  <c r="BV101" i="5"/>
  <c r="CZ119" i="5"/>
  <c r="V114" i="5"/>
  <c r="DS104" i="5"/>
  <c r="FQ128" i="5"/>
  <c r="CS100" i="5"/>
  <c r="BB106" i="5"/>
  <c r="AC109" i="5"/>
  <c r="BN128" i="5"/>
  <c r="DM114" i="5"/>
  <c r="DQ100" i="5"/>
  <c r="CG121" i="5"/>
  <c r="DR117" i="5"/>
  <c r="BE108" i="5"/>
  <c r="AO115" i="5"/>
  <c r="EM116" i="5"/>
  <c r="DR110" i="5"/>
  <c r="FD117" i="5"/>
  <c r="EN99" i="5"/>
  <c r="AV123" i="5"/>
  <c r="CP110" i="5"/>
  <c r="H103" i="5"/>
  <c r="AR112" i="5"/>
  <c r="AL114" i="5"/>
  <c r="CT104" i="5"/>
  <c r="EH121" i="5"/>
  <c r="FI108" i="5"/>
  <c r="FI109" i="5"/>
  <c r="EB114" i="5"/>
  <c r="EG124" i="5"/>
  <c r="K117" i="5"/>
  <c r="N129" i="5"/>
  <c r="DR124" i="5"/>
  <c r="BY112" i="5"/>
  <c r="BI114" i="5"/>
  <c r="Y100" i="5"/>
  <c r="BU101" i="5"/>
  <c r="N117" i="5"/>
  <c r="CA127" i="5"/>
  <c r="R111" i="5"/>
  <c r="BM110" i="5"/>
  <c r="BR109" i="5"/>
  <c r="R106" i="5"/>
  <c r="FL111" i="5"/>
  <c r="DX123" i="5"/>
  <c r="E122" i="5"/>
  <c r="DH101" i="5"/>
  <c r="AD109" i="5"/>
  <c r="EK115" i="5"/>
  <c r="EY123" i="5"/>
  <c r="R126" i="5"/>
  <c r="CP101" i="5"/>
  <c r="DB101" i="5"/>
  <c r="BW120" i="5"/>
  <c r="BV121" i="5"/>
  <c r="EQ103" i="5"/>
  <c r="AJ126" i="5"/>
  <c r="BQ106" i="5"/>
  <c r="B110" i="5"/>
  <c r="H98" i="5"/>
  <c r="FQ113" i="5"/>
  <c r="BM125" i="5"/>
  <c r="F105" i="5"/>
  <c r="V108" i="5"/>
  <c r="CV129" i="5"/>
  <c r="CX113" i="5"/>
  <c r="BM120" i="5"/>
  <c r="EX100" i="5"/>
  <c r="EI127" i="5"/>
  <c r="EW115" i="5"/>
  <c r="FT124" i="5"/>
  <c r="FO109" i="5"/>
  <c r="L129" i="5"/>
  <c r="DI103" i="5"/>
  <c r="CA125" i="5"/>
  <c r="DW102" i="5"/>
  <c r="CX122" i="5"/>
  <c r="G120" i="5"/>
  <c r="CI118" i="5"/>
  <c r="DY121" i="5"/>
  <c r="EI99" i="5"/>
  <c r="BM128" i="5"/>
  <c r="DN105" i="5"/>
  <c r="DC117" i="5"/>
  <c r="BI106" i="5"/>
  <c r="BW128" i="5"/>
  <c r="S125" i="5"/>
  <c r="FG101" i="5"/>
  <c r="BN119" i="5"/>
  <c r="DE115" i="5"/>
  <c r="J123" i="5"/>
  <c r="CE109" i="5"/>
  <c r="EH104" i="5"/>
  <c r="FO112" i="5"/>
  <c r="CR115" i="5"/>
  <c r="FH129" i="5"/>
  <c r="FK119" i="5"/>
  <c r="AC126" i="5"/>
  <c r="BG102" i="5"/>
  <c r="CO101" i="5"/>
  <c r="E106" i="5"/>
  <c r="CW105" i="5"/>
  <c r="BD123" i="5"/>
  <c r="AT120" i="5"/>
  <c r="H101" i="5"/>
  <c r="BD118" i="5"/>
  <c r="ED121" i="5"/>
  <c r="ED123" i="5"/>
  <c r="CT116" i="5"/>
  <c r="FR115" i="5"/>
  <c r="BL102" i="5"/>
  <c r="CS113" i="5"/>
  <c r="EY108" i="5"/>
  <c r="BF127" i="5"/>
  <c r="FG123" i="5"/>
  <c r="AJ120" i="5"/>
  <c r="DC123" i="5"/>
  <c r="Z99" i="5"/>
  <c r="B101" i="5"/>
  <c r="FR110" i="5"/>
  <c r="AO117" i="5"/>
  <c r="CP114" i="5"/>
  <c r="DS113" i="5"/>
  <c r="Q117" i="5"/>
  <c r="AY104" i="5"/>
  <c r="BQ110" i="5"/>
  <c r="BM106" i="5"/>
  <c r="EZ102" i="5"/>
  <c r="BR118" i="5"/>
  <c r="CF104" i="5"/>
  <c r="BT121" i="5"/>
  <c r="DI126" i="5"/>
  <c r="AM123" i="5"/>
  <c r="BC113" i="5"/>
  <c r="CG119" i="5"/>
  <c r="AL124" i="5"/>
  <c r="EY99" i="5"/>
  <c r="V117" i="5"/>
  <c r="AD126" i="5"/>
  <c r="FL109" i="5"/>
  <c r="BP115" i="5"/>
  <c r="BF106" i="5"/>
  <c r="EZ118" i="5"/>
  <c r="BO105" i="5"/>
  <c r="FS100" i="5"/>
  <c r="AR100" i="5"/>
  <c r="ED114" i="5"/>
  <c r="EX113" i="5"/>
  <c r="BV113" i="5"/>
  <c r="CL106" i="5"/>
  <c r="J106" i="5"/>
  <c r="DP106" i="5"/>
  <c r="EV110" i="5"/>
  <c r="FP104" i="5"/>
  <c r="CC99" i="5"/>
  <c r="CH110" i="5"/>
  <c r="FJ112" i="5"/>
  <c r="EV128" i="5"/>
  <c r="EM105" i="5"/>
  <c r="EN101" i="5"/>
  <c r="FD107" i="5"/>
  <c r="AD101" i="5"/>
  <c r="G125" i="5"/>
  <c r="AE118" i="5"/>
  <c r="AH122" i="5"/>
  <c r="CT113" i="5"/>
  <c r="AC99" i="5"/>
  <c r="FP126" i="5"/>
  <c r="ET120" i="5"/>
  <c r="DY100" i="5"/>
  <c r="AV99" i="5"/>
  <c r="BM100" i="5"/>
  <c r="FI118" i="5"/>
  <c r="DA102" i="5"/>
  <c r="F116" i="5"/>
  <c r="F79" i="5"/>
  <c r="AD107" i="5"/>
  <c r="EH114" i="5"/>
  <c r="FA123" i="5"/>
  <c r="BW124" i="5"/>
  <c r="DT125" i="5"/>
  <c r="DA116" i="5"/>
  <c r="CA112" i="5"/>
  <c r="AO106" i="5"/>
  <c r="EY120" i="5"/>
  <c r="AN114" i="5"/>
  <c r="DZ120" i="5"/>
  <c r="BZ125" i="5"/>
  <c r="CH119" i="5"/>
  <c r="I123" i="5"/>
  <c r="BF108" i="5"/>
  <c r="CI99" i="5"/>
  <c r="EM112" i="5"/>
  <c r="DR121" i="5"/>
  <c r="AT115" i="5"/>
  <c r="DG120" i="5"/>
  <c r="CH118" i="5"/>
  <c r="EC114" i="5"/>
  <c r="EL106" i="5"/>
  <c r="EK121" i="5"/>
  <c r="G88" i="5"/>
  <c r="AH119" i="5"/>
  <c r="ET108" i="5"/>
  <c r="BG122" i="5"/>
  <c r="DX129" i="5"/>
  <c r="I114" i="5"/>
  <c r="CY127" i="5"/>
  <c r="FS115" i="5"/>
  <c r="AQ128" i="5"/>
  <c r="CZ123" i="5"/>
  <c r="AM112" i="5"/>
  <c r="CF124" i="5"/>
  <c r="EI108" i="5"/>
  <c r="CS127" i="5"/>
  <c r="O120" i="5"/>
  <c r="DQ128" i="5"/>
  <c r="F126" i="5"/>
  <c r="CJ100" i="5"/>
  <c r="CS118" i="5"/>
  <c r="CO117" i="5"/>
  <c r="FN112" i="5"/>
  <c r="DG119" i="5"/>
  <c r="EN106" i="5"/>
  <c r="EN113" i="5"/>
  <c r="BT106" i="5"/>
  <c r="FP127" i="5"/>
  <c r="BU121" i="5"/>
  <c r="E125" i="5"/>
  <c r="CD115" i="5"/>
  <c r="FJ128" i="5"/>
  <c r="BQ100" i="5"/>
  <c r="DP120" i="5"/>
  <c r="AK103" i="5"/>
  <c r="EP129" i="5"/>
  <c r="BG124" i="5"/>
  <c r="FF118" i="5"/>
  <c r="EL128" i="5"/>
  <c r="AL122" i="5"/>
  <c r="P116" i="5"/>
  <c r="EU111" i="5"/>
  <c r="CG126" i="5"/>
  <c r="CG102" i="5"/>
  <c r="CC102" i="5"/>
  <c r="CU122" i="5"/>
  <c r="BL120" i="5"/>
  <c r="R125" i="5"/>
  <c r="BB117" i="5"/>
  <c r="DV114" i="5"/>
  <c r="AP119" i="5"/>
  <c r="V122" i="5"/>
  <c r="AC121" i="5"/>
  <c r="F76" i="5"/>
  <c r="AH127" i="5"/>
  <c r="BD105" i="5"/>
  <c r="CT102" i="5"/>
  <c r="G66" i="5"/>
  <c r="CF125" i="5"/>
  <c r="FI104" i="5"/>
  <c r="EK101" i="5"/>
  <c r="AO99" i="5"/>
  <c r="BT108" i="5"/>
  <c r="V120" i="5"/>
  <c r="EV114" i="5"/>
  <c r="CR109" i="5"/>
  <c r="AW125" i="5"/>
  <c r="CY124" i="5"/>
  <c r="CJ101" i="5"/>
  <c r="FM120" i="5"/>
  <c r="DL116" i="5"/>
  <c r="FR113" i="5"/>
  <c r="EV109" i="5"/>
  <c r="FM123" i="5"/>
  <c r="CK128" i="5"/>
  <c r="EZ111" i="5"/>
  <c r="G93" i="5"/>
  <c r="AI106" i="5"/>
  <c r="AV121" i="5"/>
  <c r="BB111" i="5"/>
  <c r="CM125" i="5"/>
  <c r="DG112" i="5"/>
  <c r="CB103" i="5"/>
  <c r="AD102" i="5"/>
  <c r="Z121" i="5"/>
  <c r="T117" i="5"/>
  <c r="CL118" i="5"/>
  <c r="AI129" i="5"/>
  <c r="CE105" i="5"/>
  <c r="AO123" i="5"/>
  <c r="DY125" i="5"/>
  <c r="X103" i="5"/>
  <c r="W117" i="5"/>
  <c r="BU119" i="5"/>
  <c r="ES121" i="5"/>
  <c r="FP122" i="5"/>
  <c r="G118" i="5"/>
  <c r="EA118" i="5"/>
  <c r="FH114" i="5"/>
  <c r="CH107" i="5"/>
  <c r="EJ128" i="5"/>
  <c r="AL128" i="5"/>
  <c r="ET110" i="5"/>
  <c r="O106" i="5"/>
  <c r="FM114" i="5"/>
  <c r="CE117" i="5"/>
  <c r="AR102" i="5"/>
  <c r="CG101" i="5"/>
  <c r="FO105" i="5"/>
  <c r="DY114" i="5"/>
  <c r="AZ109" i="5"/>
  <c r="AH100" i="5"/>
  <c r="CG129" i="5"/>
  <c r="EF121" i="5"/>
  <c r="EA108" i="5"/>
  <c r="CO123" i="5"/>
  <c r="FO128" i="5"/>
  <c r="AK116" i="5"/>
  <c r="AR109" i="5"/>
  <c r="FT108" i="5"/>
  <c r="BI127" i="5"/>
  <c r="BD114" i="5"/>
  <c r="BQ112" i="5"/>
  <c r="BW125" i="5"/>
  <c r="FQ99" i="5"/>
  <c r="AG101" i="5"/>
  <c r="CD129" i="5"/>
  <c r="BP119" i="5"/>
  <c r="AG114" i="5"/>
  <c r="FL123" i="5"/>
  <c r="DU128" i="5"/>
  <c r="AE128" i="5"/>
  <c r="DD100" i="5"/>
  <c r="DI122" i="5"/>
  <c r="FL126" i="5"/>
  <c r="S123" i="5"/>
  <c r="CK115" i="5"/>
  <c r="CG127" i="5"/>
  <c r="AT124" i="5"/>
  <c r="DB119" i="5"/>
  <c r="G112" i="5"/>
  <c r="DM128" i="5"/>
  <c r="DP126" i="5"/>
  <c r="FO116" i="5"/>
  <c r="AI121" i="5"/>
  <c r="DU117" i="5"/>
  <c r="DM107" i="5"/>
  <c r="DR114" i="5"/>
  <c r="DG117" i="5"/>
  <c r="BE116" i="5"/>
  <c r="FS112" i="5"/>
  <c r="BE118" i="5"/>
  <c r="BX103" i="5"/>
  <c r="BO124" i="5"/>
  <c r="CN114" i="5"/>
  <c r="FT102" i="5"/>
  <c r="DE100" i="5"/>
  <c r="CW114" i="5"/>
  <c r="AT103" i="5"/>
  <c r="DF116" i="5"/>
  <c r="CB129" i="5"/>
  <c r="CL119" i="5"/>
  <c r="CJ99" i="5"/>
  <c r="AG127" i="5"/>
  <c r="DJ116" i="5"/>
  <c r="EX109" i="5"/>
  <c r="AR106" i="5"/>
  <c r="CO114" i="5"/>
  <c r="DQ114" i="5"/>
  <c r="EG115" i="5"/>
  <c r="CR118" i="5"/>
  <c r="CF123" i="5"/>
  <c r="BM126" i="5"/>
  <c r="FT116" i="5"/>
  <c r="AH99" i="5"/>
  <c r="Y112" i="5"/>
  <c r="DE121" i="5"/>
  <c r="DA122" i="5"/>
  <c r="AO114" i="5"/>
  <c r="EH99" i="5"/>
  <c r="BC121" i="5"/>
  <c r="DC119" i="5"/>
  <c r="EC108" i="5"/>
  <c r="FG120" i="5"/>
  <c r="AK109" i="5"/>
  <c r="BJ110" i="5"/>
  <c r="EX120" i="5"/>
  <c r="ER111" i="5"/>
  <c r="FS101" i="5"/>
  <c r="EV111" i="5"/>
  <c r="C112" i="5"/>
  <c r="DY128" i="5"/>
  <c r="DQ120" i="5"/>
  <c r="DI121" i="5"/>
  <c r="FD122" i="5"/>
  <c r="BA107" i="5"/>
  <c r="Y125" i="5"/>
  <c r="BA102" i="5"/>
  <c r="FG128" i="5"/>
  <c r="AX113" i="5"/>
  <c r="EZ115" i="5"/>
  <c r="Z126" i="5"/>
  <c r="DV115" i="5"/>
  <c r="ET121" i="5"/>
  <c r="EP110" i="5"/>
  <c r="DP123" i="5"/>
  <c r="W128" i="5"/>
  <c r="CB113" i="5"/>
  <c r="BC110" i="5"/>
  <c r="DD116" i="5"/>
  <c r="CY122" i="5"/>
  <c r="EC99" i="5"/>
  <c r="EF119" i="5"/>
  <c r="FC120" i="5"/>
  <c r="BL101" i="5"/>
  <c r="EN129" i="5"/>
  <c r="AC127" i="5"/>
  <c r="FN100" i="5"/>
  <c r="CW112" i="5"/>
  <c r="AW124" i="5"/>
  <c r="AD122" i="5"/>
  <c r="F72" i="5"/>
  <c r="EU108" i="5"/>
  <c r="DV128" i="5"/>
  <c r="BZ129" i="5"/>
  <c r="DP127" i="5"/>
  <c r="CP105" i="5"/>
  <c r="BH128" i="5"/>
  <c r="DQ116" i="5"/>
  <c r="BO109" i="5"/>
  <c r="FO101" i="5"/>
  <c r="FG107" i="5"/>
  <c r="DZ116" i="5"/>
  <c r="CQ126" i="5"/>
  <c r="B119" i="5"/>
  <c r="CE129" i="5"/>
  <c r="H99" i="5"/>
  <c r="ES129" i="5"/>
  <c r="FQ119" i="5"/>
  <c r="EV115" i="5"/>
  <c r="AP100" i="5"/>
  <c r="CW129" i="5"/>
  <c r="DB102" i="5"/>
  <c r="CA120" i="5"/>
  <c r="FA106" i="5"/>
  <c r="BL108" i="5"/>
  <c r="AK100" i="5"/>
  <c r="FO113" i="5"/>
  <c r="AX102" i="5"/>
  <c r="EU114" i="5"/>
  <c r="CB122" i="5"/>
  <c r="BL126" i="5"/>
  <c r="EU122" i="5"/>
  <c r="CF116" i="5"/>
  <c r="EL103" i="5"/>
  <c r="BH114" i="5"/>
  <c r="AI108" i="5"/>
  <c r="FE114" i="5"/>
  <c r="DI120" i="5"/>
  <c r="DH123" i="5"/>
  <c r="BL105" i="5"/>
  <c r="BI112" i="5"/>
  <c r="EQ123" i="5"/>
  <c r="DT109" i="5"/>
  <c r="AS124" i="5"/>
  <c r="FG119" i="5"/>
  <c r="DX102" i="5"/>
  <c r="DE104" i="5"/>
  <c r="EF124" i="5"/>
  <c r="F108" i="5"/>
  <c r="P102" i="5"/>
  <c r="FK109" i="5"/>
  <c r="DI115" i="5"/>
  <c r="FL129" i="5"/>
  <c r="AQ102" i="5"/>
  <c r="CR124" i="5"/>
  <c r="BN127" i="5"/>
  <c r="F78" i="5"/>
  <c r="ER105" i="5"/>
  <c r="BY103" i="5"/>
  <c r="BT101" i="5"/>
  <c r="CB101" i="5"/>
  <c r="BV124" i="5"/>
  <c r="AU127" i="5"/>
  <c r="U106" i="5"/>
  <c r="BL119" i="5"/>
  <c r="FL117" i="5"/>
  <c r="DV121" i="5"/>
  <c r="FB120" i="5"/>
  <c r="BV99" i="5"/>
  <c r="S111" i="5"/>
  <c r="W115" i="5"/>
  <c r="DC108" i="5"/>
  <c r="AL126" i="5"/>
  <c r="EJ107" i="5"/>
  <c r="X126" i="5"/>
  <c r="BD117" i="5"/>
  <c r="AY120" i="5"/>
  <c r="AF124" i="5"/>
  <c r="ED111" i="5"/>
  <c r="FQ110" i="5"/>
  <c r="DL110" i="5"/>
  <c r="AR125" i="5"/>
  <c r="Q100" i="5"/>
  <c r="DX103" i="5"/>
  <c r="ER117" i="5"/>
  <c r="K100" i="5"/>
  <c r="DF100" i="5"/>
  <c r="AJ107" i="5"/>
  <c r="AJ104" i="5"/>
  <c r="AJ106" i="5"/>
  <c r="AA121" i="5"/>
  <c r="Z118" i="5"/>
  <c r="DQ113" i="5"/>
  <c r="M123" i="5"/>
  <c r="FE121" i="5"/>
  <c r="O126" i="5"/>
  <c r="FJ122" i="5"/>
  <c r="AL105" i="5"/>
  <c r="CI115" i="5"/>
  <c r="EO106" i="5"/>
  <c r="R117" i="5"/>
  <c r="DC102" i="5"/>
  <c r="DL104" i="5"/>
  <c r="BU112" i="5"/>
  <c r="BG101" i="5"/>
  <c r="CY118" i="5"/>
  <c r="ED110" i="5"/>
  <c r="H84" i="5"/>
  <c r="CV113" i="5"/>
  <c r="BW109" i="5"/>
  <c r="AO103" i="5"/>
  <c r="AK126" i="5"/>
  <c r="DB120" i="5"/>
  <c r="FJ109" i="5"/>
  <c r="DZ100" i="5"/>
  <c r="ET100" i="5"/>
  <c r="DO108" i="5"/>
  <c r="DC129" i="5"/>
  <c r="DP122" i="5"/>
  <c r="AJ119" i="5"/>
  <c r="H93" i="5"/>
  <c r="R127" i="5"/>
  <c r="DI101" i="5"/>
  <c r="BM124" i="5"/>
  <c r="EB120" i="5"/>
  <c r="DD99" i="5"/>
  <c r="EN127" i="5"/>
  <c r="AD113" i="5"/>
  <c r="EL129" i="5"/>
  <c r="FM126" i="5"/>
  <c r="BM99" i="5"/>
  <c r="AK119" i="5"/>
  <c r="EL114" i="5"/>
  <c r="FI111" i="5"/>
  <c r="CF128" i="5"/>
  <c r="BT105" i="5"/>
  <c r="AS102" i="5"/>
  <c r="S128" i="5"/>
  <c r="CP119" i="5"/>
  <c r="DK116" i="5"/>
  <c r="BT120" i="5"/>
  <c r="CE99" i="5"/>
  <c r="FC119" i="5"/>
  <c r="BP111" i="5"/>
  <c r="CW104" i="5"/>
  <c r="H104" i="5"/>
  <c r="AH104" i="5"/>
  <c r="O99" i="5"/>
  <c r="CU126" i="5"/>
  <c r="ET128" i="5"/>
  <c r="X102" i="5"/>
  <c r="EA105" i="5"/>
  <c r="CP129" i="5"/>
  <c r="DI110" i="5"/>
  <c r="DS99" i="5"/>
  <c r="AG99" i="5"/>
  <c r="EG116" i="5"/>
  <c r="EC128" i="5"/>
  <c r="FJ113" i="5"/>
  <c r="BM121" i="5"/>
  <c r="H89" i="5"/>
  <c r="C106" i="5"/>
  <c r="CS109" i="5"/>
  <c r="J120" i="5"/>
  <c r="AK105" i="5"/>
  <c r="EO112" i="5"/>
  <c r="DS118" i="5"/>
  <c r="O129" i="5"/>
  <c r="BU116" i="5"/>
  <c r="FJ102" i="5"/>
  <c r="EU110" i="5"/>
  <c r="DN103" i="5"/>
  <c r="DP108" i="5"/>
  <c r="H70" i="5"/>
  <c r="U125" i="5"/>
  <c r="BZ123" i="5"/>
  <c r="BW103" i="5"/>
  <c r="BF118" i="5"/>
  <c r="BQ124" i="5"/>
  <c r="E101" i="5"/>
  <c r="AF119" i="5"/>
  <c r="EH120" i="5"/>
  <c r="N111" i="5"/>
  <c r="EB113" i="5"/>
  <c r="G68" i="5"/>
  <c r="DD129" i="5"/>
  <c r="FG127" i="5"/>
  <c r="AI117" i="5"/>
  <c r="BA118" i="5"/>
  <c r="EW121" i="5"/>
  <c r="T113" i="5"/>
  <c r="EG117" i="5"/>
  <c r="BW115" i="5"/>
  <c r="ED124" i="5"/>
  <c r="FL100" i="5"/>
  <c r="BW100" i="5"/>
  <c r="DG104" i="5"/>
  <c r="ES100" i="5"/>
  <c r="BM118" i="5"/>
  <c r="DO124" i="5"/>
  <c r="EK114" i="5"/>
  <c r="L108" i="5"/>
  <c r="AK113" i="5"/>
  <c r="FN114" i="5"/>
  <c r="B113" i="5"/>
  <c r="AX111" i="5"/>
  <c r="DS107" i="5"/>
  <c r="FE118" i="5"/>
  <c r="EX102" i="5"/>
  <c r="AV119" i="5"/>
  <c r="BH116" i="5"/>
  <c r="D100" i="5"/>
  <c r="AK121" i="5"/>
  <c r="BT107" i="5"/>
  <c r="AX100" i="5"/>
  <c r="EB118" i="5"/>
  <c r="CT109" i="5"/>
  <c r="FI101" i="5"/>
  <c r="X117" i="5"/>
  <c r="AP102" i="5"/>
  <c r="EZ119" i="5"/>
  <c r="CC100" i="5"/>
  <c r="AJ122" i="5"/>
  <c r="DP110" i="5"/>
  <c r="BF105" i="5"/>
  <c r="BX128" i="5"/>
  <c r="N101" i="5"/>
  <c r="EF114" i="5"/>
  <c r="FD126" i="5"/>
  <c r="CC114" i="5"/>
  <c r="AM113" i="5"/>
  <c r="CE118" i="5"/>
  <c r="N119" i="5"/>
  <c r="F122" i="5"/>
  <c r="DG127" i="5"/>
  <c r="C119" i="5"/>
  <c r="DD121" i="5"/>
  <c r="AX116" i="5"/>
  <c r="AB128" i="5"/>
  <c r="CD112" i="5"/>
  <c r="AF104" i="5"/>
  <c r="EI112" i="5"/>
  <c r="FD116" i="5"/>
  <c r="EN108" i="5"/>
  <c r="EW119" i="5"/>
  <c r="Y128" i="5"/>
  <c r="EW109" i="5"/>
  <c r="Q114" i="5"/>
  <c r="AL123" i="5"/>
  <c r="CR114" i="5"/>
  <c r="BF113" i="5"/>
  <c r="EC115" i="5"/>
  <c r="BE119" i="5"/>
  <c r="CM105" i="5"/>
  <c r="BE129" i="5"/>
  <c r="M103" i="5"/>
  <c r="CS111" i="5"/>
  <c r="DC121" i="5"/>
  <c r="CN99" i="5"/>
  <c r="W111" i="5"/>
  <c r="BZ106" i="5"/>
  <c r="AK129" i="5"/>
  <c r="FC109" i="5"/>
  <c r="DO117" i="5"/>
  <c r="DV103" i="5"/>
  <c r="EI102" i="5"/>
  <c r="DF109" i="5"/>
  <c r="AB112" i="5"/>
  <c r="AI115" i="5"/>
  <c r="BP101" i="5"/>
  <c r="CL112" i="5"/>
  <c r="EA119" i="5"/>
  <c r="EQ118" i="5"/>
  <c r="EX118" i="5"/>
  <c r="DY102" i="5"/>
  <c r="FK111" i="5"/>
  <c r="AE105" i="5"/>
  <c r="Q101" i="5"/>
  <c r="FD128" i="5"/>
  <c r="DX113" i="5"/>
  <c r="BV125" i="5"/>
  <c r="ET124" i="5"/>
  <c r="AA99" i="5"/>
  <c r="BK117" i="5"/>
  <c r="FP116" i="5"/>
  <c r="S127" i="5"/>
  <c r="BX129" i="5"/>
  <c r="BU106" i="5"/>
  <c r="DB113" i="5"/>
  <c r="EK112" i="5"/>
  <c r="EV104" i="5"/>
  <c r="DI125" i="5"/>
  <c r="BO110" i="5"/>
  <c r="CY109" i="5"/>
  <c r="CS128" i="5"/>
  <c r="AQ123" i="5"/>
  <c r="DC115" i="5"/>
  <c r="FH120" i="5"/>
  <c r="CY114" i="5"/>
  <c r="EW120" i="5"/>
  <c r="BG129" i="5"/>
  <c r="AK110" i="5"/>
  <c r="K104" i="5"/>
  <c r="H88" i="5"/>
  <c r="BO116" i="5"/>
  <c r="D114" i="5"/>
  <c r="CY102" i="5"/>
  <c r="CI110" i="5"/>
  <c r="E115" i="5"/>
  <c r="FF105" i="5"/>
  <c r="DW101" i="5"/>
  <c r="FJ121" i="5"/>
  <c r="EO113" i="5"/>
  <c r="AB99" i="5"/>
  <c r="B128" i="5"/>
  <c r="AC117" i="5"/>
  <c r="AR107" i="5"/>
  <c r="EJ117" i="5"/>
  <c r="FR107" i="5"/>
  <c r="CU100" i="5"/>
  <c r="Y113" i="5"/>
  <c r="DQ123" i="5"/>
  <c r="CW106" i="5"/>
  <c r="DF104" i="5"/>
  <c r="DJ120" i="5"/>
  <c r="FR100" i="5"/>
  <c r="ED101" i="5"/>
  <c r="AJ112" i="5"/>
  <c r="H72" i="5"/>
  <c r="FP102" i="5"/>
  <c r="H124" i="5"/>
  <c r="AR120" i="5"/>
  <c r="BH129" i="5"/>
  <c r="BU104" i="5"/>
  <c r="BQ127" i="5"/>
  <c r="R100" i="5"/>
  <c r="BX124" i="5"/>
  <c r="ER100" i="5"/>
  <c r="DR126" i="5"/>
  <c r="F92" i="5"/>
  <c r="BY101" i="5"/>
  <c r="AT108" i="5"/>
  <c r="FC105" i="5"/>
  <c r="CZ100" i="5"/>
  <c r="BR119" i="5"/>
  <c r="EU121" i="5"/>
  <c r="L101" i="5"/>
  <c r="DM122" i="5"/>
  <c r="Z115" i="5"/>
  <c r="Q108" i="5"/>
  <c r="AZ116" i="5"/>
  <c r="N118" i="5"/>
  <c r="FS119" i="5"/>
  <c r="DJ119" i="5"/>
  <c r="X109" i="5"/>
  <c r="CV127" i="5"/>
  <c r="EK107" i="5"/>
  <c r="AQ120" i="5"/>
  <c r="B118" i="5"/>
  <c r="FP120" i="5"/>
  <c r="Y115" i="5"/>
  <c r="CT114" i="5"/>
  <c r="BX100" i="5"/>
  <c r="CW119" i="5"/>
  <c r="N115" i="5"/>
  <c r="EO120" i="5"/>
  <c r="DE125" i="5"/>
  <c r="BW121" i="5"/>
  <c r="EV99" i="5"/>
  <c r="BQ115" i="5"/>
  <c r="BH113" i="5"/>
  <c r="EW106" i="5"/>
  <c r="DM108" i="5"/>
  <c r="F86" i="5"/>
  <c r="BH118" i="5"/>
  <c r="AE114" i="5"/>
  <c r="DG107" i="5"/>
  <c r="CR128" i="5"/>
  <c r="FE112" i="5"/>
  <c r="FF121" i="5"/>
  <c r="E102" i="5"/>
  <c r="CS110" i="5"/>
  <c r="EA106" i="5"/>
  <c r="AJ103" i="5"/>
  <c r="FN102" i="5"/>
  <c r="BJ103" i="5"/>
  <c r="ED117" i="5"/>
  <c r="EQ128" i="5"/>
  <c r="FL114" i="5"/>
  <c r="AV128" i="5"/>
  <c r="EL112" i="5"/>
  <c r="EY107" i="5"/>
  <c r="CR113" i="5"/>
  <c r="FF129" i="5"/>
  <c r="EV123" i="5"/>
  <c r="DC116" i="5"/>
  <c r="AY99" i="5"/>
  <c r="CQ123" i="5"/>
  <c r="EQ107" i="5"/>
  <c r="DM129" i="5"/>
  <c r="AI118" i="5"/>
  <c r="AO127" i="5"/>
  <c r="BY113" i="5"/>
  <c r="U99" i="5"/>
  <c r="BX118" i="5"/>
  <c r="BO122" i="5"/>
  <c r="N103" i="5"/>
  <c r="D110" i="5"/>
  <c r="AX124" i="5"/>
  <c r="FT113" i="5"/>
  <c r="FA104" i="5"/>
  <c r="CU118" i="5"/>
  <c r="BO125" i="5"/>
  <c r="DZ99" i="5"/>
  <c r="BC119" i="5"/>
  <c r="EK129" i="5"/>
  <c r="FA121" i="5"/>
  <c r="DF122" i="5"/>
  <c r="AC114" i="5"/>
  <c r="T110" i="5"/>
  <c r="AG117" i="5"/>
  <c r="EQ108" i="5"/>
  <c r="CJ112" i="5"/>
  <c r="BV111" i="5"/>
  <c r="AM116" i="5"/>
  <c r="AZ115" i="5"/>
  <c r="EM125" i="5"/>
  <c r="F88" i="5"/>
  <c r="CC104" i="5"/>
  <c r="AL111" i="5"/>
  <c r="AR118" i="5"/>
  <c r="DA100" i="5"/>
  <c r="BN123" i="5"/>
  <c r="DN119" i="5"/>
  <c r="CT126" i="5"/>
  <c r="AK99" i="5"/>
  <c r="BU118" i="5"/>
  <c r="DB100" i="5"/>
  <c r="AI99" i="5"/>
  <c r="C118" i="5"/>
  <c r="EI107" i="5"/>
  <c r="B127" i="5"/>
  <c r="BK111" i="5"/>
  <c r="DE120" i="5"/>
  <c r="BQ103" i="5"/>
  <c r="CK104" i="5"/>
  <c r="F67" i="5"/>
  <c r="FD113" i="5"/>
  <c r="CA103" i="5"/>
  <c r="DU123" i="5"/>
  <c r="DF125" i="5"/>
  <c r="N121" i="5"/>
  <c r="BC107" i="5"/>
  <c r="AR127" i="5"/>
  <c r="EV102" i="5"/>
  <c r="G65" i="5"/>
  <c r="AJ111" i="5"/>
  <c r="DZ115" i="5"/>
  <c r="FB121" i="5"/>
  <c r="DB118" i="5"/>
  <c r="EH115" i="5"/>
  <c r="DO121" i="5"/>
  <c r="Z128" i="5"/>
  <c r="V115" i="5"/>
  <c r="AH108" i="5"/>
  <c r="CY107" i="5"/>
  <c r="BP126" i="5"/>
  <c r="FO125" i="5"/>
  <c r="CY110" i="5"/>
  <c r="CV109" i="5"/>
  <c r="AM120" i="5"/>
  <c r="CM128" i="5"/>
  <c r="AY127" i="5"/>
  <c r="AH111" i="5"/>
  <c r="T115" i="5"/>
  <c r="BI99" i="5"/>
  <c r="EK104" i="5"/>
  <c r="AA112" i="5"/>
  <c r="EV120" i="5"/>
  <c r="CW127" i="5"/>
  <c r="CF122" i="5"/>
  <c r="AA109" i="5"/>
  <c r="BW107" i="5"/>
  <c r="FP112" i="5"/>
  <c r="DY101" i="5"/>
  <c r="AF118" i="5"/>
  <c r="H110" i="5"/>
  <c r="FA119" i="5"/>
  <c r="CQ128" i="5"/>
  <c r="DR108" i="5"/>
  <c r="CK125" i="5"/>
  <c r="P117" i="5"/>
  <c r="D121" i="5"/>
  <c r="Z119" i="5"/>
  <c r="DN125" i="5"/>
  <c r="CO119" i="5"/>
  <c r="DF108" i="5"/>
  <c r="AQ117" i="5"/>
  <c r="CP118" i="5"/>
  <c r="D119" i="5"/>
  <c r="BG108" i="5"/>
  <c r="AL113" i="5"/>
  <c r="F91" i="5"/>
  <c r="P114" i="5"/>
  <c r="CF118" i="5"/>
  <c r="EO103" i="5"/>
  <c r="EG125" i="5"/>
  <c r="FO103" i="5"/>
  <c r="Y110" i="5"/>
  <c r="DH129" i="5"/>
  <c r="AW118" i="5"/>
  <c r="CL105" i="5"/>
  <c r="T100" i="5"/>
  <c r="CV114" i="5"/>
  <c r="T127" i="5"/>
  <c r="EG111" i="5"/>
  <c r="DJ128" i="5"/>
  <c r="O112" i="5"/>
  <c r="BF111" i="5"/>
  <c r="BL114" i="5"/>
  <c r="CJ107" i="5"/>
  <c r="FJ125" i="5"/>
  <c r="FE111" i="5"/>
  <c r="C105" i="5"/>
  <c r="AR117" i="5"/>
  <c r="BO115" i="5"/>
  <c r="AX125" i="5"/>
  <c r="BS123" i="5"/>
  <c r="H66" i="5"/>
  <c r="FH116" i="5"/>
  <c r="P113" i="5"/>
  <c r="G117" i="5"/>
  <c r="FF127" i="5"/>
  <c r="BV100" i="5"/>
  <c r="AT126" i="5"/>
  <c r="M124" i="5"/>
  <c r="BS124" i="5"/>
  <c r="BJ120" i="5"/>
  <c r="EL124" i="5"/>
  <c r="CP104" i="5"/>
  <c r="EY126" i="5"/>
  <c r="T128" i="5"/>
  <c r="H75" i="5"/>
  <c r="AJ109" i="5"/>
  <c r="CQ100" i="5"/>
  <c r="AB106" i="5"/>
  <c r="BZ119" i="5"/>
  <c r="CT99" i="5"/>
  <c r="N100" i="5"/>
  <c r="BY121" i="5"/>
  <c r="AV112" i="5"/>
  <c r="AO104" i="5"/>
  <c r="DB108" i="5"/>
  <c r="FD125" i="5"/>
  <c r="BJ107" i="5"/>
  <c r="CD127" i="5"/>
  <c r="CF115" i="5"/>
  <c r="BC122" i="5"/>
  <c r="L111" i="5"/>
  <c r="FI122" i="5"/>
  <c r="AW99" i="5"/>
  <c r="AZ100" i="5"/>
  <c r="EP104" i="5"/>
  <c r="N126" i="5"/>
  <c r="FK126" i="5"/>
  <c r="M104" i="5"/>
  <c r="DW117" i="5"/>
  <c r="BV108" i="5"/>
  <c r="CL122" i="5"/>
  <c r="EV116" i="5"/>
  <c r="AQ116" i="5"/>
  <c r="BT102" i="5"/>
  <c r="B125" i="5"/>
  <c r="E128" i="5"/>
  <c r="CC110" i="5"/>
  <c r="N109" i="5"/>
  <c r="DV122" i="5"/>
  <c r="BJ114" i="5"/>
  <c r="EN105" i="5"/>
  <c r="M105" i="5"/>
  <c r="H120" i="5"/>
  <c r="FS126" i="5"/>
  <c r="CB109" i="5"/>
  <c r="BT122" i="5"/>
  <c r="AP127" i="5"/>
  <c r="FL115" i="5"/>
  <c r="FN116" i="5"/>
  <c r="AL119" i="5"/>
  <c r="O125" i="5"/>
  <c r="BY108" i="5"/>
  <c r="Y121" i="5"/>
  <c r="EW107" i="5"/>
  <c r="O110" i="5"/>
  <c r="BU128" i="5"/>
  <c r="FH99" i="5"/>
  <c r="EA121" i="5"/>
  <c r="BO107" i="5"/>
  <c r="EK116" i="5"/>
  <c r="FI120" i="5"/>
  <c r="DR125" i="5"/>
  <c r="Q120" i="5"/>
  <c r="CY105" i="5"/>
  <c r="DX109" i="5"/>
  <c r="FG118" i="5"/>
  <c r="CS101" i="5"/>
  <c r="AY129" i="5"/>
  <c r="D126" i="5"/>
  <c r="EM107" i="5"/>
  <c r="DD127" i="5"/>
  <c r="CW101" i="5"/>
  <c r="EC106" i="5"/>
  <c r="EL117" i="5"/>
  <c r="CB104" i="5"/>
  <c r="FB99" i="5"/>
  <c r="T116" i="5"/>
  <c r="CJ121" i="5"/>
  <c r="FR118" i="5"/>
  <c r="F87" i="5"/>
  <c r="DI112" i="5"/>
  <c r="CL123" i="5"/>
  <c r="CN119" i="5"/>
  <c r="ER103" i="5"/>
  <c r="BL113" i="5"/>
  <c r="BG109" i="5"/>
  <c r="G123" i="5"/>
  <c r="DE129" i="5"/>
  <c r="FA109" i="5"/>
  <c r="EG110" i="5"/>
  <c r="AV108" i="5"/>
  <c r="CN110" i="5"/>
  <c r="CV117" i="5"/>
  <c r="ET118" i="5"/>
  <c r="ED105" i="5"/>
  <c r="CT122" i="5"/>
  <c r="BD100" i="5"/>
  <c r="CD119" i="5"/>
  <c r="CP108" i="5"/>
  <c r="EE110" i="5"/>
  <c r="BG100" i="5"/>
  <c r="DP124" i="5"/>
  <c r="CQ127" i="5"/>
  <c r="Z127" i="5"/>
  <c r="CM104" i="5"/>
  <c r="BG104" i="5"/>
  <c r="BX110" i="5"/>
  <c r="EK124" i="5"/>
  <c r="BL112" i="5"/>
  <c r="EO125" i="5"/>
  <c r="CE101" i="5"/>
  <c r="AG102" i="5"/>
  <c r="AL108" i="5"/>
  <c r="BE106" i="5"/>
  <c r="CF111" i="5"/>
  <c r="EN112" i="5"/>
  <c r="CS104" i="5"/>
  <c r="CF109" i="5"/>
  <c r="BM107" i="5"/>
  <c r="CV126" i="5"/>
  <c r="EO108" i="5"/>
  <c r="I119" i="5"/>
  <c r="I101" i="5"/>
  <c r="EI104" i="5"/>
  <c r="BZ111" i="5"/>
  <c r="G89" i="5"/>
  <c r="AN99" i="5"/>
  <c r="V124" i="5"/>
  <c r="W102" i="5"/>
  <c r="V102" i="5"/>
  <c r="EH119" i="5"/>
  <c r="BP99" i="5"/>
  <c r="N110" i="5"/>
  <c r="F120" i="5"/>
  <c r="C108" i="5"/>
  <c r="W118" i="5"/>
  <c r="BD102" i="5"/>
  <c r="DW107" i="5"/>
  <c r="CF105" i="5"/>
  <c r="CQ114" i="5"/>
  <c r="CT103" i="5"/>
  <c r="H67" i="5"/>
  <c r="O123" i="5"/>
  <c r="W119" i="5"/>
  <c r="EE117" i="5"/>
  <c r="AR129" i="5"/>
  <c r="F66" i="5"/>
  <c r="CQ121" i="5"/>
  <c r="O122" i="5"/>
  <c r="BI104" i="5"/>
  <c r="BE101" i="5"/>
  <c r="AK102" i="5"/>
  <c r="AW103" i="5"/>
  <c r="FK116" i="5"/>
  <c r="BZ105" i="5"/>
  <c r="EH105" i="5"/>
  <c r="EH106" i="5"/>
  <c r="AN129" i="5"/>
  <c r="L99" i="5"/>
  <c r="EV127" i="5"/>
  <c r="BB125" i="5"/>
  <c r="F89" i="5"/>
  <c r="BR115" i="5"/>
  <c r="CF113" i="5"/>
  <c r="AU129" i="5"/>
  <c r="AY109" i="5"/>
  <c r="DZ110" i="5"/>
  <c r="DH115" i="5"/>
  <c r="CR119" i="5"/>
  <c r="CX119" i="5"/>
  <c r="AN110" i="5"/>
  <c r="EA112" i="5"/>
  <c r="V129" i="5"/>
  <c r="EQ109" i="5"/>
  <c r="L103" i="5"/>
  <c r="U112" i="5"/>
  <c r="CI109" i="5"/>
  <c r="DD109" i="5"/>
  <c r="C123" i="5"/>
  <c r="FF108" i="5"/>
  <c r="FH106" i="5"/>
  <c r="AE115" i="5"/>
  <c r="E124" i="5"/>
  <c r="CR127" i="5"/>
  <c r="AD111" i="5"/>
  <c r="CA128" i="5"/>
  <c r="CH115" i="5"/>
  <c r="EU113" i="5"/>
  <c r="BN109" i="5"/>
  <c r="FC106" i="5"/>
  <c r="FT109" i="5"/>
  <c r="ES111" i="5"/>
  <c r="P126" i="5"/>
  <c r="EA116" i="5"/>
  <c r="Z103" i="5"/>
  <c r="EH129" i="5"/>
  <c r="BJ115" i="5"/>
  <c r="CH106" i="5"/>
  <c r="BZ117" i="5"/>
  <c r="FN108" i="5"/>
  <c r="BO117" i="5"/>
  <c r="CU109" i="5"/>
  <c r="EH122" i="5"/>
  <c r="N116" i="5"/>
  <c r="BP124" i="5"/>
  <c r="H114" i="5"/>
  <c r="CW109" i="5"/>
  <c r="FP117" i="5"/>
  <c r="FJ108" i="5"/>
  <c r="CC117" i="5"/>
  <c r="EK100" i="5"/>
  <c r="C103" i="5"/>
  <c r="ER121" i="5"/>
  <c r="EZ126" i="5"/>
  <c r="FH100" i="5"/>
  <c r="I102" i="5"/>
  <c r="CS125" i="5"/>
  <c r="EN104" i="5"/>
  <c r="DH103" i="5"/>
  <c r="L113" i="5"/>
  <c r="EW129" i="5"/>
  <c r="AG115" i="5"/>
  <c r="AC106" i="5"/>
  <c r="EV112" i="5"/>
  <c r="BE123" i="5"/>
  <c r="CY108" i="5"/>
  <c r="FE117" i="5"/>
  <c r="BA113" i="5"/>
  <c r="CV102" i="5"/>
  <c r="DF127" i="5"/>
  <c r="BR127" i="5"/>
  <c r="AX120" i="5"/>
  <c r="DE108" i="5"/>
  <c r="EO114" i="5"/>
  <c r="EB129" i="5"/>
  <c r="FA115" i="5"/>
  <c r="FN113" i="5"/>
  <c r="CI129" i="5"/>
  <c r="CZ127" i="5"/>
  <c r="EB104" i="5"/>
  <c r="AV110" i="5"/>
  <c r="CF126" i="5"/>
  <c r="EY112" i="5"/>
  <c r="AT101" i="5"/>
  <c r="BP100" i="5"/>
  <c r="AY113" i="5"/>
  <c r="CP109" i="5"/>
  <c r="H96" i="5"/>
  <c r="BB126" i="5"/>
  <c r="FM103" i="5"/>
  <c r="CD114" i="5"/>
  <c r="DF118" i="5"/>
  <c r="CS108" i="5"/>
  <c r="CH112" i="5"/>
  <c r="AO108" i="5"/>
  <c r="ES113" i="5"/>
  <c r="DE119" i="5"/>
  <c r="EB106" i="5"/>
  <c r="AS105" i="5"/>
  <c r="EQ129" i="5"/>
  <c r="CP112" i="5"/>
  <c r="EF107" i="5"/>
  <c r="DK101" i="5"/>
  <c r="DF107" i="5"/>
  <c r="CF120" i="5"/>
  <c r="DI102" i="5"/>
  <c r="E121" i="5"/>
  <c r="J99" i="5"/>
  <c r="BS122" i="5"/>
  <c r="DA126" i="5"/>
  <c r="DL109" i="5"/>
  <c r="EO121" i="5"/>
  <c r="AQ105" i="5"/>
  <c r="DA117" i="5"/>
  <c r="BQ109" i="5"/>
  <c r="BB123" i="5"/>
  <c r="FT112" i="5"/>
  <c r="CD111" i="5"/>
  <c r="FL121" i="5"/>
  <c r="FT122" i="5"/>
  <c r="BJ109" i="5"/>
  <c r="V119" i="5"/>
  <c r="EQ113" i="5"/>
  <c r="BY128" i="5"/>
  <c r="EE114" i="5"/>
  <c r="W112" i="5"/>
  <c r="G129" i="5"/>
  <c r="CE126" i="5"/>
  <c r="FO110" i="5"/>
  <c r="EP106" i="5"/>
  <c r="DN110" i="5"/>
  <c r="CZ109" i="5"/>
  <c r="DL117" i="5"/>
  <c r="T120" i="5"/>
  <c r="CL107" i="5"/>
  <c r="EQ124" i="5"/>
  <c r="O105" i="5"/>
  <c r="DY103" i="5"/>
  <c r="CO112" i="5"/>
  <c r="EP118" i="5"/>
  <c r="EX125" i="5"/>
  <c r="AH102" i="5"/>
  <c r="EE107" i="5"/>
  <c r="CD110" i="5"/>
  <c r="CJ111" i="5"/>
  <c r="DN99" i="5"/>
  <c r="BT127" i="5"/>
  <c r="P115" i="5"/>
  <c r="FQ125" i="5"/>
  <c r="FS109" i="5"/>
  <c r="DK112" i="5"/>
  <c r="BP128" i="5"/>
  <c r="DJ122" i="5"/>
  <c r="C104" i="5"/>
  <c r="FD118" i="5"/>
  <c r="BQ122" i="5"/>
  <c r="N99" i="5"/>
  <c r="EE111" i="5"/>
  <c r="EZ124" i="5"/>
  <c r="M107" i="5"/>
  <c r="DC118" i="5"/>
  <c r="DV124" i="5"/>
  <c r="AS117" i="5"/>
  <c r="DE122" i="5"/>
  <c r="R107" i="5"/>
  <c r="V113" i="5"/>
  <c r="AI110" i="5"/>
  <c r="EF116" i="5"/>
  <c r="R129" i="5"/>
  <c r="AN103" i="5"/>
  <c r="EU120" i="5"/>
  <c r="EM128" i="5"/>
  <c r="DO111" i="5"/>
  <c r="AT125" i="5"/>
  <c r="FM113" i="5"/>
  <c r="FB109" i="5"/>
  <c r="FJ105" i="5"/>
  <c r="FS128" i="5"/>
  <c r="BK116" i="5"/>
  <c r="AR104" i="5"/>
  <c r="V125" i="5"/>
  <c r="BR111" i="5"/>
  <c r="CQ101" i="5"/>
  <c r="CC107" i="5"/>
  <c r="BO106" i="5"/>
  <c r="CU115" i="5"/>
  <c r="BZ103" i="5"/>
  <c r="FT119" i="5"/>
  <c r="EE126" i="5"/>
  <c r="CR122" i="5"/>
  <c r="H73" i="5"/>
  <c r="FP121" i="5"/>
  <c r="G107" i="5"/>
  <c r="BW116" i="5"/>
  <c r="DC101" i="5"/>
  <c r="DD124" i="5"/>
  <c r="AX122" i="5"/>
  <c r="DZ109" i="5"/>
  <c r="BC114" i="5"/>
  <c r="AT116" i="5"/>
  <c r="BJ126" i="5"/>
  <c r="EG105" i="5"/>
  <c r="EI105" i="5"/>
  <c r="CT119" i="5"/>
  <c r="B111" i="5"/>
  <c r="FG110" i="5"/>
  <c r="H108" i="5"/>
  <c r="DD112" i="5"/>
  <c r="J116" i="5"/>
  <c r="CS117" i="5"/>
  <c r="BU124" i="5"/>
  <c r="N124" i="5"/>
  <c r="Q125" i="5"/>
  <c r="CC103" i="5"/>
  <c r="CE107" i="5"/>
  <c r="EK109" i="5"/>
  <c r="BS101" i="5"/>
  <c r="BY119" i="5"/>
  <c r="DP104" i="5"/>
  <c r="DB117" i="5"/>
  <c r="ER119" i="5"/>
  <c r="EL127" i="5"/>
  <c r="EZ105" i="5"/>
  <c r="AN113" i="5"/>
  <c r="CX99" i="5"/>
  <c r="CV108" i="5"/>
  <c r="CC115" i="5"/>
  <c r="G126" i="5"/>
  <c r="G78" i="5"/>
  <c r="AC123" i="5"/>
  <c r="EY121" i="5"/>
  <c r="EJ106" i="5"/>
  <c r="AU112" i="5"/>
  <c r="EZ113" i="5"/>
  <c r="CQ111" i="5"/>
  <c r="CY101" i="5"/>
  <c r="DH128" i="5"/>
  <c r="CD124" i="5"/>
  <c r="FS111" i="5"/>
  <c r="DL127" i="5"/>
  <c r="BX99" i="5"/>
  <c r="S108" i="5"/>
  <c r="DA104" i="5"/>
  <c r="FI115" i="5"/>
  <c r="K128" i="5"/>
  <c r="FB127" i="5"/>
  <c r="W127" i="5"/>
  <c r="AZ114" i="5"/>
  <c r="CH100" i="5"/>
  <c r="AE124" i="5"/>
  <c r="EF106" i="5"/>
  <c r="AP118" i="5"/>
  <c r="BQ116" i="5"/>
  <c r="BH104" i="5"/>
  <c r="BB112" i="5"/>
  <c r="EP127" i="5"/>
  <c r="FH112" i="5"/>
  <c r="FB126" i="5"/>
  <c r="FS104" i="5"/>
  <c r="F124" i="5"/>
  <c r="DJ124" i="5"/>
  <c r="K121" i="5"/>
  <c r="DF129" i="5"/>
  <c r="AB129" i="5"/>
  <c r="DL113" i="5"/>
  <c r="AF113" i="5"/>
  <c r="BQ120" i="5"/>
  <c r="C111" i="5"/>
  <c r="G67" i="5"/>
  <c r="G100" i="5"/>
  <c r="BD101" i="5"/>
  <c r="AM103" i="5"/>
  <c r="EC111" i="5"/>
  <c r="EM111" i="5"/>
  <c r="BK114" i="5"/>
  <c r="EH103" i="5"/>
  <c r="DK124" i="5"/>
  <c r="DK128" i="5"/>
  <c r="BP122" i="5"/>
  <c r="P111" i="5"/>
  <c r="CZ121" i="5"/>
  <c r="DD106" i="5"/>
  <c r="DR105" i="5"/>
  <c r="BQ125" i="5"/>
  <c r="BM129" i="5"/>
  <c r="AB100" i="5"/>
  <c r="DB111" i="5"/>
  <c r="I121" i="5"/>
  <c r="EJ121" i="5"/>
  <c r="CV128" i="5"/>
  <c r="V126" i="5"/>
  <c r="CW121" i="5"/>
  <c r="BC125" i="5"/>
  <c r="BU125" i="5"/>
  <c r="FC126" i="5"/>
  <c r="J126" i="5"/>
  <c r="S117" i="5"/>
  <c r="CF107" i="5"/>
  <c r="BV109" i="5"/>
  <c r="DV99" i="5"/>
  <c r="FO124" i="5"/>
  <c r="EP120" i="5"/>
  <c r="DO107" i="5"/>
  <c r="EV124" i="5"/>
  <c r="CU125" i="5"/>
  <c r="DS110" i="5"/>
  <c r="BA110" i="5"/>
  <c r="CS122" i="5"/>
  <c r="D127" i="5"/>
  <c r="DQ122" i="5"/>
  <c r="L127" i="5"/>
  <c r="EE102" i="5"/>
  <c r="EG119" i="5"/>
  <c r="DT118" i="5"/>
  <c r="DG118" i="5"/>
  <c r="CV123" i="5"/>
  <c r="AQ118" i="5"/>
  <c r="DS114" i="5"/>
  <c r="ER99" i="5"/>
  <c r="CI108" i="5"/>
  <c r="AF103" i="5"/>
  <c r="DK99" i="5"/>
  <c r="X106" i="5"/>
  <c r="DD101" i="5"/>
  <c r="CG106" i="5"/>
  <c r="BG110" i="5"/>
  <c r="FF122" i="5"/>
  <c r="DX106" i="5"/>
  <c r="FM108" i="5"/>
  <c r="EU128" i="5"/>
  <c r="BH101" i="5"/>
  <c r="B100" i="5"/>
  <c r="CC124" i="5"/>
  <c r="BL103" i="5"/>
  <c r="FE102" i="5"/>
  <c r="FI113" i="5"/>
  <c r="DZ104" i="5"/>
  <c r="BM127" i="5"/>
  <c r="AS112" i="5"/>
  <c r="FM119" i="5"/>
  <c r="Z113" i="5"/>
  <c r="AX112" i="5"/>
  <c r="EP112" i="5"/>
  <c r="CZ126" i="5"/>
  <c r="BO102" i="5"/>
  <c r="AQ106" i="5"/>
  <c r="BT124" i="5"/>
  <c r="EU115" i="5"/>
  <c r="AG118" i="5"/>
  <c r="AP121" i="5"/>
  <c r="AC119" i="5"/>
  <c r="CC106" i="5"/>
  <c r="CT112" i="5"/>
  <c r="AM125" i="5"/>
  <c r="AN104" i="5"/>
  <c r="AD114" i="5"/>
  <c r="T119" i="5"/>
  <c r="B121" i="5"/>
  <c r="EM122" i="5"/>
  <c r="BU99" i="5"/>
  <c r="CT110" i="5"/>
  <c r="EW126" i="5"/>
  <c r="FP110" i="5"/>
  <c r="ET104" i="5"/>
  <c r="CR101" i="5"/>
  <c r="BX121" i="5"/>
  <c r="DP115" i="5"/>
  <c r="Y114" i="5"/>
  <c r="R110" i="5"/>
  <c r="DF106" i="5"/>
  <c r="CN117" i="5"/>
  <c r="AS128" i="5"/>
  <c r="AE123" i="5"/>
  <c r="AX129" i="5"/>
  <c r="AQ129" i="5"/>
  <c r="DU102" i="5"/>
  <c r="BI119" i="5"/>
  <c r="T121" i="5"/>
  <c r="DP129" i="5"/>
  <c r="R122" i="5"/>
  <c r="CR110" i="5"/>
  <c r="H113" i="5"/>
  <c r="B108" i="5"/>
  <c r="DC100" i="5"/>
  <c r="BK123" i="5"/>
  <c r="F113" i="5"/>
  <c r="EE120" i="5"/>
  <c r="CJ105" i="5"/>
  <c r="DN100" i="5"/>
  <c r="AW108" i="5"/>
  <c r="CQ115" i="5"/>
  <c r="R124" i="5"/>
  <c r="DS119" i="5"/>
  <c r="BZ104" i="5"/>
  <c r="ER120" i="5"/>
  <c r="L120" i="5"/>
  <c r="ES101" i="5"/>
  <c r="CI114" i="5"/>
  <c r="FD114" i="5"/>
  <c r="AF126" i="5"/>
  <c r="BF109" i="5"/>
  <c r="FC102" i="5"/>
  <c r="CB102" i="5"/>
  <c r="U126" i="5"/>
  <c r="BL116" i="5"/>
  <c r="FA125" i="5"/>
  <c r="EL123" i="5"/>
  <c r="S118" i="5"/>
  <c r="FE122" i="5"/>
  <c r="BK102" i="5"/>
  <c r="BF107" i="5"/>
  <c r="CR108" i="5"/>
  <c r="FK124" i="5"/>
  <c r="EA102" i="5"/>
  <c r="ET106" i="5"/>
  <c r="EG129" i="5"/>
  <c r="BE111" i="5"/>
  <c r="FF125" i="5"/>
  <c r="Y119" i="5"/>
  <c r="CJ120" i="5"/>
  <c r="AF105" i="5"/>
  <c r="FO114" i="5"/>
  <c r="CP121" i="5"/>
  <c r="CC128" i="5"/>
  <c r="DB110" i="5"/>
  <c r="Q111" i="5"/>
  <c r="H94" i="5"/>
  <c r="CJ116" i="5"/>
  <c r="FC124" i="5"/>
  <c r="DY111" i="5"/>
  <c r="CA99" i="5"/>
  <c r="EV101" i="5"/>
  <c r="FQ126" i="5"/>
  <c r="AU121" i="5"/>
  <c r="F106" i="5"/>
  <c r="BF128" i="5"/>
  <c r="DI105" i="5"/>
  <c r="BG115" i="5"/>
  <c r="AI127" i="5"/>
  <c r="FP118" i="5"/>
  <c r="CA109" i="5"/>
  <c r="E108" i="5"/>
  <c r="EO126" i="5"/>
  <c r="Q106" i="5"/>
  <c r="EK123" i="5"/>
  <c r="BD99" i="5"/>
  <c r="C126" i="5"/>
  <c r="EH117" i="5"/>
  <c r="DT114" i="5"/>
  <c r="BS102" i="5"/>
  <c r="BC129" i="5"/>
  <c r="CA118" i="5"/>
  <c r="AE111" i="5"/>
  <c r="AD123" i="5"/>
  <c r="H77" i="5"/>
  <c r="CH126" i="5"/>
  <c r="CS115" i="5"/>
  <c r="FT105" i="5"/>
  <c r="CL129" i="5"/>
  <c r="CE123" i="5"/>
  <c r="EL107" i="5"/>
  <c r="DW105" i="5"/>
  <c r="AS116" i="5"/>
  <c r="AN117" i="5"/>
  <c r="B123" i="5"/>
  <c r="F117" i="5"/>
  <c r="DP105" i="5"/>
  <c r="BR122" i="5"/>
  <c r="DW125" i="5"/>
  <c r="DM103" i="5"/>
  <c r="BH108" i="5"/>
  <c r="DK108" i="5"/>
  <c r="EE119" i="5"/>
  <c r="R113" i="5"/>
  <c r="EJ119" i="5"/>
  <c r="EA124" i="5"/>
  <c r="AC104" i="5"/>
  <c r="BX107" i="5"/>
  <c r="F115" i="5"/>
  <c r="F94" i="5"/>
  <c r="DL100" i="5"/>
  <c r="Z124" i="5"/>
  <c r="DY115" i="5"/>
  <c r="H86" i="5"/>
  <c r="EA111" i="5"/>
  <c r="CM110" i="5"/>
  <c r="AZ106" i="5"/>
  <c r="AI111" i="5"/>
  <c r="CU105" i="5"/>
  <c r="DA106" i="5"/>
  <c r="CX105" i="5"/>
  <c r="AW128" i="5"/>
  <c r="EP117" i="5"/>
  <c r="FK112" i="5"/>
  <c r="EW118" i="5"/>
  <c r="DV106" i="5"/>
  <c r="CP111" i="5"/>
  <c r="BJ116" i="5"/>
  <c r="CD117" i="5"/>
  <c r="EA110" i="5"/>
  <c r="F75" i="5"/>
  <c r="AX101" i="5"/>
  <c r="AE116" i="5"/>
  <c r="AY111" i="5"/>
  <c r="C116" i="5"/>
  <c r="EA99" i="5"/>
  <c r="AP105" i="5"/>
  <c r="G75" i="5"/>
  <c r="AS100" i="5"/>
  <c r="DA115" i="5"/>
  <c r="EQ125" i="5"/>
  <c r="DV113" i="5"/>
  <c r="BY125" i="5"/>
  <c r="FA124" i="5"/>
  <c r="EO105" i="5"/>
  <c r="AS104" i="5"/>
  <c r="G124" i="5"/>
  <c r="FK105" i="5"/>
  <c r="EI114" i="5"/>
  <c r="AN124" i="5"/>
  <c r="BF99" i="5"/>
  <c r="H111" i="5"/>
  <c r="FB115" i="5"/>
  <c r="DN111" i="5"/>
  <c r="ES116" i="5"/>
  <c r="CV99" i="5"/>
  <c r="DM101" i="5"/>
  <c r="U102" i="5"/>
  <c r="DO113" i="5"/>
  <c r="CA108" i="5"/>
  <c r="O103" i="5"/>
  <c r="Y101" i="5"/>
  <c r="AH103" i="5"/>
  <c r="DB114" i="5"/>
  <c r="D112" i="5"/>
  <c r="CB117" i="5"/>
  <c r="BG126" i="5"/>
  <c r="DK107" i="5"/>
  <c r="E114" i="5"/>
  <c r="Q128" i="5"/>
  <c r="BC127" i="5"/>
  <c r="DP101" i="5"/>
  <c r="T103" i="5"/>
  <c r="DG105" i="5"/>
  <c r="CE124" i="5"/>
  <c r="EP125" i="5"/>
  <c r="EU126" i="5"/>
  <c r="FB111" i="5"/>
  <c r="CT121" i="5"/>
  <c r="BR125" i="5"/>
  <c r="P104" i="5"/>
  <c r="AP122" i="5"/>
  <c r="DC126" i="5"/>
  <c r="CC113" i="5"/>
  <c r="S101" i="5"/>
  <c r="AM99" i="5"/>
  <c r="FG103" i="5"/>
  <c r="FP111" i="5"/>
  <c r="AN127" i="5"/>
  <c r="FH115" i="5"/>
  <c r="FD102" i="5"/>
  <c r="BJ101" i="5"/>
  <c r="AN105" i="5"/>
  <c r="BC101" i="5"/>
  <c r="EA107" i="5"/>
  <c r="EE104" i="5"/>
  <c r="F84" i="5"/>
  <c r="BM111" i="5"/>
  <c r="K125" i="5"/>
  <c r="P109" i="5"/>
  <c r="AP110" i="5"/>
  <c r="O128" i="5"/>
  <c r="DE128" i="5"/>
  <c r="BZ108" i="5"/>
  <c r="DC104" i="5"/>
  <c r="AS118" i="5"/>
  <c r="FG109" i="5"/>
  <c r="I129" i="5"/>
  <c r="CF99" i="5"/>
  <c r="L122" i="5"/>
  <c r="BP105" i="5"/>
  <c r="FC108" i="5"/>
  <c r="BI111" i="5"/>
  <c r="DO103" i="5"/>
  <c r="DO101" i="5"/>
  <c r="K103" i="5"/>
  <c r="EZ107" i="5"/>
  <c r="FT107" i="5"/>
  <c r="CW110" i="5"/>
  <c r="EK122" i="5"/>
  <c r="CO106" i="5"/>
  <c r="Z102" i="5"/>
  <c r="BV115" i="5"/>
  <c r="BR101" i="5"/>
  <c r="DC109" i="5"/>
  <c r="EH101" i="5"/>
  <c r="BR112" i="5"/>
  <c r="EL105" i="5"/>
  <c r="BZ99" i="5"/>
  <c r="FP99" i="5"/>
  <c r="BF100" i="5"/>
  <c r="Z120" i="5"/>
  <c r="EY122" i="5"/>
  <c r="AM105" i="5"/>
  <c r="FT114" i="5"/>
  <c r="DN102" i="5"/>
  <c r="FQ117" i="5"/>
  <c r="AE101" i="5"/>
  <c r="FM117" i="5"/>
  <c r="EP102" i="5"/>
  <c r="CB112" i="5"/>
  <c r="L110" i="5"/>
  <c r="BX102" i="5"/>
  <c r="DI108" i="5"/>
  <c r="BH126" i="5"/>
  <c r="BA106" i="5"/>
  <c r="M110" i="5"/>
  <c r="AD105" i="5"/>
  <c r="FP108" i="5"/>
  <c r="AQ121" i="5"/>
  <c r="AC120" i="5"/>
  <c r="BN121" i="5"/>
  <c r="BB103" i="5"/>
  <c r="FK117" i="5"/>
  <c r="D123" i="5"/>
  <c r="BV107" i="5"/>
  <c r="FN115" i="5"/>
  <c r="BA127" i="5"/>
  <c r="FT120" i="5"/>
  <c r="B115" i="5"/>
  <c r="BF117" i="5"/>
  <c r="BA104" i="5"/>
  <c r="FR119" i="5"/>
  <c r="AI109" i="5"/>
  <c r="EB128" i="5"/>
  <c r="L112" i="5"/>
  <c r="X121" i="5"/>
  <c r="CO122" i="5"/>
  <c r="S107" i="5"/>
  <c r="AJ114" i="5"/>
  <c r="FI117" i="5"/>
  <c r="E112" i="5"/>
  <c r="CA111" i="5"/>
  <c r="K109" i="5"/>
  <c r="FC111" i="5"/>
  <c r="ET119" i="5"/>
  <c r="DB112" i="5"/>
  <c r="EZ128" i="5"/>
  <c r="J110" i="5"/>
  <c r="BS126" i="5"/>
  <c r="EW102" i="5"/>
  <c r="BK107" i="5"/>
  <c r="DF119" i="5"/>
  <c r="AO119" i="5"/>
  <c r="R102" i="5"/>
  <c r="FO117" i="5"/>
  <c r="DQ127" i="5"/>
  <c r="ER112" i="5"/>
  <c r="U100" i="5"/>
  <c r="DG110" i="5"/>
  <c r="R119" i="5"/>
  <c r="FJ107" i="5"/>
  <c r="ER110" i="5"/>
  <c r="FI126" i="5"/>
  <c r="FI106" i="5"/>
  <c r="BT115" i="5"/>
  <c r="ER129" i="5"/>
  <c r="BL129" i="5"/>
  <c r="FD104" i="5"/>
  <c r="FA118" i="5"/>
  <c r="BR110" i="5"/>
  <c r="DO114" i="5"/>
  <c r="K101" i="5"/>
  <c r="CO100" i="5"/>
  <c r="FF103" i="5"/>
  <c r="DB115" i="5"/>
  <c r="FQ108" i="5"/>
  <c r="DE107" i="5"/>
  <c r="CP99" i="5"/>
  <c r="FQ112" i="5"/>
  <c r="BR100" i="5"/>
  <c r="Y118" i="5"/>
  <c r="BJ121" i="5"/>
  <c r="BC108" i="5"/>
  <c r="DQ124" i="5"/>
  <c r="BG112" i="5"/>
  <c r="BB105" i="5"/>
  <c r="FE123" i="5"/>
  <c r="J107" i="5"/>
  <c r="CT108" i="5"/>
  <c r="AO110" i="5"/>
  <c r="CR104" i="5"/>
  <c r="G109" i="5"/>
  <c r="CU108" i="5"/>
  <c r="AK101" i="5"/>
  <c r="DD118" i="5"/>
  <c r="BH121" i="5"/>
  <c r="BK105" i="5"/>
  <c r="FE103" i="5"/>
  <c r="EE122" i="5"/>
  <c r="DG103" i="5"/>
  <c r="EP113" i="5"/>
  <c r="FF109" i="5"/>
  <c r="FL128" i="5"/>
  <c r="J118" i="5"/>
  <c r="DG125" i="5"/>
  <c r="CR103" i="5"/>
  <c r="P120" i="5"/>
  <c r="BG106" i="5"/>
  <c r="CZ120" i="5"/>
  <c r="DZ106" i="5"/>
  <c r="M114" i="5"/>
  <c r="EK119" i="5"/>
  <c r="EH102" i="5"/>
  <c r="H102" i="5"/>
  <c r="AJ117" i="5"/>
  <c r="D115" i="5"/>
  <c r="BF116" i="5"/>
  <c r="AU128" i="5"/>
  <c r="CM99" i="5"/>
  <c r="O115" i="5"/>
  <c r="DJ100" i="5"/>
  <c r="AK111" i="5"/>
  <c r="BW122" i="5"/>
  <c r="DA108" i="5"/>
  <c r="DD122" i="5"/>
  <c r="DI113" i="5"/>
  <c r="CF114" i="5"/>
  <c r="FE106" i="5"/>
  <c r="F97" i="5"/>
  <c r="DJ102" i="5"/>
  <c r="DV118" i="5"/>
  <c r="EB125" i="5"/>
  <c r="FB105" i="5"/>
  <c r="FK110" i="5"/>
  <c r="CG109" i="5"/>
  <c r="EI103" i="5"/>
  <c r="EE128" i="5"/>
  <c r="BA100" i="5"/>
  <c r="DD111" i="5"/>
  <c r="DL122" i="5"/>
  <c r="DK126" i="5"/>
  <c r="CA107" i="5"/>
  <c r="V99" i="5"/>
  <c r="BY106" i="5"/>
  <c r="AX107" i="5"/>
  <c r="D116" i="5"/>
  <c r="FE126" i="5"/>
  <c r="AT113" i="5"/>
  <c r="EZ103" i="5"/>
  <c r="CN116" i="5"/>
  <c r="DN104" i="5"/>
  <c r="EC119" i="5"/>
  <c r="CC109" i="5"/>
  <c r="CK114" i="5"/>
  <c r="CI119" i="5"/>
  <c r="T107" i="5"/>
  <c r="BK106" i="5"/>
  <c r="FH102" i="5"/>
  <c r="BY99" i="5"/>
  <c r="T118" i="5"/>
  <c r="AJ100" i="5"/>
  <c r="CN128" i="5"/>
  <c r="EC104" i="5"/>
  <c r="U111" i="5"/>
  <c r="DE112" i="5"/>
  <c r="DL114" i="5"/>
  <c r="S112" i="5"/>
  <c r="AH107" i="5"/>
  <c r="CL116" i="5"/>
  <c r="AL100" i="5"/>
  <c r="DS115" i="5"/>
  <c r="AN101" i="5"/>
  <c r="BS125" i="5"/>
  <c r="DY99" i="5"/>
  <c r="AC122" i="5"/>
  <c r="BS119" i="5"/>
  <c r="BB115" i="5"/>
  <c r="CM123" i="5"/>
  <c r="AZ108" i="5"/>
  <c r="E103" i="5"/>
  <c r="AG121" i="5"/>
  <c r="FM100" i="5"/>
  <c r="AG128" i="5"/>
  <c r="FJ127" i="5"/>
  <c r="AA114" i="5"/>
  <c r="AV124" i="5"/>
  <c r="EU116" i="5"/>
  <c r="G128" i="5"/>
  <c r="AC103" i="5"/>
  <c r="BQ99" i="5"/>
  <c r="AL121" i="5"/>
  <c r="AJ127" i="5"/>
  <c r="N127" i="5"/>
  <c r="BB101" i="5"/>
  <c r="V101" i="5"/>
  <c r="CV103" i="5"/>
  <c r="FS118" i="5"/>
  <c r="ED99" i="5"/>
  <c r="BD115" i="5"/>
  <c r="EW103" i="5"/>
  <c r="AF120" i="5"/>
  <c r="EY103" i="5"/>
  <c r="C102" i="5"/>
  <c r="U120" i="5"/>
  <c r="BK99" i="5"/>
  <c r="CJ115" i="5"/>
  <c r="CV125" i="5"/>
  <c r="EK127" i="5"/>
  <c r="CH109" i="5"/>
  <c r="EI120" i="5"/>
  <c r="ES123" i="5"/>
  <c r="H125" i="5"/>
  <c r="EP103" i="5"/>
  <c r="D109" i="5"/>
  <c r="EJ126" i="5"/>
  <c r="S126" i="5"/>
  <c r="AX103" i="5"/>
  <c r="DV125" i="5"/>
  <c r="FM111" i="5"/>
  <c r="CD121" i="5"/>
  <c r="X104" i="5"/>
  <c r="DG106" i="5"/>
  <c r="Q123" i="5"/>
  <c r="BA123" i="5"/>
  <c r="DL105" i="5"/>
  <c r="DW99" i="5"/>
  <c r="CD106" i="5"/>
  <c r="FE119" i="5"/>
  <c r="Z104" i="5"/>
  <c r="F114" i="5"/>
  <c r="FT125" i="5"/>
  <c r="DQ109" i="5"/>
  <c r="BE112" i="5"/>
  <c r="DW126" i="5"/>
  <c r="F71" i="5"/>
  <c r="B104" i="5"/>
  <c r="DU119" i="5"/>
  <c r="B126" i="5"/>
  <c r="DZ127" i="5"/>
  <c r="CI122" i="5"/>
  <c r="BA128" i="5"/>
  <c r="BX109" i="5"/>
  <c r="EQ117" i="5"/>
  <c r="BR120" i="5"/>
  <c r="AR111" i="5"/>
  <c r="EO119" i="5"/>
  <c r="G104" i="5"/>
  <c r="CX110" i="5"/>
  <c r="CQ107" i="5"/>
  <c r="BU103" i="5"/>
  <c r="DD115" i="5"/>
  <c r="BP117" i="5"/>
  <c r="EJ129" i="5"/>
  <c r="FD124" i="5"/>
  <c r="BA99" i="5"/>
  <c r="CB111" i="5"/>
  <c r="AM111" i="5"/>
  <c r="BE124" i="5"/>
  <c r="FO122" i="5"/>
  <c r="CU127" i="5"/>
  <c r="DE99" i="5"/>
  <c r="AC124" i="5"/>
  <c r="AT106" i="5"/>
  <c r="DF121" i="5"/>
  <c r="AP117" i="5"/>
  <c r="EE115" i="5"/>
  <c r="EJ127" i="5"/>
  <c r="DQ129" i="5"/>
  <c r="EA125" i="5"/>
  <c r="FM110" i="5"/>
  <c r="P129" i="5"/>
  <c r="F69" i="5"/>
  <c r="DJ121" i="5"/>
  <c r="DZ118" i="5"/>
  <c r="O111" i="5"/>
  <c r="CP127" i="5"/>
  <c r="Y109" i="5"/>
  <c r="AR128" i="5"/>
  <c r="DW119" i="5"/>
  <c r="EQ119" i="5"/>
  <c r="AO125" i="5"/>
  <c r="FN109" i="5"/>
  <c r="F121" i="5"/>
  <c r="EN115" i="5"/>
  <c r="ES119" i="5"/>
  <c r="BU105" i="5"/>
  <c r="AW121" i="5"/>
  <c r="AJ118" i="5"/>
  <c r="BO128" i="5"/>
  <c r="FN105" i="5"/>
  <c r="CJ118" i="5"/>
  <c r="EK111" i="5"/>
  <c r="EZ123" i="5"/>
  <c r="CH120" i="5"/>
  <c r="BJ100" i="5"/>
  <c r="AC112" i="5"/>
  <c r="F99" i="5"/>
  <c r="B112" i="5"/>
  <c r="FO118" i="5"/>
  <c r="AL125" i="5"/>
  <c r="D128" i="5"/>
  <c r="CF106" i="5"/>
  <c r="EK105" i="5"/>
  <c r="BT110" i="5"/>
  <c r="EI110" i="5"/>
  <c r="CD107" i="5"/>
  <c r="CV122" i="5"/>
  <c r="ET113" i="5"/>
  <c r="CE125" i="5"/>
  <c r="CR112" i="5"/>
  <c r="G86" i="5"/>
  <c r="H97" i="5"/>
  <c r="E127" i="5"/>
  <c r="DZ125" i="5"/>
  <c r="DG126" i="5"/>
  <c r="EU117" i="5"/>
  <c r="CE119" i="5"/>
  <c r="DS127" i="5"/>
  <c r="FJ114" i="5"/>
  <c r="R109" i="5"/>
  <c r="FN120" i="5"/>
  <c r="BK129" i="5"/>
  <c r="AR126" i="5"/>
  <c r="DJ117" i="5"/>
  <c r="BE121" i="5"/>
  <c r="AP113" i="5"/>
  <c r="CM106" i="5"/>
  <c r="AZ121" i="5"/>
  <c r="ED108" i="5"/>
  <c r="FF119" i="5"/>
  <c r="DR119" i="5"/>
  <c r="DF126" i="5"/>
  <c r="DP100" i="5"/>
  <c r="AO100" i="5"/>
  <c r="DG109" i="5"/>
  <c r="BY129" i="5"/>
  <c r="CR105" i="5"/>
  <c r="DT116" i="5"/>
  <c r="EW112" i="5"/>
  <c r="AY114" i="5"/>
  <c r="BY126" i="5"/>
  <c r="EB122" i="5"/>
  <c r="EV103" i="5"/>
  <c r="BX101" i="5"/>
  <c r="BQ113" i="5"/>
  <c r="EH126" i="5"/>
  <c r="B107" i="5"/>
  <c r="BX126" i="5"/>
  <c r="BI101" i="5"/>
  <c r="CM119" i="5"/>
  <c r="AF112" i="5"/>
  <c r="EC123" i="5"/>
  <c r="DU105" i="5"/>
  <c r="CX126" i="5"/>
  <c r="FF116" i="5"/>
  <c r="CE102" i="5"/>
  <c r="BZ122" i="5"/>
  <c r="CA100" i="5"/>
  <c r="DQ119" i="5"/>
  <c r="G90" i="5"/>
  <c r="CL126" i="5"/>
  <c r="EC101" i="5"/>
  <c r="CI123" i="5"/>
  <c r="G101" i="5"/>
  <c r="CA105" i="5"/>
  <c r="CK117" i="5"/>
  <c r="AU99" i="5"/>
  <c r="CD118" i="5"/>
  <c r="CX117" i="5"/>
  <c r="CB114" i="5"/>
  <c r="CN118" i="5"/>
  <c r="CU102" i="5"/>
  <c r="DC105" i="5"/>
  <c r="CC125" i="5"/>
  <c r="CF117" i="5"/>
  <c r="L114" i="5"/>
  <c r="G91" i="5"/>
  <c r="AA104" i="5"/>
  <c r="DD123" i="5"/>
  <c r="DX118" i="5"/>
  <c r="Q124" i="5"/>
  <c r="EX110" i="5"/>
  <c r="H100" i="5"/>
  <c r="CQ122" i="5"/>
  <c r="EB99" i="5"/>
  <c r="DZ112" i="5"/>
  <c r="L104" i="5"/>
  <c r="DR109" i="5"/>
  <c r="CR125" i="5"/>
  <c r="O114" i="5"/>
  <c r="CC120" i="5"/>
  <c r="BS108" i="5"/>
  <c r="AY116" i="5"/>
  <c r="ET126" i="5"/>
  <c r="AL115" i="5"/>
  <c r="BZ112" i="5"/>
  <c r="BA101" i="5"/>
  <c r="FT101" i="5"/>
  <c r="DS108" i="5"/>
  <c r="E117" i="5"/>
  <c r="EH108" i="5"/>
  <c r="DU118" i="5"/>
  <c r="DE110" i="5"/>
  <c r="DA105" i="5"/>
  <c r="F102" i="5"/>
  <c r="AP101" i="5"/>
  <c r="DT99" i="5"/>
  <c r="AO107" i="5"/>
  <c r="CJ124" i="5"/>
  <c r="EW124" i="5"/>
  <c r="FF124" i="5"/>
  <c r="FO123" i="5"/>
  <c r="FK125" i="5"/>
  <c r="CN102" i="5"/>
  <c r="EG104" i="5"/>
  <c r="BS105" i="5"/>
  <c r="D101" i="5"/>
  <c r="AE102" i="5"/>
  <c r="DO122" i="5"/>
  <c r="K119" i="5"/>
  <c r="AZ112" i="5"/>
  <c r="BL124" i="5"/>
  <c r="FG124" i="5"/>
  <c r="L105" i="5"/>
  <c r="DO125" i="5"/>
  <c r="DQ104" i="5"/>
  <c r="DT104" i="5"/>
  <c r="AT109" i="5"/>
  <c r="FF126" i="5"/>
  <c r="CU128" i="5"/>
  <c r="BI109" i="5"/>
  <c r="BS127" i="5"/>
  <c r="CA104" i="5"/>
  <c r="FF115" i="5"/>
  <c r="CK119" i="5"/>
  <c r="BK121" i="5"/>
  <c r="FG114" i="5"/>
  <c r="AP115" i="5"/>
  <c r="BY111" i="5"/>
  <c r="DZ126" i="5"/>
  <c r="FL102" i="5"/>
  <c r="EW114" i="5"/>
  <c r="CX106" i="5"/>
  <c r="AF122" i="5"/>
  <c r="CQ120" i="5"/>
  <c r="T114" i="5"/>
  <c r="AV102" i="5"/>
  <c r="I106" i="5"/>
  <c r="EG114" i="5"/>
  <c r="P110" i="5"/>
  <c r="EF115" i="5"/>
  <c r="DH109" i="5"/>
  <c r="J100" i="5"/>
  <c r="H117" i="5"/>
  <c r="DG128" i="5"/>
  <c r="AQ108" i="5"/>
  <c r="FR112" i="5"/>
  <c r="AO120" i="5"/>
  <c r="BS99" i="5"/>
  <c r="EH113" i="5"/>
  <c r="EN107" i="5"/>
  <c r="AE109" i="5"/>
  <c r="DU129" i="5"/>
  <c r="BJ99" i="5"/>
  <c r="DL125" i="5"/>
  <c r="CR106" i="5"/>
  <c r="DK125" i="5"/>
  <c r="DD110" i="5"/>
  <c r="BG116" i="5"/>
  <c r="FB104" i="5"/>
  <c r="Z106" i="5"/>
  <c r="BK118" i="5"/>
  <c r="L125" i="5"/>
  <c r="AN112" i="5"/>
  <c r="FS127" i="5"/>
  <c r="AF111" i="5"/>
  <c r="BH105" i="5"/>
  <c r="Q107" i="5"/>
  <c r="CK123" i="5"/>
  <c r="V100" i="5"/>
  <c r="AP111" i="5"/>
  <c r="ED120" i="5"/>
  <c r="DM113" i="5"/>
  <c r="FN99" i="5"/>
  <c r="FR101" i="5"/>
  <c r="CY121" i="5"/>
  <c r="AH118" i="5"/>
  <c r="AZ125" i="5"/>
  <c r="CE122" i="5"/>
  <c r="DB104" i="5"/>
  <c r="AE117" i="5"/>
  <c r="CI125" i="5"/>
  <c r="G111" i="5"/>
  <c r="AW106" i="5"/>
  <c r="CJ113" i="5"/>
  <c r="BB109" i="5"/>
  <c r="DN107" i="5"/>
  <c r="FO99" i="5"/>
  <c r="X99" i="5"/>
  <c r="CP123" i="5"/>
  <c r="X113" i="5"/>
  <c r="Y127" i="5"/>
  <c r="BP129" i="5"/>
  <c r="CS102" i="5"/>
  <c r="E118" i="5"/>
  <c r="AK112" i="5"/>
  <c r="EB123" i="5"/>
  <c r="AE107" i="5"/>
  <c r="ED102" i="5"/>
  <c r="DS128" i="5"/>
  <c r="CR123" i="5"/>
  <c r="EF102" i="5"/>
  <c r="BO113" i="5"/>
  <c r="AV122" i="5"/>
  <c r="AD115" i="5"/>
  <c r="C101" i="5"/>
  <c r="AE99" i="5"/>
  <c r="FG117" i="5"/>
  <c r="BI120" i="5"/>
  <c r="G98" i="5"/>
  <c r="AT127" i="5"/>
  <c r="EA114" i="5"/>
  <c r="V127" i="5"/>
  <c r="BP116" i="5"/>
  <c r="DC103" i="5"/>
  <c r="F109" i="5"/>
  <c r="AI112" i="5"/>
  <c r="AQ100" i="5"/>
  <c r="T122" i="5"/>
  <c r="EE100" i="5"/>
  <c r="BS103" i="5"/>
  <c r="FL106" i="5"/>
  <c r="CT128" i="5"/>
  <c r="ET115" i="5"/>
  <c r="AW119" i="5"/>
  <c r="DL128" i="5"/>
  <c r="EX107" i="5"/>
  <c r="AI128" i="5"/>
  <c r="CS119" i="5"/>
  <c r="BG118" i="5"/>
  <c r="EF126" i="5"/>
  <c r="CT105" i="5"/>
  <c r="EM119" i="5"/>
  <c r="CT123" i="5"/>
  <c r="EW113" i="5"/>
  <c r="DT101" i="5"/>
  <c r="BF101" i="5"/>
  <c r="CB115" i="5"/>
  <c r="FI105" i="5"/>
  <c r="CX107" i="5"/>
  <c r="DI127" i="5"/>
  <c r="AW101" i="5"/>
  <c r="EY104" i="5"/>
  <c r="ET109" i="5"/>
  <c r="DT103" i="5"/>
  <c r="EF120" i="5"/>
  <c r="CM108" i="5"/>
  <c r="DP119" i="5"/>
  <c r="AW115" i="5"/>
  <c r="CN100" i="5"/>
  <c r="AC116" i="5"/>
  <c r="FB100" i="5"/>
  <c r="X110" i="5"/>
  <c r="DO129" i="5"/>
  <c r="DO120" i="5"/>
  <c r="BJ123" i="5"/>
  <c r="CZ128" i="5"/>
  <c r="DM126" i="5"/>
  <c r="FA129" i="5"/>
  <c r="BV118" i="5"/>
  <c r="G72" i="5"/>
  <c r="CH103" i="5"/>
  <c r="D107" i="5"/>
  <c r="BY115" i="5"/>
  <c r="BB128" i="5"/>
  <c r="FB116" i="5"/>
  <c r="DA118" i="5"/>
  <c r="CX112" i="5"/>
  <c r="O118" i="5"/>
  <c r="ER109" i="5"/>
  <c r="V106" i="5"/>
  <c r="CI124" i="5"/>
  <c r="FE128" i="5"/>
  <c r="FP113" i="5"/>
  <c r="BY114" i="5"/>
  <c r="CI100" i="5"/>
  <c r="U123" i="5"/>
  <c r="BP108" i="5"/>
  <c r="H109" i="5"/>
  <c r="DK110" i="5"/>
  <c r="CR120" i="5"/>
  <c r="BG99" i="5"/>
  <c r="BY110" i="5"/>
  <c r="AX114" i="5"/>
  <c r="EI129" i="5"/>
  <c r="BR99" i="5"/>
  <c r="BY122" i="5"/>
  <c r="CW128" i="5"/>
  <c r="EJ102" i="5"/>
  <c r="BL99" i="5"/>
  <c r="EQ105" i="5"/>
  <c r="EJ114" i="5"/>
  <c r="EW108" i="5"/>
  <c r="DO118" i="5"/>
  <c r="FH117" i="5"/>
  <c r="FS129" i="5"/>
  <c r="DJ103" i="5"/>
  <c r="FQ106" i="5"/>
  <c r="AO105" i="5"/>
  <c r="EH118" i="5"/>
  <c r="S119" i="5"/>
  <c r="CK101" i="5"/>
  <c r="FS99" i="5"/>
  <c r="AS107" i="5"/>
  <c r="DJ109" i="5"/>
  <c r="DM109" i="5"/>
  <c r="S113" i="5"/>
  <c r="DI111" i="5"/>
  <c r="AG104" i="5"/>
  <c r="DY109" i="5"/>
  <c r="AI107" i="5"/>
  <c r="BB104" i="5"/>
  <c r="DY119" i="5"/>
  <c r="FK121" i="5"/>
  <c r="H80" i="5"/>
  <c r="BY105" i="5"/>
  <c r="DK109" i="5"/>
  <c r="EX121" i="5"/>
  <c r="AG119" i="5"/>
  <c r="FL119" i="5"/>
  <c r="FJ116" i="5"/>
  <c r="CM121" i="5"/>
  <c r="DY116" i="5"/>
  <c r="AE112" i="5"/>
  <c r="FJ119" i="5"/>
  <c r="AF109" i="5"/>
  <c r="EL108" i="5"/>
  <c r="W99" i="5"/>
  <c r="FL107" i="5"/>
  <c r="AQ112" i="5"/>
  <c r="CL124" i="5"/>
  <c r="CH114" i="5"/>
  <c r="CM127" i="5"/>
  <c r="CA115" i="5"/>
  <c r="DI114" i="5"/>
  <c r="FR111" i="5"/>
  <c r="EX111" i="5"/>
  <c r="BP127" i="5"/>
  <c r="J114" i="5"/>
  <c r="R123" i="5"/>
  <c r="FL112" i="5"/>
  <c r="EX108" i="5"/>
  <c r="CJ119" i="5"/>
  <c r="FL127" i="5"/>
  <c r="EL110" i="5"/>
  <c r="FI125" i="5"/>
  <c r="DV127" i="5"/>
  <c r="FJ104" i="5"/>
  <c r="N102" i="5"/>
  <c r="DZ107" i="5"/>
  <c r="AV104" i="5"/>
  <c r="CN113" i="5"/>
  <c r="CN111" i="5"/>
  <c r="Y123" i="5"/>
  <c r="CM107" i="5"/>
  <c r="BB107" i="5"/>
  <c r="T109" i="5"/>
  <c r="FA113" i="5"/>
  <c r="K102" i="5"/>
  <c r="BN100" i="5"/>
  <c r="AC100" i="5"/>
  <c r="DU104" i="5"/>
  <c r="EN102" i="5"/>
  <c r="W100" i="5"/>
  <c r="FE99" i="5"/>
  <c r="FI128" i="5"/>
  <c r="EU100" i="5"/>
  <c r="CI116" i="5"/>
  <c r="EQ126" i="5"/>
  <c r="BC99" i="5"/>
  <c r="EB102" i="5"/>
  <c r="FO100" i="5"/>
  <c r="K116" i="5"/>
  <c r="BM101" i="5"/>
  <c r="DA125" i="5"/>
  <c r="ED122" i="5"/>
  <c r="CH108" i="5"/>
  <c r="EB117" i="5"/>
  <c r="AM106" i="5"/>
  <c r="DR116" i="5"/>
  <c r="AH109" i="5"/>
  <c r="AZ118" i="5"/>
  <c r="DE113" i="5"/>
  <c r="AP112" i="5"/>
  <c r="AB109" i="5"/>
  <c r="AN121" i="5"/>
  <c r="BH103" i="5"/>
  <c r="DT108" i="5"/>
  <c r="Q118" i="5"/>
  <c r="BO103" i="5"/>
  <c r="CM114" i="5"/>
  <c r="CY126" i="5"/>
  <c r="FB101" i="5"/>
  <c r="BE109" i="5"/>
  <c r="EO129" i="5"/>
  <c r="AO112" i="5"/>
  <c r="DK106" i="5"/>
  <c r="AG124" i="5"/>
  <c r="BO120" i="5"/>
  <c r="CT101" i="5"/>
  <c r="EZ120" i="5"/>
  <c r="Z109" i="5"/>
  <c r="E99" i="5"/>
  <c r="T102" i="5"/>
  <c r="DW127" i="5"/>
  <c r="AQ115" i="5"/>
  <c r="EY105" i="5"/>
  <c r="DV112" i="5"/>
  <c r="BJ124" i="5"/>
  <c r="EG120" i="5"/>
  <c r="EU129" i="5"/>
  <c r="CQ104" i="5"/>
  <c r="X107" i="5"/>
  <c r="EN114" i="5"/>
  <c r="DW123" i="5"/>
  <c r="EK110" i="5"/>
  <c r="AH125" i="5"/>
  <c r="BR107" i="5"/>
  <c r="CS105" i="5"/>
  <c r="D111" i="5"/>
  <c r="FB102" i="5"/>
  <c r="EY129" i="5"/>
  <c r="AR115" i="5"/>
  <c r="CJ108" i="5"/>
  <c r="CQ105" i="5"/>
  <c r="EZ101" i="5"/>
  <c r="ES109" i="5"/>
  <c r="BH107" i="5"/>
  <c r="FO121" i="5"/>
  <c r="DX107" i="5"/>
  <c r="BD116" i="5"/>
  <c r="F96" i="5"/>
  <c r="DS111" i="5"/>
  <c r="B122" i="5"/>
  <c r="FG115" i="5"/>
  <c r="DF101" i="5"/>
  <c r="FE110" i="5"/>
  <c r="AT128" i="5"/>
  <c r="CY106" i="5"/>
  <c r="BR114" i="5"/>
  <c r="FK102" i="5"/>
  <c r="CA123" i="5"/>
  <c r="DE109" i="5"/>
  <c r="AD103" i="5"/>
  <c r="CJ106" i="5"/>
  <c r="BK104" i="5"/>
  <c r="BA122" i="5"/>
  <c r="EI119" i="5"/>
  <c r="DB126" i="5"/>
  <c r="AX119" i="5"/>
  <c r="CD116" i="5"/>
  <c r="CC105" i="5"/>
  <c r="FK118" i="5"/>
  <c r="DK100" i="5"/>
  <c r="X111" i="5"/>
  <c r="AV118" i="5"/>
  <c r="CA129" i="5"/>
  <c r="AV111" i="5"/>
  <c r="EF105" i="5"/>
  <c r="BJ104" i="5"/>
  <c r="F81" i="5"/>
  <c r="BD113" i="5"/>
  <c r="CW113" i="5"/>
  <c r="AW111" i="5"/>
  <c r="CN109" i="5"/>
  <c r="AF101" i="5"/>
  <c r="FA114" i="5"/>
  <c r="G114" i="5"/>
  <c r="FP100" i="5"/>
  <c r="AV117" i="5"/>
  <c r="DN113" i="5"/>
  <c r="CZ101" i="5"/>
  <c r="BV119" i="5"/>
  <c r="AZ105" i="5"/>
  <c r="FG104" i="5"/>
  <c r="J117" i="5"/>
  <c r="FO106" i="5"/>
  <c r="AP104" i="5"/>
  <c r="BS106" i="5"/>
  <c r="BL107" i="5"/>
  <c r="EI111" i="5"/>
  <c r="BT116" i="5"/>
  <c r="AG116" i="5"/>
  <c r="FO111" i="5"/>
  <c r="CW118" i="5"/>
  <c r="BM104" i="5"/>
  <c r="BK112" i="5"/>
  <c r="DT128" i="5"/>
  <c r="G77" i="5"/>
  <c r="EM99" i="5"/>
  <c r="H95" i="5"/>
  <c r="DF99" i="5"/>
  <c r="BK127" i="5"/>
  <c r="CN104" i="5"/>
  <c r="DT110" i="5"/>
  <c r="DO116" i="5"/>
  <c r="EJ111" i="5"/>
  <c r="ET111" i="5"/>
  <c r="BG120" i="5"/>
  <c r="FO119" i="5"/>
  <c r="BX114" i="5"/>
  <c r="FP129" i="5"/>
  <c r="O102" i="5"/>
  <c r="DJ123" i="5"/>
  <c r="AK107" i="5"/>
  <c r="EX117" i="5"/>
  <c r="F125" i="5"/>
  <c r="W124" i="5"/>
  <c r="CL121" i="5"/>
  <c r="FC122" i="5"/>
  <c r="CU111" i="5"/>
  <c r="FM112" i="5"/>
  <c r="DM118" i="5"/>
  <c r="AS108" i="5"/>
  <c r="DW104" i="5"/>
  <c r="BF103" i="5"/>
  <c r="BR102" i="5"/>
  <c r="Y122" i="5"/>
  <c r="CO116" i="5"/>
  <c r="CE116" i="5"/>
  <c r="EC103" i="5"/>
  <c r="AI113" i="5"/>
  <c r="CN120" i="5"/>
  <c r="CG114" i="5"/>
  <c r="F65" i="5"/>
  <c r="EU106" i="5"/>
  <c r="O113" i="5"/>
  <c r="AT119" i="5"/>
  <c r="EY101" i="5"/>
  <c r="BN101" i="5"/>
  <c r="CU114" i="5"/>
  <c r="BM103" i="5"/>
  <c r="F74" i="5"/>
  <c r="CU119" i="5"/>
  <c r="EF104" i="5"/>
  <c r="CZ102" i="5"/>
  <c r="CS123" i="5"/>
  <c r="Y124" i="5"/>
  <c r="CL108" i="5"/>
  <c r="E107" i="5"/>
  <c r="CA116" i="5"/>
  <c r="J102" i="5"/>
  <c r="CE112" i="5"/>
  <c r="W109" i="5"/>
  <c r="J111" i="5"/>
  <c r="EH125" i="5"/>
  <c r="FM127" i="5"/>
  <c r="AV113" i="5"/>
  <c r="AW100" i="5"/>
  <c r="AA124" i="5"/>
  <c r="AM100" i="5"/>
  <c r="BZ127" i="5"/>
  <c r="H85" i="5"/>
  <c r="EJ115" i="5"/>
  <c r="Q99" i="5"/>
  <c r="AJ101" i="5"/>
  <c r="CU113" i="5"/>
  <c r="S121" i="5"/>
  <c r="BU123" i="5"/>
  <c r="P119" i="5"/>
  <c r="AY125" i="5"/>
  <c r="AP106" i="5"/>
  <c r="FL113" i="5"/>
  <c r="BJ106" i="5"/>
  <c r="EX124" i="5"/>
  <c r="AR108" i="5"/>
  <c r="FG111" i="5"/>
  <c r="DN116" i="5"/>
  <c r="DX108" i="5"/>
  <c r="EY127" i="5"/>
  <c r="CY117" i="5"/>
  <c r="FQ114" i="5"/>
  <c r="EF113" i="5"/>
  <c r="AR105" i="5"/>
  <c r="DR123" i="5"/>
  <c r="DU124" i="5"/>
  <c r="AX117" i="5"/>
  <c r="DZ128" i="5"/>
  <c r="U107" i="5"/>
  <c r="FB118" i="5"/>
  <c r="CE114" i="5"/>
  <c r="D117" i="5"/>
  <c r="EG99" i="5"/>
  <c r="CE121" i="5"/>
  <c r="DD117" i="5"/>
  <c r="EM120" i="5"/>
  <c r="F123" i="5"/>
  <c r="DQ121" i="5"/>
  <c r="AK128" i="5"/>
  <c r="FL120" i="5"/>
  <c r="BN114" i="5"/>
  <c r="AS121" i="5"/>
  <c r="DT112" i="5"/>
  <c r="CH121" i="5"/>
  <c r="AH114" i="5"/>
  <c r="AW105" i="5"/>
  <c r="EC105" i="5"/>
  <c r="CB128" i="5"/>
  <c r="AD124" i="5"/>
  <c r="DU126" i="5"/>
  <c r="DA111" i="5"/>
  <c r="AP128" i="5"/>
  <c r="FB117" i="5"/>
  <c r="AD108" i="5"/>
  <c r="CK109" i="5"/>
  <c r="Z129" i="5"/>
  <c r="CA126" i="5"/>
  <c r="EF118" i="5"/>
  <c r="BJ111" i="5"/>
  <c r="EW122" i="5"/>
  <c r="BP114" i="5"/>
  <c r="CK122" i="5"/>
  <c r="FJ115" i="5"/>
  <c r="DD108" i="5"/>
  <c r="BV114" i="5"/>
  <c r="S106" i="5"/>
  <c r="FO126" i="5"/>
  <c r="FI129" i="5"/>
  <c r="CK111" i="5"/>
  <c r="AR116" i="5"/>
  <c r="CP128" i="5"/>
  <c r="ER115" i="5"/>
  <c r="CH123" i="5"/>
  <c r="DV123" i="5"/>
  <c r="DY123" i="5"/>
  <c r="EX103" i="5"/>
  <c r="H79" i="5"/>
  <c r="AX106" i="5"/>
  <c r="DK113" i="5"/>
  <c r="DS120" i="5"/>
  <c r="FI121" i="5"/>
  <c r="BG114" i="5"/>
  <c r="EJ118" i="5"/>
  <c r="FI99" i="5"/>
  <c r="CB116" i="5"/>
  <c r="AE113" i="5"/>
  <c r="CT129" i="5"/>
  <c r="AM122" i="5"/>
  <c r="CN127" i="5"/>
  <c r="BZ114" i="5"/>
  <c r="DT127" i="5"/>
  <c r="DK103" i="5"/>
  <c r="DT117" i="5"/>
  <c r="FJ101" i="5"/>
  <c r="I109" i="5"/>
  <c r="DG108" i="5"/>
  <c r="CI121" i="5"/>
  <c r="EY110" i="5"/>
  <c r="FT103" i="5"/>
  <c r="DA113" i="5"/>
  <c r="DF102" i="5"/>
  <c r="CW124" i="5"/>
  <c r="AV129" i="5"/>
  <c r="BF114" i="5"/>
  <c r="FS107" i="5"/>
  <c r="BE110" i="5"/>
  <c r="AH121" i="5"/>
  <c r="DI128" i="5"/>
  <c r="AN128" i="5"/>
  <c r="EQ122" i="5"/>
  <c r="BE115" i="5"/>
  <c r="BA120" i="5"/>
  <c r="AI103" i="5"/>
  <c r="EK118" i="5"/>
  <c r="DZ113" i="5"/>
  <c r="X100" i="5"/>
  <c r="CN103" i="5"/>
  <c r="FC99" i="5"/>
  <c r="FN122" i="5"/>
  <c r="AL129" i="5"/>
  <c r="BD125" i="5"/>
  <c r="BV117" i="5"/>
  <c r="CR126" i="5"/>
  <c r="FS123" i="5"/>
  <c r="J127" i="5"/>
  <c r="Q116" i="5"/>
  <c r="O117" i="5"/>
  <c r="BE99" i="5"/>
  <c r="BB121" i="5"/>
  <c r="BV122" i="5"/>
  <c r="DO104" i="5"/>
  <c r="ED129" i="5"/>
  <c r="CW115" i="5"/>
  <c r="FD110" i="5"/>
  <c r="DI104" i="5"/>
  <c r="FC101" i="5"/>
  <c r="BE114" i="5"/>
  <c r="EZ121" i="5"/>
  <c r="FB124" i="5"/>
  <c r="BX119" i="5"/>
  <c r="F101" i="5"/>
  <c r="Z122" i="5"/>
  <c r="AS99" i="5"/>
  <c r="CH128" i="5"/>
  <c r="DW115" i="5"/>
  <c r="CE104" i="5"/>
  <c r="FD129" i="5"/>
  <c r="DG100" i="5"/>
  <c r="N106" i="5"/>
  <c r="AW114" i="5"/>
  <c r="BB119" i="5"/>
  <c r="ET129" i="5"/>
  <c r="FH113" i="5"/>
  <c r="K105" i="5"/>
  <c r="FH109" i="5"/>
  <c r="CT118" i="5"/>
  <c r="FN101" i="5"/>
  <c r="L109" i="5"/>
  <c r="BT129" i="5"/>
  <c r="CL115" i="5"/>
  <c r="AM102" i="5"/>
  <c r="AQ119" i="5"/>
  <c r="H69" i="5"/>
  <c r="G73" i="5"/>
  <c r="BJ129" i="5"/>
  <c r="L107" i="5"/>
  <c r="FC117" i="5"/>
  <c r="V104" i="5"/>
  <c r="AS115" i="5"/>
  <c r="FT128" i="5"/>
  <c r="DG113" i="5"/>
  <c r="O107" i="5"/>
  <c r="CJ127" i="5"/>
  <c r="DZ123" i="5"/>
  <c r="BC103" i="5"/>
  <c r="CY125" i="5"/>
  <c r="T105" i="5"/>
  <c r="DK115" i="5"/>
  <c r="BV104" i="5"/>
  <c r="EK125" i="5"/>
  <c r="DG121" i="5"/>
  <c r="EE118" i="5"/>
  <c r="DT115" i="5"/>
  <c r="CA110" i="5"/>
  <c r="AD129" i="5"/>
  <c r="O121" i="5"/>
  <c r="CI104" i="5"/>
  <c r="G74" i="5"/>
  <c r="ER113" i="5"/>
  <c r="EM127" i="5"/>
  <c r="BN120" i="5"/>
  <c r="N107" i="5"/>
  <c r="AZ117" i="5"/>
  <c r="AC111" i="5"/>
  <c r="FS102" i="5"/>
  <c r="DT129" i="5"/>
  <c r="AI102" i="5"/>
  <c r="AF117" i="5"/>
  <c r="Q109" i="5"/>
  <c r="BQ121" i="5"/>
  <c r="DS112" i="5"/>
  <c r="AS123" i="5"/>
  <c r="CI128" i="5"/>
  <c r="BG105" i="5"/>
  <c r="BQ119" i="5"/>
  <c r="DV108" i="5"/>
  <c r="H112" i="5"/>
  <c r="F90" i="5"/>
  <c r="R105" i="5"/>
  <c r="AG112" i="5"/>
  <c r="E109" i="5"/>
  <c r="FR108" i="5"/>
  <c r="BO111" i="5"/>
  <c r="S114" i="5"/>
  <c r="CJ109" i="5"/>
  <c r="DS116" i="5"/>
  <c r="DM106" i="5"/>
  <c r="P125" i="5"/>
  <c r="Q112" i="5"/>
  <c r="FD123" i="5"/>
  <c r="BJ117" i="5"/>
  <c r="CU99" i="5"/>
  <c r="CY116" i="5"/>
  <c r="CN105" i="5"/>
  <c r="DV104" i="5"/>
  <c r="BW113" i="5"/>
  <c r="D124" i="5"/>
  <c r="BO100" i="5"/>
  <c r="L121" i="5"/>
  <c r="DK105" i="5"/>
  <c r="CU116" i="5"/>
  <c r="DQ106" i="5"/>
  <c r="DS100" i="5"/>
  <c r="FC100" i="5"/>
  <c r="ES115" i="5"/>
  <c r="FM118" i="5"/>
  <c r="AO122" i="5"/>
  <c r="AY107" i="5"/>
  <c r="EM108" i="5"/>
  <c r="BC118" i="5"/>
  <c r="CM126" i="5"/>
  <c r="P100" i="5"/>
  <c r="Z123" i="5"/>
  <c r="G108" i="5"/>
  <c r="DS102" i="5"/>
  <c r="EU102" i="5"/>
  <c r="FR129" i="5"/>
  <c r="EH107" i="5"/>
  <c r="AF99" i="5"/>
  <c r="FA99" i="5"/>
  <c r="BN112" i="5"/>
  <c r="AO126" i="5"/>
  <c r="CI120" i="5"/>
  <c r="DN106" i="5"/>
  <c r="CX118" i="5"/>
  <c r="EO115" i="5"/>
  <c r="BN106" i="5"/>
  <c r="FT126" i="5"/>
  <c r="H115" i="5"/>
  <c r="FD100" i="5"/>
  <c r="EX106" i="5"/>
  <c r="DV117" i="5"/>
  <c r="CS124" i="5"/>
  <c r="EP99" i="5"/>
  <c r="DC128" i="5"/>
  <c r="EA104" i="5"/>
  <c r="BM122" i="5"/>
  <c r="DL107" i="5"/>
  <c r="BD124" i="5"/>
  <c r="P127" i="5"/>
  <c r="FK107" i="5"/>
  <c r="DS126" i="5"/>
  <c r="BZ100" i="5"/>
  <c r="DY108" i="5"/>
  <c r="BD109" i="5"/>
  <c r="FN119" i="5"/>
  <c r="ED127" i="5"/>
  <c r="FJ124" i="5"/>
  <c r="CN126" i="5"/>
  <c r="FM128" i="5"/>
  <c r="DJ129" i="5"/>
  <c r="AK123" i="5"/>
  <c r="CA122" i="5"/>
  <c r="AQ104" i="5"/>
  <c r="AV114" i="5"/>
  <c r="DM117" i="5"/>
  <c r="DP103" i="5"/>
  <c r="FA112" i="5"/>
  <c r="FJ100" i="5"/>
  <c r="FG126" i="5"/>
  <c r="AL116" i="5"/>
  <c r="BO118" i="5"/>
  <c r="AQ99" i="5"/>
  <c r="AN100" i="5"/>
  <c r="AE120" i="5"/>
  <c r="DB99" i="5"/>
  <c r="EU119" i="5"/>
  <c r="BZ102" i="5"/>
  <c r="DE116" i="5"/>
  <c r="DB121" i="5"/>
  <c r="AS119" i="5"/>
  <c r="CO128" i="5"/>
  <c r="BU100" i="5"/>
  <c r="D113" i="5"/>
  <c r="AY123" i="5"/>
  <c r="DM116" i="5"/>
  <c r="BD128" i="5"/>
  <c r="CX124" i="5"/>
  <c r="EB101" i="5"/>
  <c r="BY124" i="5"/>
  <c r="H74" i="5"/>
  <c r="AE119" i="5"/>
  <c r="EC121" i="5"/>
  <c r="AX123" i="5"/>
  <c r="BW105" i="5"/>
  <c r="BW99" i="5"/>
  <c r="FA102" i="5"/>
  <c r="DK120" i="5"/>
  <c r="C110" i="5"/>
  <c r="BT104" i="5"/>
  <c r="EG101" i="5"/>
  <c r="EM117" i="5"/>
  <c r="G76" i="5"/>
  <c r="BS118" i="5"/>
  <c r="CC111" i="5"/>
  <c r="ES124" i="5"/>
  <c r="FT127" i="5"/>
  <c r="DG124" i="5"/>
  <c r="FS117" i="5"/>
  <c r="BM105" i="5"/>
  <c r="CA101" i="5"/>
  <c r="DH124" i="5"/>
  <c r="DT123" i="5"/>
  <c r="EX105" i="5"/>
  <c r="FG113" i="5"/>
  <c r="FR127" i="5"/>
  <c r="DK118" i="5"/>
  <c r="DM120" i="5"/>
  <c r="CK126" i="5"/>
  <c r="FN118" i="5"/>
  <c r="CC127" i="5"/>
  <c r="J104" i="5"/>
  <c r="Y111" i="5"/>
  <c r="DW111" i="5"/>
  <c r="D108" i="5"/>
  <c r="EJ110" i="5"/>
  <c r="CM112" i="5"/>
  <c r="BI108" i="5"/>
  <c r="FC128" i="5"/>
  <c r="CA119" i="5"/>
  <c r="FS124" i="5"/>
  <c r="CO104" i="5"/>
  <c r="DJ104" i="5"/>
  <c r="DL123" i="5"/>
  <c r="CD128" i="5"/>
  <c r="H107" i="5"/>
  <c r="FD111" i="5"/>
  <c r="AU101" i="5"/>
  <c r="EX112" i="5"/>
  <c r="AA101" i="5"/>
  <c r="AA107" i="5"/>
  <c r="BA121" i="5"/>
  <c r="FH123" i="5"/>
  <c r="DW109" i="5"/>
  <c r="AS113" i="5"/>
  <c r="AB101" i="5"/>
  <c r="BA105" i="5"/>
  <c r="CM102" i="5"/>
  <c r="C117" i="5"/>
  <c r="DQ107" i="5"/>
  <c r="P107" i="5"/>
  <c r="AW112" i="5"/>
  <c r="DM105" i="5"/>
  <c r="EF99" i="5"/>
  <c r="FS108" i="5"/>
  <c r="DL106" i="5"/>
  <c r="FR109" i="5"/>
  <c r="S110" i="5"/>
  <c r="BT99" i="5"/>
  <c r="V116" i="5"/>
  <c r="EK113" i="5"/>
  <c r="DD102" i="5"/>
  <c r="EE108" i="5"/>
  <c r="FG112" i="5"/>
  <c r="FE124" i="5"/>
  <c r="AJ102" i="5"/>
  <c r="W105" i="5"/>
  <c r="BQ108" i="5"/>
  <c r="G80" i="5"/>
  <c r="CO125" i="5"/>
  <c r="EM114" i="5"/>
  <c r="DH121" i="5"/>
  <c r="EY118" i="5"/>
  <c r="CF121" i="5"/>
  <c r="FL101" i="5"/>
  <c r="BX113" i="5"/>
  <c r="BO99" i="5"/>
  <c r="AZ110" i="5"/>
  <c r="BE113" i="5"/>
  <c r="Z116" i="5"/>
  <c r="G84" i="5"/>
  <c r="DR128" i="5"/>
  <c r="AL107" i="5"/>
  <c r="AA118" i="5"/>
  <c r="EK128" i="5"/>
  <c r="DG115" i="5"/>
  <c r="DY118" i="5"/>
  <c r="CX111" i="5"/>
  <c r="BF121" i="5"/>
  <c r="AG108" i="5"/>
  <c r="FE101" i="5"/>
  <c r="AD118" i="5"/>
  <c r="BE128" i="5"/>
  <c r="DS123" i="5"/>
  <c r="CS121" i="5"/>
  <c r="DO100" i="5"/>
  <c r="FK114" i="5"/>
  <c r="FE120" i="5"/>
  <c r="T125" i="5"/>
  <c r="EY102" i="5"/>
  <c r="DG114" i="5"/>
  <c r="DD114" i="5"/>
  <c r="AV106" i="5"/>
  <c r="BQ104" i="5"/>
  <c r="W122" i="5"/>
  <c r="EM126" i="5"/>
  <c r="CT120" i="5"/>
  <c r="H127" i="5"/>
  <c r="EI128" i="5"/>
  <c r="ES117" i="5"/>
  <c r="EZ125" i="5"/>
  <c r="DA99" i="5"/>
  <c r="N128" i="5"/>
  <c r="BB124" i="5"/>
  <c r="AA126" i="5"/>
  <c r="EI126" i="5"/>
  <c r="EL109" i="5"/>
  <c r="AD125" i="5"/>
  <c r="AD119" i="5"/>
  <c r="BX108" i="5"/>
  <c r="N105" i="5"/>
  <c r="CK102" i="5"/>
  <c r="AK104" i="5"/>
  <c r="DC112" i="5"/>
  <c r="DH117" i="5"/>
  <c r="EC100" i="5"/>
  <c r="DH102" i="5"/>
  <c r="BA119" i="5"/>
  <c r="CZ99" i="5"/>
  <c r="F112" i="5"/>
  <c r="BQ129" i="5"/>
  <c r="BN99" i="5"/>
  <c r="DL102" i="5"/>
  <c r="BR103" i="5"/>
  <c r="BU115" i="5"/>
  <c r="EF101" i="5"/>
  <c r="DQ103" i="5"/>
  <c r="FH118" i="5"/>
  <c r="FO107" i="5"/>
  <c r="AF114" i="5"/>
  <c r="K118" i="5"/>
  <c r="FI100" i="5"/>
  <c r="DL120" i="5"/>
  <c r="CL109" i="5"/>
  <c r="EJ112" i="5"/>
  <c r="BR108" i="5"/>
  <c r="DB109" i="5"/>
  <c r="AL109" i="5"/>
  <c r="AU109" i="5"/>
  <c r="CY113" i="5"/>
  <c r="D102" i="5"/>
  <c r="AM110" i="5"/>
  <c r="DS105" i="5"/>
  <c r="AG125" i="5"/>
  <c r="FJ117" i="5"/>
  <c r="EQ100" i="5"/>
  <c r="BX123" i="5"/>
  <c r="EL100" i="5"/>
  <c r="DU111" i="5"/>
  <c r="AQ126" i="5"/>
  <c r="CP125" i="5"/>
  <c r="BH122" i="5"/>
  <c r="F119" i="5"/>
  <c r="AF100" i="5"/>
  <c r="DW110" i="5"/>
  <c r="CH116" i="5"/>
  <c r="EC118" i="5"/>
  <c r="BD126" i="5"/>
  <c r="BZ116" i="5"/>
  <c r="AA108" i="5"/>
  <c r="CK106" i="5"/>
  <c r="BH112" i="5"/>
  <c r="BG113" i="5"/>
  <c r="FF111" i="5"/>
  <c r="FO104" i="5"/>
  <c r="M129" i="5"/>
  <c r="ER106" i="5"/>
  <c r="AU114" i="5"/>
  <c r="DS101" i="5"/>
  <c r="EF111" i="5"/>
  <c r="CR129" i="5"/>
  <c r="DH116" i="5"/>
  <c r="CK118" i="5"/>
  <c r="AH116" i="5"/>
  <c r="EG102" i="5"/>
  <c r="CB124" i="5"/>
  <c r="O100" i="5"/>
  <c r="BF104" i="5"/>
  <c r="FM125" i="5"/>
  <c r="AZ102" i="5"/>
  <c r="BP118" i="5"/>
  <c r="EF129" i="5"/>
  <c r="AL102" i="5"/>
  <c r="BR105" i="5"/>
  <c r="FE109" i="5"/>
  <c r="BV120" i="5"/>
  <c r="DU110" i="5"/>
  <c r="R103" i="5"/>
  <c r="AM121" i="5"/>
  <c r="DW100" i="5"/>
  <c r="P122" i="5"/>
  <c r="BQ101" i="5"/>
  <c r="CW99" i="5"/>
  <c r="BF120" i="5"/>
  <c r="EU101" i="5"/>
  <c r="DT121" i="5"/>
  <c r="BJ113" i="5"/>
  <c r="AZ126" i="5"/>
  <c r="BU117" i="5"/>
  <c r="B99" i="5"/>
  <c r="AY126" i="5"/>
  <c r="DX105" i="5"/>
  <c r="AE100" i="5"/>
  <c r="AZ127" i="5"/>
  <c r="DG102" i="5"/>
  <c r="FC107" i="5"/>
  <c r="E100" i="5"/>
  <c r="BC115" i="5"/>
  <c r="C129" i="5"/>
  <c r="BP120" i="5"/>
  <c r="EC110" i="5"/>
  <c r="EG106" i="5"/>
  <c r="BY109" i="5"/>
  <c r="FE100" i="5"/>
  <c r="BR106" i="5"/>
  <c r="DF117" i="5"/>
  <c r="V123" i="5"/>
  <c r="CB108" i="5"/>
  <c r="AZ120" i="5"/>
  <c r="ER101" i="5"/>
  <c r="BL127" i="5"/>
  <c r="AK125" i="5"/>
  <c r="CI102" i="5"/>
  <c r="CG112" i="5"/>
  <c r="BU120" i="5"/>
  <c r="FA100" i="5"/>
  <c r="BO108" i="5"/>
  <c r="DN121" i="5"/>
  <c r="F93" i="5"/>
  <c r="AT99" i="5"/>
  <c r="AH117" i="5"/>
  <c r="J112" i="5"/>
  <c r="AW127" i="5"/>
  <c r="CK113" i="5"/>
  <c r="DL115" i="5"/>
  <c r="C99" i="5"/>
  <c r="DO105" i="5"/>
  <c r="BA125" i="5"/>
  <c r="CD122" i="5"/>
  <c r="AP114" i="5"/>
  <c r="CO110" i="5"/>
  <c r="M111" i="5"/>
  <c r="ES102" i="5"/>
  <c r="CP100" i="5"/>
  <c r="CD105" i="5"/>
  <c r="FK106" i="5"/>
  <c r="BO129" i="5"/>
  <c r="EJ120" i="5"/>
  <c r="EP101" i="5"/>
  <c r="S120" i="5"/>
  <c r="AK118" i="5"/>
  <c r="Z117" i="5"/>
  <c r="EB108" i="5"/>
  <c r="K129" i="5"/>
  <c r="DH112" i="5"/>
  <c r="EM106" i="5"/>
  <c r="CU103" i="5"/>
  <c r="CM116" i="5"/>
  <c r="G70" i="5"/>
  <c r="EL119" i="5"/>
  <c r="EQ121" i="5"/>
  <c r="FA120" i="5"/>
  <c r="CB120" i="5"/>
  <c r="FS120" i="5"/>
  <c r="AA125" i="5"/>
  <c r="FC113" i="5"/>
  <c r="BE122" i="5"/>
  <c r="CS116" i="5"/>
  <c r="EX101" i="5"/>
  <c r="FC123" i="5"/>
  <c r="AN116" i="5"/>
  <c r="BL125" i="5"/>
  <c r="DC99" i="5"/>
  <c r="Z111" i="5"/>
  <c r="H81" i="5"/>
  <c r="FH119" i="5"/>
  <c r="CW107" i="5"/>
  <c r="AE104" i="5"/>
  <c r="FL124" i="5"/>
  <c r="BZ107" i="5"/>
  <c r="Y117" i="5"/>
  <c r="EA122" i="5"/>
  <c r="AJ129" i="5"/>
  <c r="AT100" i="5"/>
  <c r="CV119" i="5"/>
  <c r="EI106" i="5"/>
  <c r="EJ105" i="5"/>
  <c r="CQ108" i="5"/>
  <c r="BB116" i="5"/>
  <c r="H128" i="5"/>
  <c r="BN102" i="5"/>
  <c r="AY101" i="5"/>
  <c r="ES122" i="5"/>
  <c r="BI118" i="5"/>
  <c r="BP121" i="5"/>
  <c r="CC119" i="5"/>
  <c r="U129" i="5"/>
  <c r="J103" i="5"/>
  <c r="Y105" i="5"/>
  <c r="L117" i="5"/>
  <c r="AF129" i="5"/>
  <c r="EF110" i="5"/>
  <c r="BV103" i="5"/>
  <c r="CB100" i="5"/>
  <c r="CX104" i="5"/>
  <c r="EX126" i="5"/>
  <c r="DQ118" i="5"/>
  <c r="BA103" i="5"/>
  <c r="O104" i="5"/>
  <c r="BU122" i="5"/>
  <c r="DY117" i="5"/>
  <c r="EP111" i="5"/>
  <c r="DG116" i="5"/>
  <c r="FM109" i="5"/>
  <c r="EY109" i="5"/>
  <c r="DB124" i="5"/>
  <c r="BF125" i="5"/>
  <c r="FC104" i="5"/>
  <c r="DU112" i="5"/>
  <c r="CK105" i="5"/>
  <c r="BV105" i="5"/>
  <c r="BU114" i="5"/>
  <c r="N123" i="5"/>
  <c r="BX106" i="5"/>
  <c r="J119" i="5"/>
  <c r="AH113" i="5"/>
  <c r="DJ107" i="5"/>
  <c r="J122" i="5"/>
  <c r="BV102" i="5"/>
  <c r="DF113" i="5"/>
  <c r="FT110" i="5"/>
  <c r="DA114" i="5"/>
  <c r="K111" i="5"/>
  <c r="ET103" i="5"/>
  <c r="DQ115" i="5"/>
  <c r="BT112" i="5"/>
  <c r="BZ128" i="5"/>
  <c r="DN101" i="5"/>
  <c r="FD105" i="5"/>
  <c r="AV125" i="5"/>
  <c r="BP110" i="5"/>
  <c r="EU127" i="5"/>
  <c r="EP124" i="5"/>
  <c r="F100" i="5"/>
  <c r="P118" i="5"/>
  <c r="AL101" i="5"/>
  <c r="K124" i="5"/>
  <c r="FS122" i="5"/>
  <c r="EZ112" i="5"/>
  <c r="FR128" i="5"/>
  <c r="FH124" i="5"/>
  <c r="AS122" i="5"/>
  <c r="BI129" i="5"/>
  <c r="H71" i="5"/>
  <c r="DH113" i="5"/>
  <c r="AK115" i="5"/>
  <c r="CL117" i="5"/>
  <c r="CQ99" i="5"/>
  <c r="ET102" i="5"/>
  <c r="CP115" i="5"/>
  <c r="R112" i="5"/>
  <c r="CU101" i="5"/>
  <c r="DW116" i="5"/>
  <c r="R99" i="5"/>
  <c r="EY113" i="5"/>
  <c r="CP120" i="5"/>
  <c r="ES120" i="5"/>
  <c r="BT111" i="5"/>
  <c r="CD113" i="5"/>
  <c r="DB116" i="5"/>
  <c r="FA108" i="5"/>
  <c r="CN115" i="5"/>
  <c r="DV105" i="5"/>
  <c r="FT121" i="5"/>
  <c r="BW126" i="5"/>
  <c r="AA113" i="5"/>
  <c r="AC125" i="5"/>
  <c r="AC129" i="5"/>
  <c r="BB120" i="5"/>
  <c r="DQ111" i="5"/>
  <c r="ED113" i="5"/>
  <c r="G116" i="5"/>
  <c r="BC111" i="5"/>
  <c r="DM100" i="5"/>
  <c r="ER116" i="5"/>
  <c r="AR121" i="5"/>
  <c r="AY103" i="5"/>
  <c r="CX129" i="5"/>
  <c r="F70" i="5"/>
  <c r="FO129" i="5"/>
  <c r="FB106" i="5"/>
  <c r="DN115" i="5"/>
  <c r="EX116" i="5"/>
  <c r="EO107" i="5"/>
  <c r="DE103" i="5"/>
  <c r="CR99" i="5"/>
  <c r="DX101" i="5"/>
  <c r="EO127" i="5"/>
  <c r="DO115" i="5"/>
  <c r="CE100" i="5"/>
  <c r="CV115" i="5"/>
  <c r="W121" i="5"/>
  <c r="AX127" i="5"/>
  <c r="CQ125" i="5"/>
  <c r="FG106" i="5"/>
  <c r="AZ122" i="5"/>
  <c r="EK99" i="5"/>
  <c r="DQ110" i="5"/>
  <c r="DH107" i="5"/>
  <c r="BP113" i="5"/>
  <c r="DC127" i="5"/>
  <c r="T101" i="5"/>
  <c r="CO120" i="5"/>
  <c r="Z100" i="5"/>
  <c r="BI102" i="5"/>
  <c r="EB105" i="5"/>
  <c r="BA108" i="5"/>
  <c r="K112" i="5"/>
  <c r="FK129" i="5"/>
  <c r="EI124" i="5"/>
  <c r="AN125" i="5"/>
  <c r="EK106" i="5"/>
  <c r="DE105" i="5"/>
  <c r="AP103" i="5"/>
  <c r="FR102" i="5"/>
  <c r="EL99" i="5"/>
  <c r="FR105" i="5"/>
  <c r="FT129" i="5"/>
  <c r="FT104" i="5"/>
  <c r="CK99" i="5"/>
  <c r="F77" i="5"/>
  <c r="AX105" i="5"/>
  <c r="EF109" i="5"/>
  <c r="CH125" i="5"/>
  <c r="FP101" i="5"/>
  <c r="J125" i="5"/>
  <c r="FN121" i="5"/>
  <c r="CV111" i="5"/>
  <c r="ET101" i="5"/>
  <c r="BO127" i="5"/>
  <c r="BZ110" i="5"/>
  <c r="FE116" i="5"/>
  <c r="FN129" i="5"/>
  <c r="CZ112" i="5"/>
  <c r="DQ102" i="5"/>
  <c r="J129" i="5"/>
  <c r="AO109" i="5"/>
  <c r="EG108" i="5"/>
  <c r="BE102" i="5"/>
  <c r="BJ118" i="5"/>
  <c r="AW123" i="5"/>
  <c r="M106" i="5"/>
  <c r="G97" i="5"/>
  <c r="EI113" i="5"/>
  <c r="EN103" i="5"/>
  <c r="ED103" i="5"/>
  <c r="Y107" i="5"/>
  <c r="BN126" i="5"/>
  <c r="G106" i="5"/>
  <c r="BG119" i="5"/>
  <c r="ER108" i="5"/>
  <c r="FS116" i="5"/>
  <c r="CL102" i="5"/>
  <c r="U114" i="5"/>
  <c r="BW127" i="5"/>
  <c r="EL122" i="5"/>
  <c r="EU107" i="5"/>
  <c r="G69" i="5"/>
  <c r="BX105" i="5"/>
  <c r="FH107" i="5"/>
  <c r="BL109" i="5"/>
  <c r="DV101" i="5"/>
  <c r="AG122" i="5"/>
  <c r="K127" i="5"/>
  <c r="CX114" i="5"/>
  <c r="BB108" i="5"/>
  <c r="CQ118" i="5"/>
  <c r="U103" i="5"/>
  <c r="FQ121" i="5"/>
  <c r="AJ125" i="5"/>
  <c r="M116" i="5"/>
  <c r="FB128" i="5"/>
  <c r="FB110" i="5"/>
  <c r="W101" i="5"/>
  <c r="BD129" i="5"/>
  <c r="C114" i="5"/>
  <c r="DX125" i="5"/>
  <c r="Q129" i="5"/>
  <c r="BD108" i="5"/>
  <c r="CD109" i="5"/>
  <c r="DH125" i="5"/>
  <c r="FF110" i="5"/>
  <c r="DP112" i="5"/>
  <c r="U121" i="5"/>
  <c r="EG112" i="5"/>
  <c r="AD128" i="5"/>
  <c r="FD106" i="5"/>
  <c r="ED125" i="5"/>
  <c r="BM114" i="5"/>
  <c r="EV119" i="5"/>
  <c r="EO109" i="5"/>
  <c r="EL104" i="5"/>
  <c r="CO103" i="5"/>
  <c r="BF119" i="5"/>
  <c r="FH108" i="5"/>
  <c r="CF103" i="5"/>
  <c r="CK127" i="5"/>
  <c r="DX115" i="5"/>
  <c r="EZ127" i="5"/>
  <c r="AP124" i="5"/>
  <c r="FD109" i="5"/>
  <c r="AG106" i="5"/>
  <c r="CK103" i="5"/>
  <c r="CD102" i="5"/>
  <c r="DZ102" i="5"/>
  <c r="FH122" i="5"/>
  <c r="C120" i="5"/>
  <c r="ET123" i="5"/>
  <c r="FQ100" i="5"/>
  <c r="CJ128" i="5"/>
  <c r="AQ114" i="5"/>
  <c r="CL103" i="5"/>
  <c r="FF117" i="5"/>
  <c r="DD103" i="5"/>
  <c r="AT112" i="5"/>
  <c r="CQ106" i="5"/>
  <c r="CS126" i="5"/>
  <c r="FF120" i="5"/>
  <c r="CW120" i="5"/>
  <c r="BK110" i="5"/>
  <c r="DY110" i="5"/>
  <c r="EZ100" i="5"/>
  <c r="DY126" i="5"/>
  <c r="EE99" i="5"/>
  <c r="BH125" i="5"/>
  <c r="EO111" i="5"/>
  <c r="EU109" i="5"/>
  <c r="BW114" i="5"/>
  <c r="EF127" i="5"/>
  <c r="DA120" i="5"/>
  <c r="J113" i="5"/>
  <c r="AD112" i="5"/>
  <c r="EA109" i="5"/>
  <c r="DT122" i="5"/>
  <c r="AJ110" i="5"/>
  <c r="EJ108" i="5"/>
  <c r="M100" i="5"/>
  <c r="FR125" i="5"/>
  <c r="FI107" i="5"/>
  <c r="B102" i="5"/>
  <c r="EC102" i="5"/>
  <c r="CD99" i="5"/>
  <c r="FM102" i="5"/>
  <c r="AG100" i="5"/>
  <c r="DQ101" i="5"/>
  <c r="AY110" i="5"/>
  <c r="EA100" i="5"/>
  <c r="AV120" i="5"/>
  <c r="F111" i="5"/>
  <c r="AO121" i="5"/>
  <c r="FL108" i="5"/>
  <c r="T129" i="5"/>
  <c r="S105" i="5"/>
  <c r="CD104" i="5"/>
  <c r="BP103" i="5"/>
  <c r="E126" i="5"/>
  <c r="FK103" i="5"/>
  <c r="AX115" i="5"/>
  <c r="AI100" i="5"/>
  <c r="DB125" i="5"/>
  <c r="EV100" i="5"/>
  <c r="CT106" i="5"/>
  <c r="EQ112" i="5"/>
  <c r="H78" i="5"/>
  <c r="AC105" i="5"/>
  <c r="BS112" i="5"/>
  <c r="DP128" i="5"/>
  <c r="FQ103" i="5"/>
  <c r="FQ122" i="5"/>
  <c r="CH122" i="5"/>
  <c r="FG100" i="5"/>
  <c r="EI100" i="5"/>
  <c r="H126" i="5"/>
  <c r="EG121" i="5"/>
  <c r="X112" i="5"/>
  <c r="AC128" i="5"/>
  <c r="BT113" i="5"/>
  <c r="E119" i="5"/>
  <c r="EE105" i="5"/>
  <c r="EG113" i="5"/>
  <c r="BJ102" i="5"/>
  <c r="AJ113" i="5"/>
  <c r="CH104" i="5"/>
  <c r="DR100" i="5"/>
  <c r="BS104" i="5"/>
  <c r="DS103" i="5"/>
  <c r="DR101" i="5"/>
  <c r="DG111" i="5"/>
  <c r="FF113" i="5"/>
  <c r="AV103" i="5"/>
  <c r="DJ108" i="5"/>
  <c r="AB126" i="5"/>
  <c r="G95" i="5"/>
  <c r="S102" i="5"/>
  <c r="EM102" i="5"/>
  <c r="AG105" i="5"/>
  <c r="AE103" i="5"/>
  <c r="S103" i="5"/>
  <c r="EQ114" i="5"/>
  <c r="M120" i="5"/>
  <c r="AA111" i="5"/>
  <c r="DK123" i="5"/>
  <c r="FE113" i="5"/>
  <c r="AW117" i="5"/>
  <c r="R115" i="5"/>
  <c r="EB119" i="5"/>
  <c r="EU104" i="5"/>
  <c r="EM101" i="5"/>
  <c r="DY129" i="5"/>
  <c r="BS115" i="5"/>
  <c r="J101" i="5"/>
  <c r="EX115" i="5"/>
  <c r="AQ109" i="5"/>
  <c r="M101" i="5"/>
  <c r="DD113" i="5"/>
  <c r="CO102" i="5"/>
  <c r="D105" i="5"/>
  <c r="FQ116" i="5"/>
  <c r="CM109" i="5"/>
  <c r="CH117" i="5"/>
  <c r="H65" i="5"/>
  <c r="BU129" i="5"/>
  <c r="AL110" i="5"/>
  <c r="FC110" i="5"/>
  <c r="BM116" i="5"/>
  <c r="DW114" i="5"/>
  <c r="BW119" i="5"/>
  <c r="CT125" i="5"/>
  <c r="D120" i="5"/>
  <c r="EV118" i="5"/>
  <c r="AC102" i="5"/>
  <c r="AH129" i="5"/>
  <c r="FM116" i="5"/>
  <c r="AV101" i="5"/>
  <c r="BE105" i="5"/>
  <c r="FT115" i="5"/>
  <c r="BW117" i="5"/>
  <c r="CY99" i="5"/>
  <c r="AA128" i="5"/>
  <c r="FM104" i="5"/>
  <c r="CI107" i="5"/>
  <c r="K123" i="5"/>
  <c r="DD126" i="5"/>
  <c r="R116" i="5"/>
  <c r="EM109" i="5"/>
  <c r="FQ129" i="5"/>
  <c r="EL111" i="5"/>
  <c r="AC118" i="5"/>
  <c r="CL101" i="5"/>
  <c r="Q103" i="5"/>
  <c r="EX104" i="5"/>
  <c r="DM104" i="5"/>
  <c r="CL99" i="5"/>
  <c r="DZ108" i="5"/>
  <c r="FG99" i="5"/>
  <c r="ET105" i="5"/>
  <c r="ER114" i="5"/>
  <c r="BA124" i="5"/>
  <c r="AM127" i="5"/>
  <c r="EX99" i="5"/>
  <c r="AK127" i="5"/>
  <c r="M112" i="5"/>
  <c r="BS109" i="5"/>
  <c r="BH99" i="5"/>
  <c r="DZ129" i="5"/>
  <c r="CB126" i="5"/>
  <c r="BE126" i="5"/>
  <c r="BB113" i="5"/>
  <c r="BI105" i="5"/>
  <c r="DI118" i="5"/>
  <c r="F107" i="5"/>
  <c r="X114" i="5"/>
  <c r="G122" i="5"/>
  <c r="EM104" i="5"/>
  <c r="AN108" i="5"/>
  <c r="AP116" i="5"/>
  <c r="DA128" i="5"/>
  <c r="BA109" i="5"/>
  <c r="EN124" i="5"/>
  <c r="Y106" i="5"/>
  <c r="DB105" i="5"/>
  <c r="ET114" i="5"/>
  <c r="CL111" i="5"/>
  <c r="AB120" i="5"/>
  <c r="FK108" i="5"/>
  <c r="EA127" i="5"/>
  <c r="CU123" i="5"/>
  <c r="BK126" i="5"/>
  <c r="DX116" i="5"/>
  <c r="BB118" i="5"/>
  <c r="L119" i="5"/>
  <c r="EV106" i="5"/>
  <c r="FR123" i="5"/>
  <c r="EO102" i="5"/>
  <c r="EP109" i="5"/>
  <c r="DS121" i="5"/>
  <c r="CS112" i="5"/>
  <c r="AY100" i="5"/>
  <c r="FO102" i="5"/>
  <c r="Z112" i="5"/>
  <c r="BF110" i="5"/>
  <c r="BY120" i="5"/>
  <c r="AO101" i="5"/>
  <c r="BG103" i="5"/>
  <c r="EZ110" i="5"/>
  <c r="DH108" i="5"/>
  <c r="BH110" i="5"/>
  <c r="Y108" i="5"/>
  <c r="DU120" i="5"/>
  <c r="BC109" i="5"/>
  <c r="CY103" i="5"/>
  <c r="T112" i="5"/>
  <c r="D118" i="5"/>
  <c r="BT103" i="5"/>
  <c r="EB109" i="5"/>
  <c r="BG125" i="5"/>
  <c r="N122" i="5"/>
  <c r="EV113" i="5"/>
  <c r="DP109" i="5"/>
  <c r="EM121" i="5"/>
  <c r="EW104" i="5"/>
  <c r="EQ120" i="5"/>
  <c r="AM118" i="5"/>
  <c r="DN108" i="5"/>
  <c r="BC100" i="5"/>
  <c r="BV129" i="5"/>
  <c r="DJ111" i="5"/>
  <c r="AE126" i="5"/>
  <c r="BE103" i="5"/>
  <c r="CK108" i="5"/>
  <c r="DU121" i="5"/>
  <c r="H121" i="5"/>
  <c r="AA105" i="5"/>
  <c r="AN122" i="5"/>
  <c r="Y103" i="5"/>
  <c r="W120" i="5"/>
  <c r="CE103" i="5"/>
  <c r="G105" i="5"/>
  <c r="EM103" i="5"/>
  <c r="K115" i="5"/>
  <c r="AM104" i="5"/>
  <c r="AH101" i="5"/>
  <c r="EL101" i="5"/>
  <c r="DD119" i="5"/>
  <c r="U117" i="5"/>
  <c r="FN126" i="5"/>
  <c r="BB127" i="5"/>
  <c r="DB106" i="5"/>
  <c r="BQ114" i="5"/>
  <c r="CH111" i="5"/>
  <c r="ER123" i="5"/>
  <c r="CI105" i="5"/>
  <c r="EX114" i="5"/>
  <c r="FC125" i="5"/>
  <c r="AB102" i="5"/>
  <c r="CV100" i="5"/>
  <c r="Q122" i="5"/>
  <c r="AZ111" i="5"/>
  <c r="CO111" i="5"/>
  <c r="BG128" i="5"/>
  <c r="EA103" i="5"/>
  <c r="AN119" i="5"/>
  <c r="CU104" i="5"/>
  <c r="AT111" i="5"/>
  <c r="AF123" i="5"/>
  <c r="CM122" i="5"/>
  <c r="T106" i="5"/>
  <c r="CL104" i="5"/>
  <c r="FT100" i="5"/>
  <c r="DC110" i="5"/>
  <c r="CH129" i="5"/>
  <c r="EE127" i="5"/>
  <c r="AW107" i="5"/>
  <c r="AV109" i="5"/>
  <c r="DM119" i="5"/>
  <c r="ER122" i="5"/>
  <c r="BH111" i="5"/>
  <c r="AR103" i="5"/>
  <c r="EZ122" i="5"/>
  <c r="AJ121" i="5"/>
  <c r="E104" i="5"/>
  <c r="CH127" i="5"/>
  <c r="BQ126" i="5"/>
  <c r="CW117" i="5"/>
  <c r="ES99" i="5"/>
  <c r="AH112" i="5"/>
  <c r="DP113" i="5"/>
  <c r="CF110" i="5"/>
  <c r="DQ117" i="5"/>
  <c r="EI117" i="5"/>
  <c r="EA115" i="5"/>
  <c r="FH104" i="5"/>
  <c r="H76" i="5"/>
  <c r="AI105" i="5"/>
  <c r="C122" i="5"/>
  <c r="T111" i="5"/>
  <c r="V111" i="5"/>
  <c r="DA124" i="5"/>
  <c r="FD103" i="5"/>
  <c r="G85" i="5"/>
  <c r="CJ123" i="5"/>
  <c r="CO129" i="5"/>
  <c r="D125" i="5"/>
  <c r="AH126" i="5"/>
  <c r="BS100" i="5"/>
  <c r="EJ100" i="5"/>
  <c r="FI114" i="5"/>
  <c r="EE112" i="5"/>
  <c r="CK129" i="5"/>
  <c r="CP102" i="5"/>
  <c r="EI115" i="5"/>
  <c r="DY122" i="5"/>
  <c r="EN110" i="5"/>
  <c r="AX126" i="5"/>
  <c r="EJ104" i="5"/>
  <c r="EN109" i="5"/>
  <c r="FQ107" i="5"/>
  <c r="BJ127" i="5"/>
  <c r="DE126" i="5"/>
  <c r="BT126" i="5"/>
  <c r="BO112" i="5"/>
  <c r="U116" i="5"/>
  <c r="G94" i="5"/>
  <c r="DK129" i="5"/>
  <c r="CO99" i="5"/>
  <c r="DR112" i="5"/>
  <c r="FJ99" i="5"/>
  <c r="FM115" i="5"/>
  <c r="EJ99" i="5"/>
  <c r="CU120" i="5"/>
  <c r="CQ102" i="5"/>
  <c r="EK117" i="5"/>
  <c r="X119" i="5"/>
  <c r="AM108" i="5"/>
  <c r="S109" i="5"/>
  <c r="AD110" i="5"/>
  <c r="AC110" i="5"/>
  <c r="CV105" i="5"/>
  <c r="BR104" i="5"/>
  <c r="CF129" i="5"/>
  <c r="EL121" i="5"/>
  <c r="DN129" i="5"/>
  <c r="AA110" i="5"/>
  <c r="AC101" i="5"/>
  <c r="EP123" i="5"/>
  <c r="DC125" i="5"/>
  <c r="AF110" i="5"/>
  <c r="FE125" i="5"/>
  <c r="I99" i="5"/>
  <c r="FB112" i="5"/>
  <c r="DT100" i="5"/>
  <c r="X118" i="5"/>
  <c r="N114" i="5"/>
  <c r="DQ126" i="5"/>
  <c r="ES127" i="5"/>
  <c r="EP108" i="5"/>
  <c r="AY118" i="5"/>
  <c r="DY105" i="5"/>
  <c r="AX104" i="5"/>
  <c r="N104" i="5"/>
  <c r="EC112" i="5"/>
  <c r="EI122" i="5"/>
  <c r="H129" i="5"/>
  <c r="BF112" i="5"/>
  <c r="M125" i="5"/>
  <c r="BC104" i="5"/>
  <c r="AS106" i="5"/>
  <c r="EQ106" i="5"/>
  <c r="EX119" i="5"/>
  <c r="BT119" i="5"/>
  <c r="CH124" i="5"/>
  <c r="DH104" i="5"/>
  <c r="FL104" i="5"/>
  <c r="DQ112" i="5"/>
  <c r="DV107" i="5"/>
  <c r="V110" i="5"/>
  <c r="AG107" i="5"/>
  <c r="AQ125" i="5"/>
  <c r="CN112" i="5"/>
  <c r="K106" i="5"/>
  <c r="E116" i="5"/>
  <c r="AV107" i="5"/>
  <c r="AX128" i="5"/>
  <c r="G121" i="5"/>
  <c r="G115" i="5"/>
  <c r="C128" i="5"/>
  <c r="U118" i="5"/>
  <c r="H87" i="5"/>
  <c r="D106" i="5"/>
  <c r="BA117" i="5"/>
  <c r="DU99" i="5"/>
  <c r="FG121" i="5"/>
  <c r="EY100" i="5"/>
  <c r="DR127" i="5"/>
  <c r="DE127" i="5"/>
  <c r="K110" i="5"/>
  <c r="CX128" i="5"/>
  <c r="CB105" i="5"/>
  <c r="AV116" i="5"/>
  <c r="L116" i="5"/>
  <c r="J124" i="5"/>
  <c r="AM117" i="5"/>
  <c r="CS114" i="5"/>
  <c r="BW108" i="5"/>
  <c r="DE101" i="5"/>
  <c r="U104" i="5"/>
  <c r="EP100" i="5"/>
  <c r="G127" i="5"/>
  <c r="CJ117" i="5"/>
  <c r="DM124" i="5"/>
  <c r="EI101" i="5"/>
  <c r="CK110" i="5"/>
  <c r="EU125" i="5"/>
  <c r="AZ128" i="5"/>
  <c r="BC105" i="5"/>
  <c r="AO118" i="5"/>
  <c r="DN117" i="5"/>
  <c r="BK128" i="5"/>
  <c r="DR129" i="5"/>
  <c r="G87" i="5"/>
  <c r="EW128" i="5"/>
  <c r="FQ120" i="5"/>
  <c r="ES125" i="5"/>
  <c r="FP114" i="5"/>
  <c r="N113" i="5"/>
  <c r="ER104" i="5"/>
  <c r="CP124" i="5"/>
  <c r="FH105" i="5"/>
  <c r="EO100" i="5"/>
  <c r="BG107" i="5"/>
  <c r="EE113" i="5"/>
  <c r="L106" i="5"/>
  <c r="FH127" i="5"/>
  <c r="FB108" i="5"/>
  <c r="CJ110" i="5"/>
  <c r="AH128" i="5"/>
  <c r="CV110" i="5"/>
  <c r="EJ125" i="5"/>
  <c r="DA123" i="5"/>
  <c r="EY106" i="5"/>
  <c r="EQ101" i="5"/>
  <c r="CZ106" i="5"/>
  <c r="BS111" i="5"/>
  <c r="G113" i="5"/>
  <c r="DX99" i="5"/>
  <c r="AN126" i="5"/>
  <c r="EI116" i="5"/>
  <c r="CC116" i="5"/>
  <c r="AZ101" i="5"/>
  <c r="FP119" i="5"/>
  <c r="EE124" i="5"/>
  <c r="FK101" i="5"/>
  <c r="DZ101" i="5"/>
  <c r="R101" i="5"/>
  <c r="B117" i="5"/>
  <c r="BA126" i="5"/>
  <c r="EA101" i="5"/>
  <c r="FL105" i="5"/>
  <c r="BL100" i="5"/>
  <c r="CJ122" i="5"/>
  <c r="AO111" i="5"/>
  <c r="CM115" i="5"/>
  <c r="BV112" i="5"/>
  <c r="DY107" i="5"/>
  <c r="BG117" i="5"/>
  <c r="G83" i="5"/>
  <c r="FQ115" i="5"/>
  <c r="FC115" i="5"/>
  <c r="AR122" i="5"/>
  <c r="C127" i="5"/>
  <c r="R121" i="5"/>
  <c r="O109" i="5"/>
  <c r="AI120" i="5"/>
  <c r="BI107" i="5"/>
  <c r="DQ125" i="5"/>
  <c r="FO115" i="5"/>
  <c r="AY105" i="5"/>
  <c r="AY124" i="5"/>
  <c r="CP103" i="5"/>
  <c r="F85" i="5"/>
  <c r="AM114" i="5"/>
  <c r="FL118" i="5"/>
  <c r="BI113" i="5"/>
  <c r="H106" i="5"/>
  <c r="AE127" i="5"/>
  <c r="DS122" i="5"/>
  <c r="EN116" i="5"/>
  <c r="AY102" i="5"/>
  <c r="ER118" i="5"/>
  <c r="EX127" i="5"/>
  <c r="B105" i="5"/>
  <c r="FI112" i="5"/>
  <c r="EI81" i="5"/>
  <c r="DV69" i="5"/>
  <c r="FF77" i="5"/>
  <c r="CK66" i="5"/>
  <c r="DA83" i="5"/>
  <c r="BL96" i="5"/>
  <c r="FJ87" i="5"/>
  <c r="CK65" i="5"/>
  <c r="AR98" i="5"/>
  <c r="DX87" i="5"/>
  <c r="EQ70" i="5"/>
  <c r="EB80" i="5"/>
  <c r="CI94" i="5"/>
  <c r="BZ78" i="5"/>
  <c r="BE85" i="5"/>
  <c r="O75" i="5"/>
  <c r="BK65" i="5"/>
  <c r="CV90" i="5"/>
  <c r="N94" i="5"/>
  <c r="BT85" i="5"/>
  <c r="L96" i="5"/>
  <c r="EW88" i="5"/>
  <c r="BK81" i="5"/>
  <c r="AI89" i="5"/>
  <c r="AS96" i="5"/>
  <c r="BS89" i="5"/>
  <c r="BZ69" i="5"/>
  <c r="CD79" i="5"/>
  <c r="CM82" i="5"/>
  <c r="BD95" i="5"/>
  <c r="DI93" i="5"/>
  <c r="C65" i="5"/>
  <c r="AF67" i="5"/>
  <c r="FK92" i="5"/>
  <c r="ES88" i="5"/>
  <c r="M85" i="5"/>
  <c r="EG73" i="5"/>
  <c r="BQ72" i="5"/>
  <c r="EB65" i="5"/>
  <c r="AB68" i="5"/>
  <c r="AT87" i="5"/>
  <c r="FQ76" i="5"/>
  <c r="BW98" i="5"/>
  <c r="DV98" i="5"/>
  <c r="FT82" i="5"/>
  <c r="FR75" i="5"/>
  <c r="AQ87" i="5"/>
  <c r="FO90" i="5"/>
  <c r="FB75" i="5"/>
  <c r="AQ68" i="5"/>
  <c r="DS81" i="5"/>
  <c r="CX78" i="5"/>
  <c r="I66" i="5"/>
  <c r="EL65" i="5"/>
  <c r="EL71" i="5"/>
  <c r="AP67" i="5"/>
  <c r="V66" i="5"/>
  <c r="DC74" i="5"/>
  <c r="I74" i="5"/>
  <c r="BP84" i="5"/>
  <c r="DM95" i="5"/>
  <c r="AS90" i="5"/>
  <c r="CE96" i="5"/>
  <c r="FL87" i="5"/>
  <c r="BF67" i="5"/>
  <c r="V87" i="5"/>
  <c r="DG77" i="5"/>
  <c r="EZ86" i="5"/>
  <c r="CK78" i="5"/>
  <c r="EA66" i="5"/>
  <c r="FH68" i="5"/>
  <c r="CD76" i="5"/>
  <c r="FM90" i="5"/>
  <c r="DQ79" i="5"/>
  <c r="B73" i="5"/>
  <c r="EK86" i="5"/>
  <c r="FM97" i="5"/>
  <c r="DH98" i="5"/>
  <c r="FR77" i="5"/>
  <c r="EP94" i="5"/>
  <c r="BA78" i="5"/>
  <c r="E76" i="5"/>
  <c r="CO91" i="5"/>
  <c r="BX95" i="5"/>
  <c r="CE92" i="5"/>
  <c r="CT70" i="5"/>
  <c r="EW94" i="5"/>
  <c r="CT98" i="5"/>
  <c r="AW85" i="5"/>
  <c r="CK98" i="5"/>
  <c r="AF96" i="5"/>
  <c r="CR72" i="5"/>
  <c r="T83" i="5"/>
  <c r="CL83" i="5"/>
  <c r="FI89" i="5"/>
  <c r="AI69" i="5"/>
  <c r="CA95" i="5"/>
  <c r="CO95" i="5"/>
  <c r="BY81" i="5"/>
  <c r="AP65" i="5"/>
  <c r="CM96" i="5"/>
  <c r="BT89" i="5"/>
  <c r="M71" i="5"/>
  <c r="Z91" i="5"/>
  <c r="BZ68" i="5"/>
  <c r="BL88" i="5"/>
  <c r="DH97" i="5"/>
  <c r="AV91" i="5"/>
  <c r="DE84" i="5"/>
  <c r="DY79" i="5"/>
  <c r="DM81" i="5"/>
  <c r="V70" i="5"/>
  <c r="AL83" i="5"/>
  <c r="EE69" i="5"/>
  <c r="FE77" i="5"/>
  <c r="FL69" i="5"/>
  <c r="BU73" i="5"/>
  <c r="CJ90" i="5"/>
  <c r="FO88" i="5"/>
  <c r="DJ73" i="5"/>
  <c r="AM65" i="5"/>
  <c r="CM84" i="5"/>
  <c r="FJ72" i="5"/>
  <c r="BC76" i="5"/>
  <c r="DI65" i="5"/>
  <c r="C70" i="5"/>
  <c r="EP74" i="5"/>
  <c r="K80" i="5"/>
  <c r="CX95" i="5"/>
  <c r="E78" i="5"/>
  <c r="DC71" i="5"/>
  <c r="AD81" i="5"/>
  <c r="AG96" i="5"/>
  <c r="CE82" i="5"/>
  <c r="AW76" i="5"/>
  <c r="EP95" i="5"/>
  <c r="DH81" i="5"/>
  <c r="EF93" i="5"/>
  <c r="BB67" i="5"/>
  <c r="CF85" i="5"/>
  <c r="DR77" i="5"/>
  <c r="FC88" i="5"/>
  <c r="AM67" i="5"/>
  <c r="DF93" i="5"/>
  <c r="DU96" i="5"/>
  <c r="CH83" i="5"/>
  <c r="FA82" i="5"/>
  <c r="AD73" i="5"/>
  <c r="AB67" i="5"/>
  <c r="EP77" i="5"/>
  <c r="AP78" i="5"/>
  <c r="EF71" i="5"/>
  <c r="FG69" i="5"/>
  <c r="DA86" i="5"/>
  <c r="BB75" i="5"/>
  <c r="FD71" i="5"/>
  <c r="EC75" i="5"/>
  <c r="P81" i="5"/>
  <c r="Y96" i="5"/>
  <c r="AC69" i="5"/>
  <c r="T92" i="5"/>
  <c r="R75" i="5"/>
  <c r="AG69" i="5"/>
  <c r="CW72" i="5"/>
  <c r="EL98" i="5"/>
  <c r="FQ67" i="5"/>
  <c r="DI69" i="5"/>
  <c r="EY68" i="5"/>
  <c r="DM79" i="5"/>
  <c r="Z81" i="5"/>
  <c r="FE86" i="5"/>
  <c r="CD86" i="5"/>
  <c r="CM95" i="5"/>
  <c r="FN89" i="5"/>
  <c r="DG96" i="5"/>
  <c r="FB94" i="5"/>
  <c r="X91" i="5"/>
  <c r="CT96" i="5"/>
  <c r="FJ98" i="5"/>
  <c r="FJ78" i="5"/>
  <c r="FI79" i="5"/>
  <c r="FA96" i="5"/>
  <c r="FM84" i="5"/>
  <c r="DB72" i="5"/>
  <c r="EE90" i="5"/>
  <c r="I92" i="5"/>
  <c r="DP89" i="5"/>
  <c r="AA89" i="5"/>
  <c r="DG66" i="5"/>
  <c r="AW66" i="5"/>
  <c r="Z80" i="5"/>
  <c r="AD68" i="5"/>
  <c r="CE93" i="5"/>
  <c r="CH74" i="5"/>
  <c r="CD93" i="5"/>
  <c r="DE92" i="5"/>
  <c r="CA75" i="5"/>
  <c r="DZ95" i="5"/>
  <c r="FM88" i="5"/>
  <c r="CN91" i="5"/>
  <c r="BU93" i="5"/>
  <c r="DJ75" i="5"/>
  <c r="EA90" i="5"/>
  <c r="D89" i="5"/>
  <c r="BR86" i="5"/>
  <c r="EX69" i="5"/>
  <c r="FH72" i="5"/>
  <c r="CM81" i="5"/>
  <c r="AZ75" i="5"/>
  <c r="DB80" i="5"/>
  <c r="ED86" i="5"/>
  <c r="DD97" i="5"/>
  <c r="CO79" i="5"/>
  <c r="DT97" i="5"/>
  <c r="FQ70" i="5"/>
  <c r="BX77" i="5"/>
  <c r="EJ69" i="5"/>
  <c r="O98" i="5"/>
  <c r="BI74" i="5"/>
  <c r="CK89" i="5"/>
  <c r="CK95" i="5"/>
  <c r="DH87" i="5"/>
  <c r="ED70" i="5"/>
  <c r="DS90" i="5"/>
  <c r="BE72" i="5"/>
  <c r="U88" i="5"/>
  <c r="CU92" i="5"/>
  <c r="FB86" i="5"/>
  <c r="AO83" i="5"/>
  <c r="EU92" i="5"/>
  <c r="FC90" i="5"/>
  <c r="BX88" i="5"/>
  <c r="BG73" i="5"/>
  <c r="CU70" i="5"/>
  <c r="EJ96" i="5"/>
  <c r="Z72" i="5"/>
  <c r="X76" i="5"/>
  <c r="BO93" i="5"/>
  <c r="DL73" i="5"/>
  <c r="FA86" i="5"/>
  <c r="DS67" i="5"/>
  <c r="Z75" i="5"/>
  <c r="EF77" i="5"/>
  <c r="AG95" i="5"/>
  <c r="BQ85" i="5"/>
  <c r="EW86" i="5"/>
  <c r="AP71" i="5"/>
  <c r="BU65" i="5"/>
  <c r="DP97" i="5"/>
  <c r="EI91" i="5"/>
  <c r="BZ88" i="5"/>
  <c r="DA90" i="5"/>
  <c r="BQ73" i="5"/>
  <c r="BA72" i="5"/>
  <c r="BN71" i="5"/>
  <c r="CU96" i="5"/>
  <c r="FE92" i="5"/>
  <c r="FF69" i="5"/>
  <c r="DZ88" i="5"/>
  <c r="EJ94" i="5"/>
  <c r="DM98" i="5"/>
  <c r="BI86" i="5"/>
  <c r="BI67" i="5"/>
  <c r="BF66" i="5"/>
  <c r="DW75" i="5"/>
  <c r="BY91" i="5"/>
  <c r="AO75" i="5"/>
  <c r="N92" i="5"/>
  <c r="EA88" i="5"/>
  <c r="EJ75" i="5"/>
  <c r="BN65" i="5"/>
  <c r="CK72" i="5"/>
  <c r="EM66" i="5"/>
  <c r="BT91" i="5"/>
  <c r="BN75" i="5"/>
  <c r="EN69" i="5"/>
  <c r="EB85" i="5"/>
  <c r="U91" i="5"/>
  <c r="AN74" i="5"/>
  <c r="U92" i="5"/>
  <c r="DQ74" i="5"/>
  <c r="FD95" i="5"/>
  <c r="T66" i="5"/>
  <c r="AV81" i="5"/>
  <c r="FP74" i="5"/>
  <c r="CV88" i="5"/>
  <c r="BA86" i="5"/>
  <c r="BK96" i="5"/>
  <c r="CK90" i="5"/>
  <c r="AG84" i="5"/>
  <c r="FJ71" i="5"/>
  <c r="CW70" i="5"/>
  <c r="W73" i="5"/>
  <c r="FG65" i="5"/>
  <c r="AT81" i="5"/>
  <c r="DB84" i="5"/>
  <c r="V79" i="5"/>
  <c r="N75" i="5"/>
  <c r="C93" i="5"/>
  <c r="AR90" i="5"/>
  <c r="Z78" i="5"/>
  <c r="DD87" i="5"/>
  <c r="DJ67" i="5"/>
  <c r="EQ83" i="5"/>
  <c r="AR92" i="5"/>
  <c r="B70" i="5"/>
  <c r="AU91" i="5"/>
  <c r="EY82" i="5"/>
  <c r="FQ94" i="5"/>
  <c r="EW93" i="5"/>
  <c r="CC82" i="5"/>
  <c r="BM78" i="5"/>
  <c r="EI76" i="5"/>
  <c r="DA70" i="5"/>
  <c r="CO98" i="5"/>
  <c r="DE82" i="5"/>
  <c r="BI89" i="5"/>
  <c r="EM93" i="5"/>
  <c r="CV78" i="5"/>
  <c r="FM75" i="5"/>
  <c r="AA87" i="5"/>
  <c r="FQ91" i="5"/>
  <c r="BY65" i="5"/>
  <c r="BD72" i="5"/>
  <c r="EX66" i="5"/>
  <c r="EY74" i="5"/>
  <c r="FG72" i="5"/>
  <c r="DM97" i="5"/>
  <c r="EU80" i="5"/>
  <c r="FI77" i="5"/>
  <c r="ER79" i="5"/>
  <c r="EP92" i="5"/>
  <c r="EA71" i="5"/>
  <c r="EY94" i="5"/>
  <c r="DS68" i="5"/>
  <c r="CD90" i="5"/>
  <c r="CR76" i="5"/>
  <c r="BW87" i="5"/>
  <c r="CG91" i="5"/>
  <c r="AG87" i="5"/>
  <c r="CB68" i="5"/>
  <c r="R70" i="5"/>
  <c r="FG74" i="5"/>
  <c r="FK68" i="5"/>
  <c r="FF88" i="5"/>
  <c r="ES90" i="5"/>
  <c r="BI81" i="5"/>
  <c r="AQ81" i="5"/>
  <c r="DL76" i="5"/>
  <c r="BL73" i="5"/>
  <c r="J80" i="5"/>
  <c r="FQ77" i="5"/>
  <c r="EB88" i="5"/>
  <c r="AT90" i="5"/>
  <c r="ES77" i="5"/>
  <c r="AE97" i="5"/>
  <c r="FB92" i="5"/>
  <c r="BL97" i="5"/>
  <c r="W87" i="5"/>
  <c r="BI78" i="5"/>
  <c r="ET79" i="5"/>
  <c r="DE70" i="5"/>
  <c r="S89" i="5"/>
  <c r="FN84" i="5"/>
  <c r="DA73" i="5"/>
  <c r="CG68" i="5"/>
  <c r="BX66" i="5"/>
  <c r="CF71" i="5"/>
  <c r="DQ70" i="5"/>
  <c r="AK86" i="5"/>
  <c r="DD66" i="5"/>
  <c r="AB75" i="5"/>
  <c r="CB90" i="5"/>
  <c r="O82" i="5"/>
  <c r="AT93" i="5"/>
  <c r="EO92" i="5"/>
  <c r="B79" i="5"/>
  <c r="EE86" i="5"/>
  <c r="K98" i="5"/>
  <c r="AX78" i="5"/>
  <c r="FN90" i="5"/>
  <c r="DQ96" i="5"/>
  <c r="DI92" i="5"/>
  <c r="FM86" i="5"/>
  <c r="K91" i="5"/>
  <c r="ER65" i="5"/>
  <c r="BO80" i="5"/>
  <c r="AC96" i="5"/>
  <c r="L82" i="5"/>
  <c r="CT75" i="5"/>
  <c r="V73" i="5"/>
  <c r="CO96" i="5"/>
  <c r="CR95" i="5"/>
  <c r="AC79" i="5"/>
  <c r="BA96" i="5"/>
  <c r="K75" i="5"/>
  <c r="EP82" i="5"/>
  <c r="BV96" i="5"/>
  <c r="AS93" i="5"/>
  <c r="AP73" i="5"/>
  <c r="EV72" i="5"/>
  <c r="BT69" i="5"/>
  <c r="Z88" i="5"/>
  <c r="AU76" i="5"/>
  <c r="DL86" i="5"/>
  <c r="BD80" i="5"/>
  <c r="CB96" i="5"/>
  <c r="ER74" i="5"/>
  <c r="EA93" i="5"/>
  <c r="AW67" i="5"/>
  <c r="ED98" i="5"/>
  <c r="CB71" i="5"/>
  <c r="BY67" i="5"/>
  <c r="EY71" i="5"/>
  <c r="B88" i="5"/>
  <c r="CW66" i="5"/>
  <c r="FB87" i="5"/>
  <c r="AN85" i="5"/>
  <c r="EM80" i="5"/>
  <c r="CE70" i="5"/>
  <c r="ES82" i="5"/>
  <c r="BQ89" i="5"/>
  <c r="CZ65" i="5"/>
  <c r="FM98" i="5"/>
  <c r="CO81" i="5"/>
  <c r="AI74" i="5"/>
  <c r="FH74" i="5"/>
  <c r="DP90" i="5"/>
  <c r="Q75" i="5"/>
  <c r="CL73" i="5"/>
  <c r="EY95" i="5"/>
  <c r="FL93" i="5"/>
  <c r="BO86" i="5"/>
  <c r="AO76" i="5"/>
  <c r="EN91" i="5"/>
  <c r="DM70" i="5"/>
  <c r="AS65" i="5"/>
  <c r="DJ77" i="5"/>
  <c r="EY93" i="5"/>
  <c r="EU85" i="5"/>
  <c r="AY69" i="5"/>
  <c r="FR96" i="5"/>
  <c r="EF86" i="5"/>
  <c r="CU90" i="5"/>
  <c r="DZ82" i="5"/>
  <c r="EZ80" i="5"/>
  <c r="EE75" i="5"/>
  <c r="BM73" i="5"/>
  <c r="CK91" i="5"/>
  <c r="EM71" i="5"/>
  <c r="CE83" i="5"/>
  <c r="FT95" i="5"/>
  <c r="CL68" i="5"/>
  <c r="EJ84" i="5"/>
  <c r="DZ68" i="5"/>
  <c r="X74" i="5"/>
  <c r="EX73" i="5"/>
  <c r="AV88" i="5"/>
  <c r="DR88" i="5"/>
  <c r="AT89" i="5"/>
  <c r="FQ78" i="5"/>
  <c r="AM82" i="5"/>
  <c r="BH89" i="5"/>
  <c r="AU97" i="5"/>
  <c r="DM92" i="5"/>
  <c r="W80" i="5"/>
  <c r="EY75" i="5"/>
  <c r="BR89" i="5"/>
  <c r="ET75" i="5"/>
  <c r="DT83" i="5"/>
  <c r="AK94" i="5"/>
  <c r="FH89" i="5"/>
  <c r="AP92" i="5"/>
  <c r="FL72" i="5"/>
  <c r="CK69" i="5"/>
  <c r="EQ69" i="5"/>
  <c r="AD80" i="5"/>
  <c r="CV79" i="5"/>
  <c r="CS69" i="5"/>
  <c r="EQ68" i="5"/>
  <c r="S92" i="5"/>
  <c r="DE90" i="5"/>
  <c r="FP65" i="5"/>
  <c r="FK89" i="5"/>
  <c r="BP78" i="5"/>
  <c r="BO84" i="5"/>
  <c r="BD89" i="5"/>
  <c r="CQ91" i="5"/>
  <c r="EL82" i="5"/>
  <c r="FN65" i="5"/>
  <c r="E71" i="5"/>
  <c r="AQ73" i="5"/>
  <c r="EP97" i="5"/>
  <c r="K97" i="5"/>
  <c r="BH92" i="5"/>
  <c r="AH74" i="5"/>
  <c r="CA68" i="5"/>
  <c r="AF90" i="5"/>
  <c r="BL95" i="5"/>
  <c r="CT82" i="5"/>
  <c r="FE94" i="5"/>
  <c r="DK85" i="5"/>
  <c r="CQ80" i="5"/>
  <c r="CV85" i="5"/>
  <c r="Z97" i="5"/>
  <c r="EA91" i="5"/>
  <c r="CF83" i="5"/>
  <c r="S72" i="5"/>
  <c r="EJ79" i="5"/>
  <c r="BL89" i="5"/>
  <c r="C98" i="5"/>
  <c r="BT96" i="5"/>
  <c r="CT69" i="5"/>
  <c r="ER86" i="5"/>
  <c r="CW81" i="5"/>
  <c r="BH95" i="5"/>
  <c r="AG79" i="5"/>
  <c r="FB81" i="5"/>
  <c r="BJ91" i="5"/>
  <c r="CQ87" i="5"/>
  <c r="BG94" i="5"/>
  <c r="FM92" i="5"/>
  <c r="DN93" i="5"/>
  <c r="R80" i="5"/>
  <c r="N98" i="5"/>
  <c r="CG65" i="5"/>
  <c r="BR82" i="5"/>
  <c r="EB98" i="5"/>
  <c r="EL83" i="5"/>
  <c r="AF72" i="5"/>
  <c r="FA78" i="5"/>
  <c r="FP78" i="5"/>
  <c r="CD77" i="5"/>
  <c r="BA65" i="5"/>
  <c r="CN95" i="5"/>
  <c r="DU73" i="5"/>
  <c r="EB71" i="5"/>
  <c r="D71" i="5"/>
  <c r="FC68" i="5"/>
  <c r="BQ94" i="5"/>
  <c r="AZ70" i="5"/>
  <c r="FL79" i="5"/>
  <c r="AC95" i="5"/>
  <c r="FQ88" i="5"/>
  <c r="FH73" i="5"/>
  <c r="DC80" i="5"/>
  <c r="AT83" i="5"/>
  <c r="CR78" i="5"/>
  <c r="FH85" i="5"/>
  <c r="FS92" i="5"/>
  <c r="DG89" i="5"/>
  <c r="CG75" i="5"/>
  <c r="AY86" i="5"/>
  <c r="AF78" i="5"/>
  <c r="CA81" i="5"/>
  <c r="AN67" i="5"/>
  <c r="CY91" i="5"/>
  <c r="BF76" i="5"/>
  <c r="BE88" i="5"/>
  <c r="CY78" i="5"/>
  <c r="EQ98" i="5"/>
  <c r="EE93" i="5"/>
  <c r="CU69" i="5"/>
  <c r="S85" i="5"/>
  <c r="AB85" i="5"/>
  <c r="DS84" i="5"/>
  <c r="CZ92" i="5"/>
  <c r="E70" i="5"/>
  <c r="AB65" i="5"/>
  <c r="CK83" i="5"/>
  <c r="ER98" i="5"/>
  <c r="AH84" i="5"/>
  <c r="FJ84" i="5"/>
  <c r="AR85" i="5"/>
  <c r="CQ93" i="5"/>
  <c r="AA67" i="5"/>
  <c r="BR78" i="5"/>
  <c r="AV72" i="5"/>
  <c r="EM70" i="5"/>
  <c r="ED91" i="5"/>
  <c r="DL75" i="5"/>
  <c r="CP71" i="5"/>
  <c r="CU84" i="5"/>
  <c r="AW87" i="5"/>
  <c r="FQ89" i="5"/>
  <c r="Q95" i="5"/>
  <c r="BG79" i="5"/>
  <c r="EE81" i="5"/>
  <c r="BV84" i="5"/>
  <c r="BM95" i="5"/>
  <c r="EM88" i="5"/>
  <c r="CG98" i="5"/>
  <c r="B97" i="5"/>
  <c r="M65" i="5"/>
  <c r="CN97" i="5"/>
  <c r="M73" i="5"/>
  <c r="BG78" i="5"/>
  <c r="CC65" i="5"/>
  <c r="EM78" i="5"/>
  <c r="I80" i="5"/>
  <c r="EI97" i="5"/>
  <c r="BK78" i="5"/>
  <c r="DA92" i="5"/>
  <c r="DR70" i="5"/>
  <c r="P75" i="5"/>
  <c r="L80" i="5"/>
  <c r="Y78" i="5"/>
  <c r="BB85" i="5"/>
  <c r="CU88" i="5"/>
  <c r="BW76" i="5"/>
  <c r="CA71" i="5"/>
  <c r="FC77" i="5"/>
  <c r="CL96" i="5"/>
  <c r="CQ65" i="5"/>
  <c r="DK77" i="5"/>
  <c r="BH97" i="5"/>
  <c r="B84" i="5"/>
  <c r="EQ95" i="5"/>
  <c r="AN97" i="5"/>
  <c r="S70" i="5"/>
  <c r="AL76" i="5"/>
  <c r="DI72" i="5"/>
  <c r="C94" i="5"/>
  <c r="T70" i="5"/>
  <c r="DN71" i="5"/>
  <c r="CT87" i="5"/>
  <c r="EJ74" i="5"/>
  <c r="W72" i="5"/>
  <c r="CH97" i="5"/>
  <c r="S96" i="5"/>
  <c r="EW67" i="5"/>
  <c r="BM79" i="5"/>
  <c r="BG66" i="5"/>
  <c r="AV93" i="5"/>
  <c r="BZ87" i="5"/>
  <c r="S83" i="5"/>
  <c r="AI84" i="5"/>
  <c r="ET84" i="5"/>
  <c r="X75" i="5"/>
  <c r="DU84" i="5"/>
  <c r="ES95" i="5"/>
  <c r="CS97" i="5"/>
  <c r="EM79" i="5"/>
  <c r="AR82" i="5"/>
  <c r="DH92" i="5"/>
  <c r="CP83" i="5"/>
  <c r="BZ90" i="5"/>
  <c r="CZ85" i="5"/>
  <c r="EC65" i="5"/>
  <c r="EK88" i="5"/>
  <c r="DN69" i="5"/>
  <c r="FK79" i="5"/>
  <c r="ES80" i="5"/>
  <c r="AR91" i="5"/>
  <c r="EH82" i="5"/>
  <c r="EJ82" i="5"/>
  <c r="AW78" i="5"/>
  <c r="BJ86" i="5"/>
  <c r="BC66" i="5"/>
  <c r="FD90" i="5"/>
  <c r="DT74" i="5"/>
  <c r="CQ79" i="5"/>
  <c r="CD85" i="5"/>
  <c r="C88" i="5"/>
  <c r="EU75" i="5"/>
  <c r="CJ69" i="5"/>
  <c r="BO85" i="5"/>
  <c r="AY74" i="5"/>
  <c r="FJ97" i="5"/>
  <c r="FO94" i="5"/>
  <c r="AJ85" i="5"/>
  <c r="DK65" i="5"/>
  <c r="EI88" i="5"/>
  <c r="DW73" i="5"/>
  <c r="EH87" i="5"/>
  <c r="FJ74" i="5"/>
  <c r="AR79" i="5"/>
  <c r="AM78" i="5"/>
  <c r="CG87" i="5"/>
  <c r="FR94" i="5"/>
  <c r="AH68" i="5"/>
  <c r="ED77" i="5"/>
  <c r="EQ82" i="5"/>
  <c r="BM91" i="5"/>
  <c r="Z96" i="5"/>
  <c r="O84" i="5"/>
  <c r="BN67" i="5"/>
  <c r="R66" i="5"/>
  <c r="BD65" i="5"/>
  <c r="FP96" i="5"/>
  <c r="DR80" i="5"/>
  <c r="ES92" i="5"/>
  <c r="BG76" i="5"/>
  <c r="K87" i="5"/>
  <c r="CI69" i="5"/>
  <c r="CJ85" i="5"/>
  <c r="EK66" i="5"/>
  <c r="DA95" i="5"/>
  <c r="FD97" i="5"/>
  <c r="U74" i="5"/>
  <c r="BW84" i="5"/>
  <c r="EJ73" i="5"/>
  <c r="CT85" i="5"/>
  <c r="I78" i="5"/>
  <c r="DR94" i="5"/>
  <c r="FC79" i="5"/>
  <c r="FL73" i="5"/>
  <c r="BG83" i="5"/>
  <c r="BP74" i="5"/>
  <c r="AG98" i="5"/>
  <c r="DS71" i="5"/>
  <c r="EB96" i="5"/>
  <c r="DU68" i="5"/>
  <c r="K74" i="5"/>
  <c r="FM91" i="5"/>
  <c r="FO65" i="5"/>
  <c r="CQ67" i="5"/>
  <c r="FN71" i="5"/>
  <c r="EQ72" i="5"/>
  <c r="BD92" i="5"/>
  <c r="J89" i="5"/>
  <c r="CX90" i="5"/>
  <c r="AJ89" i="5"/>
  <c r="EA65" i="5"/>
  <c r="DB67" i="5"/>
  <c r="DA78" i="5"/>
  <c r="CL78" i="5"/>
  <c r="CD97" i="5"/>
  <c r="DW69" i="5"/>
  <c r="CG72" i="5"/>
  <c r="EW91" i="5"/>
  <c r="BF83" i="5"/>
  <c r="AE84" i="5"/>
  <c r="EW90" i="5"/>
  <c r="BU98" i="5"/>
  <c r="CF78" i="5"/>
  <c r="DU77" i="5"/>
  <c r="EU90" i="5"/>
  <c r="FD89" i="5"/>
  <c r="BZ96" i="5"/>
  <c r="FA88" i="5"/>
  <c r="DQ91" i="5"/>
  <c r="DZ73" i="5"/>
  <c r="FI78" i="5"/>
  <c r="AN75" i="5"/>
  <c r="AJ69" i="5"/>
  <c r="BR77" i="5"/>
  <c r="AH75" i="5"/>
  <c r="BM83" i="5"/>
  <c r="AD98" i="5"/>
  <c r="DW67" i="5"/>
  <c r="J68" i="5"/>
  <c r="CZ66" i="5"/>
  <c r="EU98" i="5"/>
  <c r="BB69" i="5"/>
  <c r="B77" i="5"/>
  <c r="W74" i="5"/>
  <c r="FD98" i="5"/>
  <c r="CK76" i="5"/>
  <c r="BU75" i="5"/>
  <c r="FE88" i="5"/>
  <c r="FR71" i="5"/>
  <c r="N89" i="5"/>
  <c r="X83" i="5"/>
  <c r="DD75" i="5"/>
  <c r="L95" i="5"/>
  <c r="N85" i="5"/>
  <c r="V96" i="5"/>
  <c r="BW74" i="5"/>
  <c r="FQ90" i="5"/>
  <c r="V85" i="5"/>
  <c r="FE66" i="5"/>
  <c r="FO98" i="5"/>
  <c r="X79" i="5"/>
  <c r="CF75" i="5"/>
  <c r="DJ98" i="5"/>
  <c r="AM92" i="5"/>
  <c r="EV86" i="5"/>
  <c r="CG74" i="5"/>
  <c r="AF79" i="5"/>
  <c r="DJ94" i="5"/>
  <c r="DE69" i="5"/>
  <c r="DC77" i="5"/>
  <c r="DD84" i="5"/>
  <c r="BW83" i="5"/>
  <c r="DW68" i="5"/>
  <c r="AX79" i="5"/>
  <c r="FS88" i="5"/>
  <c r="V98" i="5"/>
  <c r="N83" i="5"/>
  <c r="ED66" i="5"/>
  <c r="AW91" i="5"/>
  <c r="L78" i="5"/>
  <c r="BP75" i="5"/>
  <c r="Y85" i="5"/>
  <c r="DU93" i="5"/>
  <c r="DI70" i="5"/>
  <c r="N95" i="5"/>
  <c r="BC83" i="5"/>
  <c r="AT76" i="5"/>
  <c r="BP95" i="5"/>
  <c r="ER97" i="5"/>
  <c r="FK93" i="5"/>
  <c r="CW93" i="5"/>
  <c r="W85" i="5"/>
  <c r="DM91" i="5"/>
  <c r="FM70" i="5"/>
  <c r="CS76" i="5"/>
  <c r="AK82" i="5"/>
  <c r="CB72" i="5"/>
  <c r="D77" i="5"/>
  <c r="K67" i="5"/>
  <c r="BP91" i="5"/>
  <c r="AY66" i="5"/>
  <c r="BX84" i="5"/>
  <c r="K68" i="5"/>
  <c r="U69" i="5"/>
  <c r="AX72" i="5"/>
  <c r="DQ78" i="5"/>
  <c r="AP83" i="5"/>
  <c r="BA89" i="5"/>
  <c r="CN87" i="5"/>
  <c r="AA65" i="5"/>
  <c r="D85" i="5"/>
  <c r="AW88" i="5"/>
  <c r="FQ87" i="5"/>
  <c r="AE95" i="5"/>
  <c r="C68" i="5"/>
  <c r="FT73" i="5"/>
  <c r="CJ68" i="5"/>
  <c r="FM89" i="5"/>
  <c r="DN76" i="5"/>
  <c r="FT67" i="5"/>
  <c r="EO87" i="5"/>
  <c r="AJ70" i="5"/>
  <c r="CN85" i="5"/>
  <c r="ET93" i="5"/>
  <c r="CM76" i="5"/>
  <c r="CS75" i="5"/>
  <c r="AV69" i="5"/>
  <c r="AD86" i="5"/>
  <c r="CC67" i="5"/>
  <c r="DP84" i="5"/>
  <c r="CB86" i="5"/>
  <c r="DO83" i="5"/>
  <c r="EX72" i="5"/>
  <c r="BZ92" i="5"/>
  <c r="BB70" i="5"/>
  <c r="FM66" i="5"/>
  <c r="EN76" i="5"/>
  <c r="AZ80" i="5"/>
  <c r="BN73" i="5"/>
  <c r="DL72" i="5"/>
  <c r="DG71" i="5"/>
  <c r="BK95" i="5"/>
  <c r="N97" i="5"/>
  <c r="DK88" i="5"/>
  <c r="DW72" i="5"/>
  <c r="AC98" i="5"/>
  <c r="EA87" i="5"/>
  <c r="FE91" i="5"/>
  <c r="FA68" i="5"/>
  <c r="FT81" i="5"/>
  <c r="FE71" i="5"/>
  <c r="EL93" i="5"/>
  <c r="DM83" i="5"/>
  <c r="BE87" i="5"/>
  <c r="E74" i="5"/>
  <c r="CR66" i="5"/>
  <c r="AL79" i="5"/>
  <c r="BT65" i="5"/>
  <c r="CR94" i="5"/>
  <c r="J65" i="5"/>
  <c r="L69" i="5"/>
  <c r="CU72" i="5"/>
  <c r="EB76" i="5"/>
  <c r="EJ93" i="5"/>
  <c r="FI93" i="5"/>
  <c r="AQ77" i="5"/>
  <c r="DA81" i="5"/>
  <c r="DM78" i="5"/>
  <c r="FM82" i="5"/>
  <c r="BL98" i="5"/>
  <c r="DQ98" i="5"/>
  <c r="CR77" i="5"/>
  <c r="DQ90" i="5"/>
  <c r="DM69" i="5"/>
  <c r="BB83" i="5"/>
  <c r="DK80" i="5"/>
  <c r="ER92" i="5"/>
  <c r="AW65" i="5"/>
  <c r="AL85" i="5"/>
  <c r="DK84" i="5"/>
  <c r="EW70" i="5"/>
  <c r="BH72" i="5"/>
  <c r="EV67" i="5"/>
  <c r="FD85" i="5"/>
  <c r="BW92" i="5"/>
  <c r="DG87" i="5"/>
  <c r="DY71" i="5"/>
  <c r="FQ97" i="5"/>
  <c r="FD88" i="5"/>
  <c r="FG73" i="5"/>
  <c r="FL84" i="5"/>
  <c r="DX83" i="5"/>
  <c r="EM92" i="5"/>
  <c r="EN96" i="5"/>
  <c r="FM76" i="5"/>
  <c r="S80" i="5"/>
  <c r="CU66" i="5"/>
  <c r="BW96" i="5"/>
  <c r="CO66" i="5"/>
  <c r="BM81" i="5"/>
  <c r="AP90" i="5"/>
  <c r="AX71" i="5"/>
  <c r="AD78" i="5"/>
  <c r="EQ97" i="5"/>
  <c r="AS84" i="5"/>
  <c r="BD81" i="5"/>
  <c r="EW98" i="5"/>
  <c r="AA75" i="5"/>
  <c r="CZ91" i="5"/>
  <c r="AU73" i="5"/>
  <c r="M66" i="5"/>
  <c r="FD72" i="5"/>
  <c r="ET80" i="5"/>
  <c r="CH98" i="5"/>
  <c r="BF87" i="5"/>
  <c r="CY75" i="5"/>
  <c r="DL74" i="5"/>
  <c r="FQ71" i="5"/>
  <c r="I79" i="5"/>
  <c r="BF73" i="5"/>
  <c r="DI97" i="5"/>
  <c r="EO81" i="5"/>
  <c r="CM74" i="5"/>
  <c r="M79" i="5"/>
  <c r="FI73" i="5"/>
  <c r="FS93" i="5"/>
  <c r="DW80" i="5"/>
  <c r="BS93" i="5"/>
  <c r="CJ89" i="5"/>
  <c r="BH90" i="5"/>
  <c r="BF95" i="5"/>
  <c r="DA98" i="5"/>
  <c r="DO68" i="5"/>
  <c r="AL89" i="5"/>
  <c r="DM76" i="5"/>
  <c r="DY86" i="5"/>
  <c r="BA79" i="5"/>
  <c r="AU67" i="5"/>
  <c r="ED73" i="5"/>
  <c r="U83" i="5"/>
  <c r="BJ93" i="5"/>
  <c r="CA74" i="5"/>
  <c r="AV70" i="5"/>
  <c r="FD77" i="5"/>
  <c r="EI77" i="5"/>
  <c r="EU77" i="5"/>
  <c r="AG85" i="5"/>
  <c r="C90" i="5"/>
  <c r="CV77" i="5"/>
  <c r="DP76" i="5"/>
  <c r="AO92" i="5"/>
  <c r="BM70" i="5"/>
  <c r="AF89" i="5"/>
  <c r="EK80" i="5"/>
  <c r="AH81" i="5"/>
  <c r="EI78" i="5"/>
  <c r="BH88" i="5"/>
  <c r="AJ92" i="5"/>
  <c r="EG79" i="5"/>
  <c r="BP70" i="5"/>
  <c r="X68" i="5"/>
  <c r="BM90" i="5"/>
  <c r="DQ89" i="5"/>
  <c r="EZ67" i="5"/>
  <c r="FR78" i="5"/>
  <c r="FL68" i="5"/>
  <c r="CL72" i="5"/>
  <c r="DS77" i="5"/>
  <c r="AH98" i="5"/>
  <c r="CE86" i="5"/>
  <c r="FC84" i="5"/>
  <c r="BD69" i="5"/>
  <c r="EK87" i="5"/>
  <c r="AK97" i="5"/>
  <c r="BY97" i="5"/>
  <c r="CM83" i="5"/>
  <c r="DT96" i="5"/>
  <c r="L91" i="5"/>
  <c r="EY83" i="5"/>
  <c r="T71" i="5"/>
  <c r="AZ92" i="5"/>
  <c r="CU82" i="5"/>
  <c r="FC81" i="5"/>
  <c r="FS81" i="5"/>
  <c r="CH85" i="5"/>
  <c r="CW87" i="5"/>
  <c r="EH80" i="5"/>
  <c r="DE98" i="5"/>
  <c r="BU97" i="5"/>
  <c r="AF75" i="5"/>
  <c r="CA80" i="5"/>
  <c r="AQ82" i="5"/>
  <c r="EZ89" i="5"/>
  <c r="ES86" i="5"/>
  <c r="FN85" i="5"/>
  <c r="AF68" i="5"/>
  <c r="DO94" i="5"/>
  <c r="BL90" i="5"/>
  <c r="AL74" i="5"/>
  <c r="EA92" i="5"/>
  <c r="CB82" i="5"/>
  <c r="ER73" i="5"/>
  <c r="AA98" i="5"/>
  <c r="O74" i="5"/>
  <c r="DW89" i="5"/>
  <c r="FE80" i="5"/>
  <c r="T89" i="5"/>
  <c r="EE72" i="5"/>
  <c r="BU68" i="5"/>
  <c r="CY76" i="5"/>
  <c r="M97" i="5"/>
  <c r="EY87" i="5"/>
  <c r="BF91" i="5"/>
  <c r="BX92" i="5"/>
  <c r="BE73" i="5"/>
  <c r="ES93" i="5"/>
  <c r="CJ78" i="5"/>
  <c r="EK72" i="5"/>
  <c r="FD83" i="5"/>
  <c r="FD94" i="5"/>
  <c r="CU68" i="5"/>
  <c r="FN67" i="5"/>
  <c r="DZ72" i="5"/>
  <c r="BB91" i="5"/>
  <c r="DX86" i="5"/>
  <c r="BL83" i="5"/>
  <c r="ES73" i="5"/>
  <c r="M88" i="5"/>
  <c r="CX89" i="5"/>
  <c r="ET67" i="5"/>
  <c r="FH71" i="5"/>
  <c r="BE93" i="5"/>
  <c r="FG88" i="5"/>
  <c r="CK74" i="5"/>
  <c r="ER94" i="5"/>
  <c r="FF74" i="5"/>
  <c r="BE82" i="5"/>
  <c r="EQ76" i="5"/>
  <c r="DA89" i="5"/>
  <c r="CN69" i="5"/>
  <c r="EN86" i="5"/>
  <c r="BW78" i="5"/>
  <c r="BI80" i="5"/>
  <c r="FE76" i="5"/>
  <c r="FH92" i="5"/>
  <c r="D67" i="5"/>
  <c r="FI88" i="5"/>
  <c r="FK77" i="5"/>
  <c r="CH86" i="5"/>
  <c r="CX88" i="5"/>
  <c r="AD65" i="5"/>
  <c r="EQ66" i="5"/>
  <c r="EI80" i="5"/>
  <c r="T79" i="5"/>
  <c r="ER71" i="5"/>
  <c r="J83" i="5"/>
  <c r="EV70" i="5"/>
  <c r="EA85" i="5"/>
  <c r="CF96" i="5"/>
  <c r="FB95" i="5"/>
  <c r="EK97" i="5"/>
  <c r="CZ75" i="5"/>
  <c r="AI70" i="5"/>
  <c r="AS91" i="5"/>
  <c r="FF79" i="5"/>
  <c r="CP68" i="5"/>
  <c r="DL96" i="5"/>
  <c r="FH80" i="5"/>
  <c r="BK92" i="5"/>
  <c r="DZ96" i="5"/>
  <c r="AK81" i="5"/>
  <c r="BZ79" i="5"/>
  <c r="W84" i="5"/>
  <c r="BX97" i="5"/>
  <c r="W90" i="5"/>
  <c r="FB71" i="5"/>
  <c r="EY86" i="5"/>
  <c r="J90" i="5"/>
  <c r="BH79" i="5"/>
  <c r="FP88" i="5"/>
  <c r="AY89" i="5"/>
  <c r="AG83" i="5"/>
  <c r="BD67" i="5"/>
  <c r="CZ78" i="5"/>
  <c r="FB78" i="5"/>
  <c r="EZ95" i="5"/>
  <c r="FL70" i="5"/>
  <c r="DK81" i="5"/>
  <c r="EY92" i="5"/>
  <c r="BD68" i="5"/>
  <c r="Y65" i="5"/>
  <c r="C87" i="5"/>
  <c r="FN87" i="5"/>
  <c r="BB74" i="5"/>
  <c r="T77" i="5"/>
  <c r="EI84" i="5"/>
  <c r="X89" i="5"/>
  <c r="AG81" i="5"/>
  <c r="CJ65" i="5"/>
  <c r="BY95" i="5"/>
  <c r="AH73" i="5"/>
  <c r="DN84" i="5"/>
  <c r="AI77" i="5"/>
  <c r="AC70" i="5"/>
  <c r="CG69" i="5"/>
  <c r="EE85" i="5"/>
  <c r="DA96" i="5"/>
  <c r="AN93" i="5"/>
  <c r="AK95" i="5"/>
  <c r="FT84" i="5"/>
  <c r="DN98" i="5"/>
  <c r="BZ66" i="5"/>
  <c r="AU86" i="5"/>
  <c r="CY84" i="5"/>
  <c r="EW85" i="5"/>
  <c r="EC73" i="5"/>
  <c r="BM86" i="5"/>
  <c r="DT95" i="5"/>
  <c r="DZ75" i="5"/>
  <c r="CS88" i="5"/>
  <c r="DZ91" i="5"/>
  <c r="EM86" i="5"/>
  <c r="CI83" i="5"/>
  <c r="E84" i="5"/>
  <c r="BD98" i="5"/>
  <c r="BI73" i="5"/>
  <c r="AY75" i="5"/>
  <c r="EL79" i="5"/>
  <c r="BT67" i="5"/>
  <c r="FQ86" i="5"/>
  <c r="ES74" i="5"/>
  <c r="R92" i="5"/>
  <c r="FO97" i="5"/>
  <c r="DO80" i="5"/>
  <c r="CD71" i="5"/>
  <c r="ET94" i="5"/>
  <c r="R65" i="5"/>
  <c r="EH75" i="5"/>
  <c r="BI93" i="5"/>
  <c r="EV76" i="5"/>
  <c r="CH75" i="5"/>
  <c r="FS70" i="5"/>
  <c r="AW81" i="5"/>
  <c r="DV84" i="5"/>
  <c r="ES70" i="5"/>
  <c r="L93" i="5"/>
  <c r="S69" i="5"/>
  <c r="DZ71" i="5"/>
  <c r="M80" i="5"/>
  <c r="FK78" i="5"/>
  <c r="DG76" i="5"/>
  <c r="ES87" i="5"/>
  <c r="AL86" i="5"/>
  <c r="AF82" i="5"/>
  <c r="BZ71" i="5"/>
  <c r="FS90" i="5"/>
  <c r="BJ88" i="5"/>
  <c r="CL77" i="5"/>
  <c r="EK85" i="5"/>
  <c r="FN88" i="5"/>
  <c r="CH68" i="5"/>
  <c r="DI82" i="5"/>
  <c r="EV81" i="5"/>
  <c r="CD65" i="5"/>
  <c r="J88" i="5"/>
  <c r="E77" i="5"/>
  <c r="BO97" i="5"/>
  <c r="FH70" i="5"/>
  <c r="EP90" i="5"/>
  <c r="BF81" i="5"/>
  <c r="CK86" i="5"/>
  <c r="EH68" i="5"/>
  <c r="DX90" i="5"/>
  <c r="ED97" i="5"/>
  <c r="EA96" i="5"/>
  <c r="EW77" i="5"/>
  <c r="DE73" i="5"/>
  <c r="BC94" i="5"/>
  <c r="CE90" i="5"/>
  <c r="BV81" i="5"/>
  <c r="FG68" i="5"/>
  <c r="CB73" i="5"/>
  <c r="FL97" i="5"/>
  <c r="CQ78" i="5"/>
  <c r="FP66" i="5"/>
  <c r="AF69" i="5"/>
  <c r="AX86" i="5"/>
  <c r="CT95" i="5"/>
  <c r="D88" i="5"/>
  <c r="EN95" i="5"/>
  <c r="AO82" i="5"/>
  <c r="CJ79" i="5"/>
  <c r="EG67" i="5"/>
  <c r="AI96" i="5"/>
  <c r="B83" i="5"/>
  <c r="S86" i="5"/>
  <c r="U78" i="5"/>
  <c r="AO71" i="5"/>
  <c r="CC84" i="5"/>
  <c r="BZ73" i="5"/>
  <c r="AR67" i="5"/>
  <c r="EA75" i="5"/>
  <c r="AV68" i="5"/>
  <c r="DM68" i="5"/>
  <c r="EJ83" i="5"/>
  <c r="S98" i="5"/>
  <c r="BP79" i="5"/>
  <c r="CI82" i="5"/>
  <c r="CX83" i="5"/>
  <c r="DS85" i="5"/>
  <c r="EB78" i="5"/>
  <c r="CR90" i="5"/>
  <c r="CI85" i="5"/>
  <c r="W77" i="5"/>
  <c r="DD88" i="5"/>
  <c r="DJ84" i="5"/>
  <c r="FI74" i="5"/>
  <c r="BE69" i="5"/>
  <c r="BO87" i="5"/>
  <c r="DO92" i="5"/>
  <c r="DI80" i="5"/>
  <c r="FB65" i="5"/>
  <c r="CB65" i="5"/>
  <c r="CX92" i="5"/>
  <c r="EG98" i="5"/>
  <c r="DE65" i="5"/>
  <c r="FR87" i="5"/>
  <c r="CW73" i="5"/>
  <c r="DR97" i="5"/>
  <c r="X97" i="5"/>
  <c r="CQ76" i="5"/>
  <c r="DE85" i="5"/>
  <c r="P71" i="5"/>
  <c r="BE97" i="5"/>
  <c r="ET98" i="5"/>
  <c r="Y84" i="5"/>
  <c r="CN72" i="5"/>
  <c r="EN80" i="5"/>
  <c r="C80" i="5"/>
  <c r="FG84" i="5"/>
  <c r="C78" i="5"/>
  <c r="BT66" i="5"/>
  <c r="FI92" i="5"/>
  <c r="CJ82" i="5"/>
  <c r="AC76" i="5"/>
  <c r="BA67" i="5"/>
  <c r="DT71" i="5"/>
  <c r="CV94" i="5"/>
  <c r="DD90" i="5"/>
  <c r="DM75" i="5"/>
  <c r="CT97" i="5"/>
  <c r="DL87" i="5"/>
  <c r="BK89" i="5"/>
  <c r="DM73" i="5"/>
  <c r="BM69" i="5"/>
  <c r="FM73" i="5"/>
  <c r="DP67" i="5"/>
  <c r="D82" i="5"/>
  <c r="DU76" i="5"/>
  <c r="DS73" i="5"/>
  <c r="Q86" i="5"/>
  <c r="EN93" i="5"/>
  <c r="EH89" i="5"/>
  <c r="DX96" i="5"/>
  <c r="BI95" i="5"/>
  <c r="K81" i="5"/>
  <c r="CH78" i="5"/>
  <c r="EE94" i="5"/>
  <c r="J91" i="5"/>
  <c r="AJ77" i="5"/>
  <c r="CF92" i="5"/>
  <c r="BR83" i="5"/>
  <c r="FR88" i="5"/>
  <c r="EX79" i="5"/>
  <c r="CS66" i="5"/>
  <c r="DR79" i="5"/>
  <c r="CL79" i="5"/>
  <c r="CU71" i="5"/>
  <c r="B86" i="5"/>
  <c r="AK84" i="5"/>
  <c r="CC92" i="5"/>
  <c r="EX70" i="5"/>
  <c r="AN82" i="5"/>
  <c r="BO76" i="5"/>
  <c r="FN94" i="5"/>
  <c r="BL66" i="5"/>
  <c r="CM68" i="5"/>
  <c r="FR69" i="5"/>
  <c r="CQ83" i="5"/>
  <c r="DD98" i="5"/>
  <c r="FO86" i="5"/>
  <c r="AS70" i="5"/>
  <c r="AF85" i="5"/>
  <c r="CF91" i="5"/>
  <c r="FD66" i="5"/>
  <c r="T90" i="5"/>
  <c r="BX67" i="5"/>
  <c r="AS89" i="5"/>
  <c r="BN74" i="5"/>
  <c r="FC96" i="5"/>
  <c r="AN79" i="5"/>
  <c r="AA84" i="5"/>
  <c r="CW69" i="5"/>
  <c r="CP65" i="5"/>
  <c r="BC79" i="5"/>
  <c r="EJ70" i="5"/>
  <c r="AA90" i="5"/>
  <c r="DJ93" i="5"/>
  <c r="BN81" i="5"/>
  <c r="CF87" i="5"/>
  <c r="BR71" i="5"/>
  <c r="BS90" i="5"/>
  <c r="AO68" i="5"/>
  <c r="BS84" i="5"/>
  <c r="AF88" i="5"/>
  <c r="CT77" i="5"/>
  <c r="DR83" i="5"/>
  <c r="D93" i="5"/>
  <c r="CH66" i="5"/>
  <c r="S71" i="5"/>
  <c r="FN82" i="5"/>
  <c r="AO74" i="5"/>
  <c r="EM67" i="5"/>
  <c r="CK80" i="5"/>
  <c r="AA73" i="5"/>
  <c r="CF80" i="5"/>
  <c r="CP85" i="5"/>
  <c r="E87" i="5"/>
  <c r="DB81" i="5"/>
  <c r="EV91" i="5"/>
  <c r="AH70" i="5"/>
  <c r="EM97" i="5"/>
  <c r="FH83" i="5"/>
  <c r="CV72" i="5"/>
  <c r="AH69" i="5"/>
  <c r="CE81" i="5"/>
  <c r="AJ87" i="5"/>
  <c r="BY76" i="5"/>
  <c r="BT70" i="5"/>
  <c r="ER91" i="5"/>
  <c r="BW67" i="5"/>
  <c r="DS69" i="5"/>
  <c r="EO65" i="5"/>
  <c r="FP72" i="5"/>
  <c r="EY84" i="5"/>
  <c r="BS79" i="5"/>
  <c r="FC93" i="5"/>
  <c r="AW68" i="5"/>
  <c r="C67" i="5"/>
  <c r="CY70" i="5"/>
  <c r="N93" i="5"/>
  <c r="EN94" i="5"/>
  <c r="K93" i="5"/>
  <c r="C66" i="5"/>
  <c r="EH72" i="5"/>
  <c r="EN82" i="5"/>
  <c r="BU82" i="5"/>
  <c r="DV74" i="5"/>
  <c r="AX85" i="5"/>
  <c r="CQ92" i="5"/>
  <c r="EA68" i="5"/>
  <c r="DO89" i="5"/>
  <c r="BH81" i="5"/>
  <c r="BF80" i="5"/>
  <c r="FI76" i="5"/>
  <c r="AY85" i="5"/>
  <c r="EJ66" i="5"/>
  <c r="DA77" i="5"/>
  <c r="EH77" i="5"/>
  <c r="AX75" i="5"/>
  <c r="BT71" i="5"/>
  <c r="EP84" i="5"/>
  <c r="AD87" i="5"/>
  <c r="EO85" i="5"/>
  <c r="DQ87" i="5"/>
  <c r="AA86" i="5"/>
  <c r="AW72" i="5"/>
  <c r="CC75" i="5"/>
  <c r="AC91" i="5"/>
  <c r="EL66" i="5"/>
  <c r="AL95" i="5"/>
  <c r="DA75" i="5"/>
  <c r="BR98" i="5"/>
  <c r="CY68" i="5"/>
  <c r="BK76" i="5"/>
  <c r="CP91" i="5"/>
  <c r="EG69" i="5"/>
  <c r="EV78" i="5"/>
  <c r="BP88" i="5"/>
  <c r="DZ66" i="5"/>
  <c r="EH73" i="5"/>
  <c r="FS71" i="5"/>
  <c r="BK97" i="5"/>
  <c r="L89" i="5"/>
  <c r="DL85" i="5"/>
  <c r="CV69" i="5"/>
  <c r="EG90" i="5"/>
  <c r="BS71" i="5"/>
  <c r="ER66" i="5"/>
  <c r="BQ95" i="5"/>
  <c r="DC65" i="5"/>
  <c r="AB92" i="5"/>
  <c r="V82" i="5"/>
  <c r="CN73" i="5"/>
  <c r="U67" i="5"/>
  <c r="BD83" i="5"/>
  <c r="O68" i="5"/>
  <c r="U80" i="5"/>
  <c r="DF98" i="5"/>
  <c r="CQ86" i="5"/>
  <c r="Y95" i="5"/>
  <c r="CM91" i="5"/>
  <c r="CG67" i="5"/>
  <c r="BS72" i="5"/>
  <c r="DN70" i="5"/>
  <c r="DF65" i="5"/>
  <c r="FJ94" i="5"/>
  <c r="BU91" i="5"/>
  <c r="AJ66" i="5"/>
  <c r="CM87" i="5"/>
  <c r="EB87" i="5"/>
  <c r="Y90" i="5"/>
  <c r="EN88" i="5"/>
  <c r="FP73" i="5"/>
  <c r="AQ70" i="5"/>
  <c r="AV89" i="5"/>
  <c r="EJ76" i="5"/>
  <c r="AD77" i="5"/>
  <c r="CC79" i="5"/>
  <c r="DN68" i="5"/>
  <c r="FC86" i="5"/>
  <c r="BA74" i="5"/>
  <c r="FC92" i="5"/>
  <c r="CU86" i="5"/>
  <c r="DN67" i="5"/>
  <c r="AZ78" i="5"/>
  <c r="CT73" i="5"/>
  <c r="AF93" i="5"/>
  <c r="BT79" i="5"/>
  <c r="AF83" i="5"/>
  <c r="AY96" i="5"/>
  <c r="EJ91" i="5"/>
  <c r="L67" i="5"/>
  <c r="CN67" i="5"/>
  <c r="DP93" i="5"/>
  <c r="EX77" i="5"/>
  <c r="EI66" i="5"/>
  <c r="BL82" i="5"/>
  <c r="CA79" i="5"/>
  <c r="BS76" i="5"/>
  <c r="EG65" i="5"/>
  <c r="CV86" i="5"/>
  <c r="BH82" i="5"/>
  <c r="AO78" i="5"/>
  <c r="FG87" i="5"/>
  <c r="BA80" i="5"/>
  <c r="DA80" i="5"/>
  <c r="Q71" i="5"/>
  <c r="L65" i="5"/>
  <c r="CL67" i="5"/>
  <c r="AN84" i="5"/>
  <c r="BL81" i="5"/>
  <c r="AT84" i="5"/>
  <c r="DB66" i="5"/>
  <c r="EX71" i="5"/>
  <c r="BF70" i="5"/>
  <c r="AM97" i="5"/>
  <c r="M87" i="5"/>
  <c r="DN74" i="5"/>
  <c r="FE83" i="5"/>
  <c r="BF75" i="5"/>
  <c r="DL71" i="5"/>
  <c r="DF97" i="5"/>
  <c r="EP79" i="5"/>
  <c r="EV66" i="5"/>
  <c r="AK66" i="5"/>
  <c r="Q79" i="5"/>
  <c r="AM94" i="5"/>
  <c r="AY80" i="5"/>
  <c r="CJ66" i="5"/>
  <c r="EX96" i="5"/>
  <c r="EN77" i="5"/>
  <c r="AV75" i="5"/>
  <c r="AG66" i="5"/>
  <c r="FS75" i="5"/>
  <c r="DV66" i="5"/>
  <c r="DN91" i="5"/>
  <c r="BF65" i="5"/>
  <c r="EG70" i="5"/>
  <c r="EY90" i="5"/>
  <c r="EQ88" i="5"/>
  <c r="AK69" i="5"/>
  <c r="AE74" i="5"/>
  <c r="BK82" i="5"/>
  <c r="AV95" i="5"/>
  <c r="Z84" i="5"/>
  <c r="O92" i="5"/>
  <c r="CR73" i="5"/>
  <c r="BP82" i="5"/>
  <c r="CX85" i="5"/>
  <c r="BC90" i="5"/>
  <c r="DN66" i="5"/>
  <c r="AZ93" i="5"/>
  <c r="AN95" i="5"/>
  <c r="DE71" i="5"/>
  <c r="FT93" i="5"/>
  <c r="CR85" i="5"/>
  <c r="AP80" i="5"/>
  <c r="DV75" i="5"/>
  <c r="EG75" i="5"/>
  <c r="Z68" i="5"/>
  <c r="ES81" i="5"/>
  <c r="CM90" i="5"/>
  <c r="CJ67" i="5"/>
  <c r="EQ73" i="5"/>
  <c r="FQ98" i="5"/>
  <c r="DY72" i="5"/>
  <c r="CP98" i="5"/>
  <c r="DM93" i="5"/>
  <c r="DC87" i="5"/>
  <c r="AT80" i="5"/>
  <c r="CN86" i="5"/>
  <c r="FN97" i="5"/>
  <c r="DZ93" i="5"/>
  <c r="U71" i="5"/>
  <c r="DB75" i="5"/>
  <c r="EU78" i="5"/>
  <c r="DV83" i="5"/>
  <c r="EN98" i="5"/>
  <c r="AC90" i="5"/>
  <c r="CH95" i="5"/>
  <c r="DT66" i="5"/>
  <c r="AA79" i="5"/>
  <c r="FE90" i="5"/>
  <c r="CH77" i="5"/>
  <c r="AO96" i="5"/>
  <c r="BV82" i="5"/>
  <c r="DU90" i="5"/>
  <c r="BM67" i="5"/>
  <c r="O65" i="5"/>
  <c r="EX88" i="5"/>
  <c r="BA69" i="5"/>
  <c r="DN96" i="5"/>
  <c r="CQ90" i="5"/>
  <c r="AD76" i="5"/>
  <c r="CH84" i="5"/>
  <c r="BC92" i="5"/>
  <c r="DZ94" i="5"/>
  <c r="ED95" i="5"/>
  <c r="BU95" i="5"/>
  <c r="BQ79" i="5"/>
  <c r="AK92" i="5"/>
  <c r="BF68" i="5"/>
  <c r="D76" i="5"/>
  <c r="K78" i="5"/>
  <c r="BN77" i="5"/>
  <c r="CR84" i="5"/>
  <c r="EL74" i="5"/>
  <c r="DN82" i="5"/>
  <c r="BU87" i="5"/>
  <c r="EW78" i="5"/>
  <c r="CI93" i="5"/>
  <c r="DS94" i="5"/>
  <c r="EQ74" i="5"/>
  <c r="BL79" i="5"/>
  <c r="DS72" i="5"/>
  <c r="AW84" i="5"/>
  <c r="AT86" i="5"/>
  <c r="AY79" i="5"/>
  <c r="I69" i="5"/>
  <c r="CB97" i="5"/>
  <c r="FH81" i="5"/>
  <c r="CX71" i="5"/>
  <c r="AO66" i="5"/>
  <c r="ES67" i="5"/>
  <c r="BJ69" i="5"/>
  <c r="ET78" i="5"/>
  <c r="FD91" i="5"/>
  <c r="DD83" i="5"/>
  <c r="CM71" i="5"/>
  <c r="DI74" i="5"/>
  <c r="DJ82" i="5"/>
  <c r="AS87" i="5"/>
  <c r="DM82" i="5"/>
  <c r="V93" i="5"/>
  <c r="BW66" i="5"/>
  <c r="DW85" i="5"/>
  <c r="DX81" i="5"/>
  <c r="BU90" i="5"/>
  <c r="AM79" i="5"/>
  <c r="AZ76" i="5"/>
  <c r="CG71" i="5"/>
  <c r="CL74" i="5"/>
  <c r="EY79" i="5"/>
  <c r="EK78" i="5"/>
  <c r="DT79" i="5"/>
  <c r="DW92" i="5"/>
  <c r="CY93" i="5"/>
  <c r="FQ95" i="5"/>
  <c r="L90" i="5"/>
  <c r="E85" i="5"/>
  <c r="DP81" i="5"/>
  <c r="BJ84" i="5"/>
  <c r="R67" i="5"/>
  <c r="BS66" i="5"/>
  <c r="EA76" i="5"/>
  <c r="BU72" i="5"/>
  <c r="CI66" i="5"/>
  <c r="DG78" i="5"/>
  <c r="BM77" i="5"/>
  <c r="BT98" i="5"/>
  <c r="FL86" i="5"/>
  <c r="J69" i="5"/>
  <c r="FC97" i="5"/>
  <c r="EN68" i="5"/>
  <c r="CB80" i="5"/>
  <c r="CD87" i="5"/>
  <c r="BS83" i="5"/>
  <c r="BL75" i="5"/>
  <c r="EQ75" i="5"/>
  <c r="BE95" i="5"/>
  <c r="CO72" i="5"/>
  <c r="BS81" i="5"/>
  <c r="FP95" i="5"/>
  <c r="CW75" i="5"/>
  <c r="FF97" i="5"/>
  <c r="BR74" i="5"/>
  <c r="BR67" i="5"/>
  <c r="EZ76" i="5"/>
  <c r="EW66" i="5"/>
  <c r="BC71" i="5"/>
  <c r="FT90" i="5"/>
  <c r="AO87" i="5"/>
  <c r="CD67" i="5"/>
  <c r="FT88" i="5"/>
  <c r="AB86" i="5"/>
  <c r="BY87" i="5"/>
  <c r="EO67" i="5"/>
  <c r="FE70" i="5"/>
  <c r="DU79" i="5"/>
  <c r="FM72" i="5"/>
  <c r="BQ82" i="5"/>
  <c r="AD72" i="5"/>
  <c r="AV76" i="5"/>
  <c r="CW65" i="5"/>
  <c r="P80" i="5"/>
  <c r="AG68" i="5"/>
  <c r="EH93" i="5"/>
  <c r="EE66" i="5"/>
  <c r="V95" i="5"/>
  <c r="AO65" i="5"/>
  <c r="EN75" i="5"/>
  <c r="EO77" i="5"/>
  <c r="DF84" i="5"/>
  <c r="FI90" i="5"/>
  <c r="EV89" i="5"/>
  <c r="DE96" i="5"/>
  <c r="CH69" i="5"/>
  <c r="EJ92" i="5"/>
  <c r="DC83" i="5"/>
  <c r="R96" i="5"/>
  <c r="CW94" i="5"/>
  <c r="D81" i="5"/>
  <c r="AI82" i="5"/>
  <c r="EP89" i="5"/>
  <c r="AU74" i="5"/>
  <c r="EL70" i="5"/>
  <c r="AB71" i="5"/>
  <c r="CI84" i="5"/>
  <c r="BK67" i="5"/>
  <c r="CL93" i="5"/>
  <c r="DJ76" i="5"/>
  <c r="K84" i="5"/>
  <c r="DO98" i="5"/>
  <c r="BI65" i="5"/>
  <c r="BJ87" i="5"/>
  <c r="FQ72" i="5"/>
  <c r="CY72" i="5"/>
  <c r="DQ92" i="5"/>
  <c r="DH88" i="5"/>
  <c r="EY66" i="5"/>
  <c r="BF71" i="5"/>
  <c r="X72" i="5"/>
  <c r="BA70" i="5"/>
  <c r="O89" i="5"/>
  <c r="DX95" i="5"/>
  <c r="EI95" i="5"/>
  <c r="AL69" i="5"/>
  <c r="AW83" i="5"/>
  <c r="ER72" i="5"/>
  <c r="D73" i="5"/>
  <c r="FM83" i="5"/>
  <c r="EZ71" i="5"/>
  <c r="CW96" i="5"/>
  <c r="AH67" i="5"/>
  <c r="DG70" i="5"/>
  <c r="FK81" i="5"/>
  <c r="DQ86" i="5"/>
  <c r="FD93" i="5"/>
  <c r="B71" i="5"/>
  <c r="EW69" i="5"/>
  <c r="ES91" i="5"/>
  <c r="FT98" i="5"/>
  <c r="AM91" i="5"/>
  <c r="FP69" i="5"/>
  <c r="ET76" i="5"/>
  <c r="DT78" i="5"/>
  <c r="BZ81" i="5"/>
  <c r="CJ75" i="5"/>
  <c r="BU92" i="5"/>
  <c r="CA82" i="5"/>
  <c r="V69" i="5"/>
  <c r="L83" i="5"/>
  <c r="EN73" i="5"/>
  <c r="ET96" i="5"/>
  <c r="CQ96" i="5"/>
  <c r="BO75" i="5"/>
  <c r="AW93" i="5"/>
  <c r="CX82" i="5"/>
  <c r="EQ94" i="5"/>
  <c r="K86" i="5"/>
  <c r="DN72" i="5"/>
  <c r="DE89" i="5"/>
  <c r="FO66" i="5"/>
  <c r="T95" i="5"/>
  <c r="CP88" i="5"/>
  <c r="AQ84" i="5"/>
  <c r="AG91" i="5"/>
  <c r="ES72" i="5"/>
  <c r="CF73" i="5"/>
  <c r="ES98" i="5"/>
  <c r="CG92" i="5"/>
  <c r="V97" i="5"/>
  <c r="DY70" i="5"/>
  <c r="FL80" i="5"/>
  <c r="DN89" i="5"/>
  <c r="P83" i="5"/>
  <c r="DE95" i="5"/>
  <c r="BN70" i="5"/>
  <c r="AK98" i="5"/>
  <c r="D78" i="5"/>
  <c r="D97" i="5"/>
  <c r="BZ98" i="5"/>
  <c r="FJ88" i="5"/>
  <c r="CT83" i="5"/>
  <c r="T87" i="5"/>
  <c r="AJ84" i="5"/>
  <c r="FC70" i="5"/>
  <c r="AR89" i="5"/>
  <c r="DF89" i="5"/>
  <c r="BY84" i="5"/>
  <c r="EB92" i="5"/>
  <c r="DL90" i="5"/>
  <c r="FF93" i="5"/>
  <c r="CF65" i="5"/>
  <c r="C84" i="5"/>
  <c r="FR73" i="5"/>
  <c r="BP97" i="5"/>
  <c r="FI95" i="5"/>
  <c r="L75" i="5"/>
  <c r="AC89" i="5"/>
  <c r="CM86" i="5"/>
  <c r="CW98" i="5"/>
  <c r="CO75" i="5"/>
  <c r="AM70" i="5"/>
  <c r="DD95" i="5"/>
  <c r="AS88" i="5"/>
  <c r="EG84" i="5"/>
  <c r="BI98" i="5"/>
  <c r="AE90" i="5"/>
  <c r="BN87" i="5"/>
  <c r="CL81" i="5"/>
  <c r="DS78" i="5"/>
  <c r="EF73" i="5"/>
  <c r="DP77" i="5"/>
  <c r="DG98" i="5"/>
  <c r="DE91" i="5"/>
  <c r="X92" i="5"/>
  <c r="DR78" i="5"/>
  <c r="AA93" i="5"/>
  <c r="CK87" i="5"/>
  <c r="CT93" i="5"/>
  <c r="DE83" i="5"/>
  <c r="B69" i="5"/>
  <c r="N76" i="5"/>
  <c r="EW97" i="5"/>
  <c r="AM81" i="5"/>
  <c r="EQ77" i="5"/>
  <c r="AR84" i="5"/>
  <c r="DU65" i="5"/>
  <c r="EB82" i="5"/>
  <c r="CL75" i="5"/>
  <c r="ET73" i="5"/>
  <c r="FJ95" i="5"/>
  <c r="CB88" i="5"/>
  <c r="ED74" i="5"/>
  <c r="Q76" i="5"/>
  <c r="X84" i="5"/>
  <c r="DV96" i="5"/>
  <c r="EB83" i="5"/>
  <c r="EY88" i="5"/>
  <c r="DP69" i="5"/>
  <c r="C82" i="5"/>
  <c r="Y79" i="5"/>
  <c r="FE65" i="5"/>
  <c r="FK80" i="5"/>
  <c r="K71" i="5"/>
  <c r="CO84" i="5"/>
  <c r="AC73" i="5"/>
  <c r="EW96" i="5"/>
  <c r="AO86" i="5"/>
  <c r="L70" i="5"/>
  <c r="BG72" i="5"/>
  <c r="EB66" i="5"/>
  <c r="CK68" i="5"/>
  <c r="BE84" i="5"/>
  <c r="BS92" i="5"/>
  <c r="BQ71" i="5"/>
  <c r="FK66" i="5"/>
  <c r="ER76" i="5"/>
  <c r="N77" i="5"/>
  <c r="E93" i="5"/>
  <c r="Q77" i="5"/>
  <c r="CB98" i="5"/>
  <c r="BA92" i="5"/>
  <c r="FF89" i="5"/>
  <c r="CH92" i="5"/>
  <c r="EA67" i="5"/>
  <c r="CE84" i="5"/>
  <c r="AA78" i="5"/>
  <c r="Y82" i="5"/>
  <c r="EE71" i="5"/>
  <c r="EI83" i="5"/>
  <c r="EV65" i="5"/>
  <c r="FF91" i="5"/>
  <c r="CE77" i="5"/>
  <c r="EX82" i="5"/>
  <c r="AH86" i="5"/>
  <c r="BG90" i="5"/>
  <c r="AP84" i="5"/>
  <c r="EJ95" i="5"/>
  <c r="BT83" i="5"/>
  <c r="AR75" i="5"/>
  <c r="FM78" i="5"/>
  <c r="BW91" i="5"/>
  <c r="CR82" i="5"/>
  <c r="BE66" i="5"/>
  <c r="CS72" i="5"/>
  <c r="CP93" i="5"/>
  <c r="FA74" i="5"/>
  <c r="CI95" i="5"/>
  <c r="CB66" i="5"/>
  <c r="CO70" i="5"/>
  <c r="DW71" i="5"/>
  <c r="BL86" i="5"/>
  <c r="CV71" i="5"/>
  <c r="Y70" i="5"/>
  <c r="FG80" i="5"/>
  <c r="DK86" i="5"/>
  <c r="FA83" i="5"/>
  <c r="CN77" i="5"/>
  <c r="BK98" i="5"/>
  <c r="U70" i="5"/>
  <c r="AN88" i="5"/>
  <c r="AS76" i="5"/>
  <c r="CY79" i="5"/>
  <c r="BE70" i="5"/>
  <c r="EK93" i="5"/>
  <c r="BD90" i="5"/>
  <c r="AT78" i="5"/>
  <c r="BG85" i="5"/>
  <c r="DU88" i="5"/>
  <c r="FP97" i="5"/>
  <c r="AR95" i="5"/>
  <c r="EG93" i="5"/>
  <c r="CG76" i="5"/>
  <c r="CR80" i="5"/>
  <c r="BN76" i="5"/>
  <c r="DA94" i="5"/>
  <c r="BR73" i="5"/>
  <c r="EF97" i="5"/>
  <c r="EW83" i="5"/>
  <c r="CF76" i="5"/>
  <c r="N74" i="5"/>
  <c r="DX69" i="5"/>
  <c r="CU75" i="5"/>
  <c r="B76" i="5"/>
  <c r="EG68" i="5"/>
  <c r="BD85" i="5"/>
  <c r="AR83" i="5"/>
  <c r="ED65" i="5"/>
  <c r="DV90" i="5"/>
  <c r="CQ95" i="5"/>
  <c r="EC93" i="5"/>
  <c r="U82" i="5"/>
  <c r="CF72" i="5"/>
  <c r="FI70" i="5"/>
  <c r="DC66" i="5"/>
  <c r="AK71" i="5"/>
  <c r="AS85" i="5"/>
  <c r="CM77" i="5"/>
  <c r="CM94" i="5"/>
  <c r="Z82" i="5"/>
  <c r="I81" i="5"/>
  <c r="FF83" i="5"/>
  <c r="CS92" i="5"/>
  <c r="BP73" i="5"/>
  <c r="EW80" i="5"/>
  <c r="AM87" i="5"/>
  <c r="AL93" i="5"/>
  <c r="AE65" i="5"/>
  <c r="Z76" i="5"/>
  <c r="CE88" i="5"/>
  <c r="CS68" i="5"/>
  <c r="DT85" i="5"/>
  <c r="DG79" i="5"/>
  <c r="BV79" i="5"/>
  <c r="DB73" i="5"/>
  <c r="AA94" i="5"/>
  <c r="EG72" i="5"/>
  <c r="BM65" i="5"/>
  <c r="CO78" i="5"/>
  <c r="L98" i="5"/>
  <c r="DN65" i="5"/>
  <c r="AQ86" i="5"/>
  <c r="BG95" i="5"/>
  <c r="CM65" i="5"/>
  <c r="DV88" i="5"/>
  <c r="E94" i="5"/>
  <c r="CQ77" i="5"/>
  <c r="DS83" i="5"/>
  <c r="EU94" i="5"/>
  <c r="Y77" i="5"/>
  <c r="DX92" i="5"/>
  <c r="BQ83" i="5"/>
  <c r="T72" i="5"/>
  <c r="BC88" i="5"/>
  <c r="BI77" i="5"/>
  <c r="Y94" i="5"/>
  <c r="CC94" i="5"/>
  <c r="CA73" i="5"/>
  <c r="EH90" i="5"/>
  <c r="BH87" i="5"/>
  <c r="CK94" i="5"/>
  <c r="AK77" i="5"/>
  <c r="CV74" i="5"/>
  <c r="R72" i="5"/>
  <c r="DT73" i="5"/>
  <c r="BC84" i="5"/>
  <c r="EI70" i="5"/>
  <c r="FM71" i="5"/>
  <c r="CY81" i="5"/>
  <c r="EY77" i="5"/>
  <c r="FT70" i="5"/>
  <c r="AY94" i="5"/>
  <c r="BM85" i="5"/>
  <c r="CJ81" i="5"/>
  <c r="X67" i="5"/>
  <c r="AQ80" i="5"/>
  <c r="EO78" i="5"/>
  <c r="BB90" i="5"/>
  <c r="DA69" i="5"/>
  <c r="CA94" i="5"/>
  <c r="EL84" i="5"/>
  <c r="I65" i="5"/>
  <c r="Z66" i="5"/>
  <c r="DQ73" i="5"/>
  <c r="DO82" i="5"/>
  <c r="EQ81" i="5"/>
  <c r="AX80" i="5"/>
  <c r="FM85" i="5"/>
  <c r="FG96" i="5"/>
  <c r="AR81" i="5"/>
  <c r="AS79" i="5"/>
  <c r="AX94" i="5"/>
  <c r="AA82" i="5"/>
  <c r="BT68" i="5"/>
  <c r="EQ96" i="5"/>
  <c r="DQ88" i="5"/>
  <c r="EZ78" i="5"/>
  <c r="CU73" i="5"/>
  <c r="AK70" i="5"/>
  <c r="BV93" i="5"/>
  <c r="BG98" i="5"/>
  <c r="BW93" i="5"/>
  <c r="AM85" i="5"/>
  <c r="AU81" i="5"/>
  <c r="BT92" i="5"/>
  <c r="EO66" i="5"/>
  <c r="FG91" i="5"/>
  <c r="DV71" i="5"/>
  <c r="W65" i="5"/>
  <c r="AL75" i="5"/>
  <c r="D92" i="5"/>
  <c r="AI71" i="5"/>
  <c r="BS77" i="5"/>
  <c r="EU68" i="5"/>
  <c r="B72" i="5"/>
  <c r="DB88" i="5"/>
  <c r="AI98" i="5"/>
  <c r="CN74" i="5"/>
  <c r="AY67" i="5"/>
  <c r="DL80" i="5"/>
  <c r="AN89" i="5"/>
  <c r="CQ88" i="5"/>
  <c r="BG67" i="5"/>
  <c r="DH71" i="5"/>
  <c r="V84" i="5"/>
  <c r="BH84" i="5"/>
  <c r="CL82" i="5"/>
  <c r="AC75" i="5"/>
  <c r="BX87" i="5"/>
  <c r="FS86" i="5"/>
  <c r="EK75" i="5"/>
  <c r="CF93" i="5"/>
  <c r="DU81" i="5"/>
  <c r="BQ74" i="5"/>
  <c r="AJ65" i="5"/>
  <c r="DC84" i="5"/>
  <c r="BB80" i="5"/>
  <c r="DL65" i="5"/>
  <c r="E68" i="5"/>
  <c r="BN72" i="5"/>
  <c r="Q69" i="5"/>
  <c r="BS68" i="5"/>
  <c r="BM84" i="5"/>
  <c r="DP72" i="5"/>
  <c r="BK80" i="5"/>
  <c r="U68" i="5"/>
  <c r="EO82" i="5"/>
  <c r="CT67" i="5"/>
  <c r="AN80" i="5"/>
  <c r="EG78" i="5"/>
  <c r="AS67" i="5"/>
  <c r="FG75" i="5"/>
  <c r="FT69" i="5"/>
  <c r="DK98" i="5"/>
  <c r="EJ81" i="5"/>
  <c r="AZ91" i="5"/>
  <c r="EP72" i="5"/>
  <c r="AP94" i="5"/>
  <c r="BO91" i="5"/>
  <c r="C91" i="5"/>
  <c r="CP72" i="5"/>
  <c r="BJ66" i="5"/>
  <c r="EE84" i="5"/>
  <c r="S67" i="5"/>
  <c r="CO67" i="5"/>
  <c r="EU67" i="5"/>
  <c r="CF67" i="5"/>
  <c r="DV77" i="5"/>
  <c r="CO71" i="5"/>
  <c r="AS72" i="5"/>
  <c r="FM65" i="5"/>
  <c r="W95" i="5"/>
  <c r="FJ75" i="5"/>
  <c r="AE96" i="5"/>
  <c r="AK93" i="5"/>
  <c r="DA65" i="5"/>
  <c r="BT84" i="5"/>
  <c r="DY98" i="5"/>
  <c r="FS83" i="5"/>
  <c r="AL81" i="5"/>
  <c r="FG71" i="5"/>
  <c r="X80" i="5"/>
  <c r="DI68" i="5"/>
  <c r="AY65" i="5"/>
  <c r="AA91" i="5"/>
  <c r="C79" i="5"/>
  <c r="FA77" i="5"/>
  <c r="BP72" i="5"/>
  <c r="FI80" i="5"/>
  <c r="ET83" i="5"/>
  <c r="Z74" i="5"/>
  <c r="AO95" i="5"/>
  <c r="W70" i="5"/>
  <c r="CB92" i="5"/>
  <c r="AD93" i="5"/>
  <c r="AV66" i="5"/>
  <c r="E83" i="5"/>
  <c r="EO79" i="5"/>
  <c r="DI94" i="5"/>
  <c r="BQ90" i="5"/>
  <c r="BZ83" i="5"/>
  <c r="FQ83" i="5"/>
  <c r="DF96" i="5"/>
  <c r="EO83" i="5"/>
  <c r="DJ66" i="5"/>
  <c r="DE93" i="5"/>
  <c r="CB67" i="5"/>
  <c r="CX66" i="5"/>
  <c r="ED71" i="5"/>
  <c r="DN77" i="5"/>
  <c r="BH66" i="5"/>
  <c r="DP88" i="5"/>
  <c r="EI69" i="5"/>
  <c r="FC72" i="5"/>
  <c r="AC71" i="5"/>
  <c r="FR72" i="5"/>
  <c r="BI90" i="5"/>
  <c r="AB97" i="5"/>
  <c r="Q90" i="5"/>
  <c r="CY82" i="5"/>
  <c r="EF68" i="5"/>
  <c r="V77" i="5"/>
  <c r="FC65" i="5"/>
  <c r="C83" i="5"/>
  <c r="P91" i="5"/>
  <c r="DD69" i="5"/>
  <c r="AG71" i="5"/>
  <c r="FR83" i="5"/>
  <c r="AX81" i="5"/>
  <c r="AL65" i="5"/>
  <c r="FL90" i="5"/>
  <c r="CA85" i="5"/>
  <c r="CN90" i="5"/>
  <c r="AW69" i="5"/>
  <c r="ED84" i="5"/>
  <c r="DJ68" i="5"/>
  <c r="EJ72" i="5"/>
  <c r="Q73" i="5"/>
  <c r="U77" i="5"/>
  <c r="FB98" i="5"/>
  <c r="FR81" i="5"/>
  <c r="CJ84" i="5"/>
  <c r="FB85" i="5"/>
  <c r="CO89" i="5"/>
  <c r="FF82" i="5"/>
  <c r="DF78" i="5"/>
  <c r="BK90" i="5"/>
  <c r="BB86" i="5"/>
  <c r="FG95" i="5"/>
  <c r="Z73" i="5"/>
  <c r="CP92" i="5"/>
  <c r="BF94" i="5"/>
  <c r="FC71" i="5"/>
  <c r="DV95" i="5"/>
  <c r="DV94" i="5"/>
  <c r="BS82" i="5"/>
  <c r="CA87" i="5"/>
  <c r="DN87" i="5"/>
  <c r="DJ78" i="5"/>
  <c r="BH80" i="5"/>
  <c r="AB70" i="5"/>
  <c r="FD68" i="5"/>
  <c r="EF94" i="5"/>
  <c r="DB96" i="5"/>
  <c r="BE74" i="5"/>
  <c r="BP89" i="5"/>
  <c r="FB69" i="5"/>
  <c r="CF69" i="5"/>
  <c r="CP78" i="5"/>
  <c r="S75" i="5"/>
  <c r="FS82" i="5"/>
  <c r="EG82" i="5"/>
  <c r="EQ93" i="5"/>
  <c r="CZ72" i="5"/>
  <c r="AE71" i="5"/>
  <c r="FR70" i="5"/>
  <c r="CF68" i="5"/>
  <c r="BH85" i="5"/>
  <c r="CB85" i="5"/>
  <c r="BD84" i="5"/>
  <c r="AS69" i="5"/>
  <c r="CU78" i="5"/>
  <c r="FK96" i="5"/>
  <c r="DJ91" i="5"/>
  <c r="BB65" i="5"/>
  <c r="CB78" i="5"/>
  <c r="EJ67" i="5"/>
  <c r="EF80" i="5"/>
  <c r="U87" i="5"/>
  <c r="AN86" i="5"/>
  <c r="DK87" i="5"/>
  <c r="AO72" i="5"/>
  <c r="EI67" i="5"/>
  <c r="AJ71" i="5"/>
  <c r="ED72" i="5"/>
  <c r="DL97" i="5"/>
  <c r="DG95" i="5"/>
  <c r="CU77" i="5"/>
  <c r="FC87" i="5"/>
  <c r="BV86" i="5"/>
  <c r="EW95" i="5"/>
  <c r="P70" i="5"/>
  <c r="E86" i="5"/>
  <c r="CW74" i="5"/>
  <c r="EQ67" i="5"/>
  <c r="DH94" i="5"/>
  <c r="EK94" i="5"/>
  <c r="FE79" i="5"/>
  <c r="CV91" i="5"/>
  <c r="FR82" i="5"/>
  <c r="BS78" i="5"/>
  <c r="AP97" i="5"/>
  <c r="FH67" i="5"/>
  <c r="CS67" i="5"/>
  <c r="BB94" i="5"/>
  <c r="CH96" i="5"/>
  <c r="FR65" i="5"/>
  <c r="EZ85" i="5"/>
  <c r="BB71" i="5"/>
  <c r="S94" i="5"/>
  <c r="CL85" i="5"/>
  <c r="DB97" i="5"/>
  <c r="DS86" i="5"/>
  <c r="AL71" i="5"/>
  <c r="DI73" i="5"/>
  <c r="FL82" i="5"/>
  <c r="AF98" i="5"/>
  <c r="AD74" i="5"/>
  <c r="P86" i="5"/>
  <c r="EP68" i="5"/>
  <c r="FD92" i="5"/>
  <c r="FQ68" i="5"/>
  <c r="CF74" i="5"/>
  <c r="AI91" i="5"/>
  <c r="DP98" i="5"/>
  <c r="CA66" i="5"/>
  <c r="BA93" i="5"/>
  <c r="U95" i="5"/>
  <c r="DJ80" i="5"/>
  <c r="BF93" i="5"/>
  <c r="DA85" i="5"/>
  <c r="BA81" i="5"/>
  <c r="FI83" i="5"/>
  <c r="ET90" i="5"/>
  <c r="BF82" i="5"/>
  <c r="BZ75" i="5"/>
  <c r="DK97" i="5"/>
  <c r="BG80" i="5"/>
  <c r="DF87" i="5"/>
  <c r="EK91" i="5"/>
  <c r="BW73" i="5"/>
  <c r="L87" i="5"/>
  <c r="AT85" i="5"/>
  <c r="AU78" i="5"/>
  <c r="CN79" i="5"/>
  <c r="AL72" i="5"/>
  <c r="BC70" i="5"/>
  <c r="CW68" i="5"/>
  <c r="EA79" i="5"/>
  <c r="DH72" i="5"/>
  <c r="P67" i="5"/>
  <c r="DS82" i="5"/>
  <c r="DJ79" i="5"/>
  <c r="EK67" i="5"/>
  <c r="FA76" i="5"/>
  <c r="V72" i="5"/>
  <c r="EM83" i="5"/>
  <c r="CS77" i="5"/>
  <c r="DU78" i="5"/>
  <c r="BL69" i="5"/>
  <c r="BH76" i="5"/>
  <c r="FT68" i="5"/>
  <c r="X90" i="5"/>
  <c r="D83" i="5"/>
  <c r="FH87" i="5"/>
  <c r="FH86" i="5"/>
  <c r="AU66" i="5"/>
  <c r="I73" i="5"/>
  <c r="EC69" i="5"/>
  <c r="DY81" i="5"/>
  <c r="BY82" i="5"/>
  <c r="BJ75" i="5"/>
  <c r="BW75" i="5"/>
  <c r="ER95" i="5"/>
  <c r="DX66" i="5"/>
  <c r="L79" i="5"/>
  <c r="DX94" i="5"/>
  <c r="CJ87" i="5"/>
  <c r="X82" i="5"/>
  <c r="EJ98" i="5"/>
  <c r="CF86" i="5"/>
  <c r="EE87" i="5"/>
  <c r="BJ96" i="5"/>
  <c r="BT88" i="5"/>
  <c r="E92" i="5"/>
  <c r="AE75" i="5"/>
  <c r="CX86" i="5"/>
  <c r="EM87" i="5"/>
  <c r="V91" i="5"/>
  <c r="CB77" i="5"/>
  <c r="BW68" i="5"/>
  <c r="EY73" i="5"/>
  <c r="CR70" i="5"/>
  <c r="DY95" i="5"/>
  <c r="FB72" i="5"/>
  <c r="BK94" i="5"/>
  <c r="BT86" i="5"/>
  <c r="FG90" i="5"/>
  <c r="CQ75" i="5"/>
  <c r="CZ77" i="5"/>
  <c r="AK75" i="5"/>
  <c r="FS89" i="5"/>
  <c r="DI96" i="5"/>
  <c r="AJ74" i="5"/>
  <c r="AY77" i="5"/>
  <c r="ED85" i="5"/>
  <c r="EZ75" i="5"/>
  <c r="CC86" i="5"/>
  <c r="CE69" i="5"/>
  <c r="AZ84" i="5"/>
  <c r="FT76" i="5"/>
  <c r="ER87" i="5"/>
  <c r="AE77" i="5"/>
  <c r="DF82" i="5"/>
  <c r="BC93" i="5"/>
  <c r="DC82" i="5"/>
  <c r="EI93" i="5"/>
  <c r="CC66" i="5"/>
  <c r="AQ91" i="5"/>
  <c r="EV68" i="5"/>
  <c r="AT91" i="5"/>
  <c r="R73" i="5"/>
  <c r="M90" i="5"/>
  <c r="BJ76" i="5"/>
  <c r="D90" i="5"/>
  <c r="DF85" i="5"/>
  <c r="Q67" i="5"/>
  <c r="BS87" i="5"/>
  <c r="EJ65" i="5"/>
  <c r="EL95" i="5"/>
  <c r="AL67" i="5"/>
  <c r="FP79" i="5"/>
  <c r="FG83" i="5"/>
  <c r="FT89" i="5"/>
  <c r="EO86" i="5"/>
  <c r="EH94" i="5"/>
  <c r="CH76" i="5"/>
  <c r="CS87" i="5"/>
  <c r="BJ72" i="5"/>
  <c r="AW82" i="5"/>
  <c r="FH77" i="5"/>
  <c r="EY98" i="5"/>
  <c r="DD77" i="5"/>
  <c r="FQ92" i="5"/>
  <c r="R87" i="5"/>
  <c r="CN82" i="5"/>
  <c r="L94" i="5"/>
  <c r="ED69" i="5"/>
  <c r="DN85" i="5"/>
  <c r="AQ78" i="5"/>
  <c r="R76" i="5"/>
  <c r="CL89" i="5"/>
  <c r="FN69" i="5"/>
  <c r="V67" i="5"/>
  <c r="E67" i="5"/>
  <c r="DT77" i="5"/>
  <c r="AE88" i="5"/>
  <c r="AC80" i="5"/>
  <c r="ER77" i="5"/>
  <c r="AT92" i="5"/>
  <c r="EC77" i="5"/>
  <c r="BW70" i="5"/>
  <c r="EE88" i="5"/>
  <c r="DR81" i="5"/>
  <c r="EH70" i="5"/>
  <c r="EQ71" i="5"/>
  <c r="BA77" i="5"/>
  <c r="BB78" i="5"/>
  <c r="AR73" i="5"/>
  <c r="X98" i="5"/>
  <c r="FM68" i="5"/>
  <c r="AJ76" i="5"/>
  <c r="DE88" i="5"/>
  <c r="CN81" i="5"/>
  <c r="EK73" i="5"/>
  <c r="FO89" i="5"/>
  <c r="V90" i="5"/>
  <c r="AO84" i="5"/>
  <c r="AV77" i="5"/>
  <c r="S88" i="5"/>
  <c r="CI75" i="5"/>
  <c r="Y93" i="5"/>
  <c r="FG77" i="5"/>
  <c r="CT88" i="5"/>
  <c r="FF98" i="5"/>
  <c r="DE72" i="5"/>
  <c r="CF66" i="5"/>
  <c r="CH71" i="5"/>
  <c r="ES78" i="5"/>
  <c r="DZ84" i="5"/>
  <c r="AF74" i="5"/>
  <c r="BP92" i="5"/>
  <c r="BW89" i="5"/>
  <c r="EE96" i="5"/>
  <c r="CA84" i="5"/>
  <c r="EZ70" i="5"/>
  <c r="CK70" i="5"/>
  <c r="DB78" i="5"/>
  <c r="B68" i="5"/>
  <c r="EF92" i="5"/>
  <c r="EB95" i="5"/>
  <c r="AA66" i="5"/>
  <c r="EN79" i="5"/>
  <c r="AN90" i="5"/>
  <c r="J76" i="5"/>
  <c r="DO84" i="5"/>
  <c r="AZ85" i="5"/>
  <c r="AC93" i="5"/>
  <c r="DE79" i="5"/>
  <c r="FO81" i="5"/>
  <c r="CN92" i="5"/>
  <c r="BB89" i="5"/>
  <c r="EK81" i="5"/>
  <c r="CD72" i="5"/>
  <c r="EC85" i="5"/>
  <c r="DH73" i="5"/>
  <c r="DC73" i="5"/>
  <c r="AA72" i="5"/>
  <c r="EF88" i="5"/>
  <c r="FN96" i="5"/>
  <c r="EC98" i="5"/>
  <c r="BC68" i="5"/>
  <c r="P96" i="5"/>
  <c r="CX75" i="5"/>
  <c r="BN69" i="5"/>
  <c r="FB70" i="5"/>
  <c r="BE76" i="5"/>
  <c r="FT74" i="5"/>
  <c r="EO95" i="5"/>
  <c r="AU68" i="5"/>
  <c r="BS86" i="5"/>
  <c r="EL78" i="5"/>
  <c r="BX80" i="5"/>
  <c r="EO96" i="5"/>
  <c r="CF90" i="5"/>
  <c r="DW86" i="5"/>
  <c r="DJ72" i="5"/>
  <c r="K73" i="5"/>
  <c r="ER78" i="5"/>
  <c r="O76" i="5"/>
  <c r="EN85" i="5"/>
  <c r="AM89" i="5"/>
  <c r="DQ83" i="5"/>
  <c r="BM98" i="5"/>
  <c r="DB95" i="5"/>
  <c r="DO65" i="5"/>
  <c r="BX74" i="5"/>
  <c r="DX80" i="5"/>
  <c r="CO68" i="5"/>
  <c r="DG74" i="5"/>
  <c r="FQ66" i="5"/>
  <c r="AT97" i="5"/>
  <c r="FA94" i="5"/>
  <c r="FA80" i="5"/>
  <c r="AT70" i="5"/>
  <c r="EY80" i="5"/>
  <c r="BX78" i="5"/>
  <c r="CE68" i="5"/>
  <c r="AI85" i="5"/>
  <c r="BW94" i="5"/>
  <c r="CD92" i="5"/>
  <c r="L84" i="5"/>
  <c r="DO86" i="5"/>
  <c r="CK67" i="5"/>
  <c r="CK82" i="5"/>
  <c r="CD75" i="5"/>
  <c r="AJ73" i="5"/>
  <c r="FS68" i="5"/>
  <c r="CD70" i="5"/>
  <c r="DP92" i="5"/>
  <c r="AY81" i="5"/>
  <c r="B85" i="5"/>
  <c r="CC95" i="5"/>
  <c r="FS84" i="5"/>
  <c r="EH83" i="5"/>
  <c r="FN77" i="5"/>
  <c r="DV65" i="5"/>
  <c r="FC98" i="5"/>
  <c r="FL67" i="5"/>
  <c r="ER69" i="5"/>
  <c r="J87" i="5"/>
  <c r="N69" i="5"/>
  <c r="BP90" i="5"/>
  <c r="FC69" i="5"/>
  <c r="EP85" i="5"/>
  <c r="DJ86" i="5"/>
  <c r="CD69" i="5"/>
  <c r="CA76" i="5"/>
  <c r="CC89" i="5"/>
  <c r="AG88" i="5"/>
  <c r="FF80" i="5"/>
  <c r="I91" i="5"/>
  <c r="DY68" i="5"/>
  <c r="EA89" i="5"/>
  <c r="EK83" i="5"/>
  <c r="DT80" i="5"/>
  <c r="BY74" i="5"/>
  <c r="EG77" i="5"/>
  <c r="CX97" i="5"/>
  <c r="M86" i="5"/>
  <c r="FR86" i="5"/>
  <c r="BL87" i="5"/>
  <c r="CL65" i="5"/>
  <c r="FI67" i="5"/>
  <c r="CL71" i="5"/>
  <c r="FA73" i="5"/>
  <c r="V94" i="5"/>
  <c r="CI67" i="5"/>
  <c r="AV71" i="5"/>
  <c r="DS66" i="5"/>
  <c r="O87" i="5"/>
  <c r="AY72" i="5"/>
  <c r="FL71" i="5"/>
  <c r="EC89" i="5"/>
  <c r="BI72" i="5"/>
  <c r="AT82" i="5"/>
  <c r="CN88" i="5"/>
  <c r="BZ94" i="5"/>
  <c r="EH97" i="5"/>
  <c r="FA81" i="5"/>
  <c r="AF65" i="5"/>
  <c r="CV76" i="5"/>
  <c r="BG68" i="5"/>
  <c r="DG82" i="5"/>
  <c r="EM73" i="5"/>
  <c r="EZ88" i="5"/>
  <c r="DP74" i="5"/>
  <c r="BE91" i="5"/>
  <c r="CQ94" i="5"/>
  <c r="DS80" i="5"/>
  <c r="P82" i="5"/>
  <c r="FP68" i="5"/>
  <c r="CP84" i="5"/>
  <c r="EL92" i="5"/>
  <c r="BH71" i="5"/>
  <c r="EF91" i="5"/>
  <c r="BB88" i="5"/>
  <c r="BC98" i="5"/>
  <c r="AH96" i="5"/>
  <c r="FN79" i="5"/>
  <c r="BV67" i="5"/>
  <c r="BZ82" i="5"/>
  <c r="EU89" i="5"/>
  <c r="AL70" i="5"/>
  <c r="O80" i="5"/>
  <c r="EV97" i="5"/>
  <c r="J74" i="5"/>
  <c r="CU79" i="5"/>
  <c r="EK95" i="5"/>
  <c r="EW84" i="5"/>
  <c r="AL77" i="5"/>
  <c r="AY92" i="5"/>
  <c r="FK86" i="5"/>
  <c r="DY84" i="5"/>
  <c r="BB87" i="5"/>
  <c r="EB93" i="5"/>
  <c r="E75" i="5"/>
  <c r="DA76" i="5"/>
  <c r="DH68" i="5"/>
  <c r="BD79" i="5"/>
  <c r="BU70" i="5"/>
  <c r="FK82" i="5"/>
  <c r="BB96" i="5"/>
  <c r="AX98" i="5"/>
  <c r="J66" i="5"/>
  <c r="FF76" i="5"/>
  <c r="BS80" i="5"/>
  <c r="DI77" i="5"/>
  <c r="BY90" i="5"/>
  <c r="DM87" i="5"/>
  <c r="AW98" i="5"/>
  <c r="BY80" i="5"/>
  <c r="AG97" i="5"/>
  <c r="FN91" i="5"/>
  <c r="E65" i="5"/>
  <c r="FI72" i="5"/>
  <c r="FQ96" i="5"/>
  <c r="EC67" i="5"/>
  <c r="T69" i="5"/>
  <c r="ER75" i="5"/>
  <c r="BA91" i="5"/>
  <c r="DG65" i="5"/>
  <c r="EY67" i="5"/>
  <c r="AS75" i="5"/>
  <c r="BI91" i="5"/>
  <c r="P73" i="5"/>
  <c r="DC67" i="5"/>
  <c r="DH86" i="5"/>
  <c r="ES79" i="5"/>
  <c r="EU66" i="5"/>
  <c r="FO70" i="5"/>
  <c r="EQ90" i="5"/>
  <c r="DW66" i="5"/>
  <c r="BV68" i="5"/>
  <c r="EF82" i="5"/>
  <c r="CJ71" i="5"/>
  <c r="AM88" i="5"/>
  <c r="EE79" i="5"/>
  <c r="BA75" i="5"/>
  <c r="BC69" i="5"/>
  <c r="CE78" i="5"/>
  <c r="BE71" i="5"/>
  <c r="EX89" i="5"/>
  <c r="EY70" i="5"/>
  <c r="CM92" i="5"/>
  <c r="FG98" i="5"/>
  <c r="DO71" i="5"/>
  <c r="AD83" i="5"/>
  <c r="CH80" i="5"/>
  <c r="AC81" i="5"/>
  <c r="EE68" i="5"/>
  <c r="FO82" i="5"/>
  <c r="DR73" i="5"/>
  <c r="FE87" i="5"/>
  <c r="Q68" i="5"/>
  <c r="Z86" i="5"/>
  <c r="AU72" i="5"/>
  <c r="E89" i="5"/>
  <c r="BN86" i="5"/>
  <c r="AW74" i="5"/>
  <c r="CK81" i="5"/>
  <c r="DA91" i="5"/>
  <c r="EM68" i="5"/>
  <c r="AK78" i="5"/>
  <c r="AU70" i="5"/>
  <c r="EJ71" i="5"/>
  <c r="CC70" i="5"/>
  <c r="DZ90" i="5"/>
  <c r="BR72" i="5"/>
  <c r="CI71" i="5"/>
  <c r="CC69" i="5"/>
  <c r="DW90" i="5"/>
  <c r="BD74" i="5"/>
  <c r="Z89" i="5"/>
  <c r="AQ92" i="5"/>
  <c r="AM77" i="5"/>
  <c r="DY73" i="5"/>
  <c r="FN66" i="5"/>
  <c r="DL81" i="5"/>
  <c r="BQ96" i="5"/>
  <c r="BX89" i="5"/>
  <c r="AM90" i="5"/>
  <c r="FO71" i="5"/>
  <c r="DU72" i="5"/>
  <c r="DO90" i="5"/>
  <c r="AD75" i="5"/>
  <c r="D68" i="5"/>
  <c r="CH81" i="5"/>
  <c r="J96" i="5"/>
  <c r="AW86" i="5"/>
  <c r="BW69" i="5"/>
  <c r="EL75" i="5"/>
  <c r="BD96" i="5"/>
  <c r="B91" i="5"/>
  <c r="CH94" i="5"/>
  <c r="CN84" i="5"/>
  <c r="BZ72" i="5"/>
  <c r="FR97" i="5"/>
  <c r="R77" i="5"/>
  <c r="FN80" i="5"/>
  <c r="CZ69" i="5"/>
  <c r="EC74" i="5"/>
  <c r="BP77" i="5"/>
  <c r="DX71" i="5"/>
  <c r="P85" i="5"/>
  <c r="AO69" i="5"/>
  <c r="DD91" i="5"/>
  <c r="AE66" i="5"/>
  <c r="BE89" i="5"/>
  <c r="DC76" i="5"/>
  <c r="FA89" i="5"/>
  <c r="DN97" i="5"/>
  <c r="AE80" i="5"/>
  <c r="DL93" i="5"/>
  <c r="DT84" i="5"/>
  <c r="EJ88" i="5"/>
  <c r="EB86" i="5"/>
  <c r="AO85" i="5"/>
  <c r="BH74" i="5"/>
  <c r="AN77" i="5"/>
  <c r="CS98" i="5"/>
  <c r="BI76" i="5"/>
  <c r="BJ94" i="5"/>
  <c r="EX91" i="5"/>
  <c r="BF77" i="5"/>
  <c r="U86" i="5"/>
  <c r="AT72" i="5"/>
  <c r="K79" i="5"/>
  <c r="DV78" i="5"/>
  <c r="DR89" i="5"/>
  <c r="DK96" i="5"/>
  <c r="FS74" i="5"/>
  <c r="I76" i="5"/>
  <c r="DH90" i="5"/>
  <c r="FF65" i="5"/>
  <c r="BX94" i="5"/>
  <c r="DP78" i="5"/>
  <c r="AU69" i="5"/>
  <c r="AF80" i="5"/>
  <c r="ED75" i="5"/>
  <c r="AS83" i="5"/>
  <c r="Q83" i="5"/>
  <c r="BQ97" i="5"/>
  <c r="S93" i="5"/>
  <c r="BQ87" i="5"/>
  <c r="ES69" i="5"/>
  <c r="EC96" i="5"/>
  <c r="BL80" i="5"/>
  <c r="I86" i="5"/>
  <c r="CW76" i="5"/>
  <c r="S65" i="5"/>
  <c r="BU81" i="5"/>
  <c r="DJ88" i="5"/>
  <c r="ET92" i="5"/>
  <c r="DC72" i="5"/>
  <c r="FD69" i="5"/>
  <c r="EZ73" i="5"/>
  <c r="BH69" i="5"/>
  <c r="FL85" i="5"/>
  <c r="DY77" i="5"/>
  <c r="FH76" i="5"/>
  <c r="FQ81" i="5"/>
  <c r="AY90" i="5"/>
  <c r="BQ69" i="5"/>
  <c r="EM65" i="5"/>
  <c r="AO70" i="5"/>
  <c r="BV83" i="5"/>
  <c r="O91" i="5"/>
  <c r="BF85" i="5"/>
  <c r="J70" i="5"/>
  <c r="ED87" i="5"/>
  <c r="T88" i="5"/>
  <c r="BL74" i="5"/>
  <c r="FK87" i="5"/>
  <c r="Z92" i="5"/>
  <c r="EH92" i="5"/>
  <c r="FD96" i="5"/>
  <c r="AJ88" i="5"/>
  <c r="DE76" i="5"/>
  <c r="Y67" i="5"/>
  <c r="BM66" i="5"/>
  <c r="DS75" i="5"/>
  <c r="EQ92" i="5"/>
  <c r="U73" i="5"/>
  <c r="B78" i="5"/>
  <c r="FR92" i="5"/>
  <c r="AB78" i="5"/>
  <c r="EO88" i="5"/>
  <c r="AC97" i="5"/>
  <c r="CH82" i="5"/>
  <c r="DR76" i="5"/>
  <c r="CS95" i="5"/>
  <c r="AZ74" i="5"/>
  <c r="EL72" i="5"/>
  <c r="Y66" i="5"/>
  <c r="V71" i="5"/>
  <c r="BJ74" i="5"/>
  <c r="N79" i="5"/>
  <c r="FM79" i="5"/>
  <c r="FO93" i="5"/>
  <c r="BG82" i="5"/>
  <c r="BQ88" i="5"/>
  <c r="DK82" i="5"/>
  <c r="BW82" i="5"/>
  <c r="EC90" i="5"/>
  <c r="ED68" i="5"/>
  <c r="BY75" i="5"/>
  <c r="DF92" i="5"/>
  <c r="AQ90" i="5"/>
  <c r="BS85" i="5"/>
  <c r="FF86" i="5"/>
  <c r="DF90" i="5"/>
  <c r="EW74" i="5"/>
  <c r="BB81" i="5"/>
  <c r="DG80" i="5"/>
  <c r="CJ70" i="5"/>
  <c r="FA72" i="5"/>
  <c r="FF84" i="5"/>
  <c r="DX68" i="5"/>
  <c r="P66" i="5"/>
  <c r="DJ92" i="5"/>
  <c r="AS66" i="5"/>
  <c r="DJ87" i="5"/>
  <c r="BH65" i="5"/>
  <c r="CW67" i="5"/>
  <c r="AM74" i="5"/>
  <c r="EO70" i="5"/>
  <c r="BW90" i="5"/>
  <c r="AT66" i="5"/>
  <c r="W67" i="5"/>
  <c r="DO87" i="5"/>
  <c r="DX78" i="5"/>
  <c r="AD88" i="5"/>
  <c r="EL76" i="5"/>
  <c r="DJ85" i="5"/>
  <c r="BO74" i="5"/>
  <c r="EN74" i="5"/>
  <c r="BR88" i="5"/>
  <c r="CI70" i="5"/>
  <c r="CQ71" i="5"/>
  <c r="DQ93" i="5"/>
  <c r="CU67" i="5"/>
  <c r="EQ84" i="5"/>
  <c r="DP71" i="5"/>
  <c r="AR96" i="5"/>
  <c r="EP93" i="5"/>
  <c r="AX87" i="5"/>
  <c r="EB81" i="5"/>
  <c r="CS89" i="5"/>
  <c r="BZ80" i="5"/>
  <c r="DI67" i="5"/>
  <c r="R91" i="5"/>
  <c r="DX98" i="5"/>
  <c r="DB89" i="5"/>
  <c r="BR69" i="5"/>
  <c r="ED81" i="5"/>
  <c r="CB75" i="5"/>
  <c r="S68" i="5"/>
  <c r="BD70" i="5"/>
  <c r="BQ92" i="5"/>
  <c r="BQ86" i="5"/>
  <c r="CM85" i="5"/>
  <c r="EC94" i="5"/>
  <c r="EG87" i="5"/>
  <c r="BL71" i="5"/>
  <c r="EI92" i="5"/>
  <c r="CE98" i="5"/>
  <c r="FT86" i="5"/>
  <c r="BF92" i="5"/>
  <c r="AL80" i="5"/>
  <c r="FT87" i="5"/>
  <c r="BK74" i="5"/>
  <c r="EG91" i="5"/>
  <c r="ED78" i="5"/>
  <c r="BV76" i="5"/>
  <c r="B93" i="5"/>
  <c r="DM86" i="5"/>
  <c r="P87" i="5"/>
  <c r="K92" i="5"/>
  <c r="CC80" i="5"/>
  <c r="AK65" i="5"/>
  <c r="BW80" i="5"/>
  <c r="M94" i="5"/>
  <c r="CC85" i="5"/>
  <c r="AK73" i="5"/>
  <c r="AG72" i="5"/>
  <c r="CG80" i="5"/>
  <c r="J67" i="5"/>
  <c r="AK72" i="5"/>
  <c r="BW81" i="5"/>
  <c r="O96" i="5"/>
  <c r="AT94" i="5"/>
  <c r="T84" i="5"/>
  <c r="C86" i="5"/>
  <c r="AF95" i="5"/>
  <c r="U98" i="5"/>
  <c r="AE69" i="5"/>
  <c r="BR66" i="5"/>
  <c r="CL76" i="5"/>
  <c r="DK69" i="5"/>
  <c r="AO93" i="5"/>
  <c r="ED94" i="5"/>
  <c r="EG71" i="5"/>
  <c r="CH73" i="5"/>
  <c r="DI89" i="5"/>
  <c r="EU87" i="5"/>
  <c r="CG77" i="5"/>
  <c r="FK72" i="5"/>
  <c r="CA98" i="5"/>
  <c r="DE75" i="5"/>
  <c r="FC94" i="5"/>
  <c r="EP66" i="5"/>
  <c r="DA88" i="5"/>
  <c r="CK77" i="5"/>
  <c r="AZ71" i="5"/>
  <c r="FT96" i="5"/>
  <c r="AH79" i="5"/>
  <c r="EA95" i="5"/>
  <c r="BY78" i="5"/>
  <c r="Y73" i="5"/>
  <c r="CZ74" i="5"/>
  <c r="FL76" i="5"/>
  <c r="M92" i="5"/>
  <c r="FQ74" i="5"/>
  <c r="FE67" i="5"/>
  <c r="ED89" i="5"/>
  <c r="DX97" i="5"/>
  <c r="FD78" i="5"/>
  <c r="CK71" i="5"/>
  <c r="EN90" i="5"/>
  <c r="AJ83" i="5"/>
  <c r="AZ90" i="5"/>
  <c r="CV83" i="5"/>
  <c r="AQ88" i="5"/>
  <c r="FK91" i="5"/>
  <c r="AX65" i="5"/>
  <c r="AC78" i="5"/>
  <c r="BK66" i="5"/>
  <c r="FS91" i="5"/>
  <c r="N91" i="5"/>
  <c r="BQ65" i="5"/>
  <c r="CQ73" i="5"/>
  <c r="BY71" i="5"/>
  <c r="CA89" i="5"/>
  <c r="EU69" i="5"/>
  <c r="DQ65" i="5"/>
  <c r="AE94" i="5"/>
  <c r="AQ95" i="5"/>
  <c r="BN85" i="5"/>
  <c r="M98" i="5"/>
  <c r="BO90" i="5"/>
  <c r="CD73" i="5"/>
  <c r="Y81" i="5"/>
  <c r="BY77" i="5"/>
  <c r="FM87" i="5"/>
  <c r="N96" i="5"/>
  <c r="BG75" i="5"/>
  <c r="DN86" i="5"/>
  <c r="CR83" i="5"/>
  <c r="FI66" i="5"/>
  <c r="CD82" i="5"/>
  <c r="AM75" i="5"/>
  <c r="DL77" i="5"/>
  <c r="BC91" i="5"/>
  <c r="DH69" i="5"/>
  <c r="K90" i="5"/>
  <c r="EY69" i="5"/>
  <c r="CS73" i="5"/>
  <c r="DC81" i="5"/>
  <c r="I68" i="5"/>
  <c r="ES65" i="5"/>
  <c r="Q65" i="5"/>
  <c r="EF96" i="5"/>
  <c r="DD67" i="5"/>
  <c r="FK95" i="5"/>
  <c r="BB76" i="5"/>
  <c r="EI87" i="5"/>
  <c r="EE77" i="5"/>
  <c r="EV79" i="5"/>
  <c r="AQ93" i="5"/>
  <c r="AL73" i="5"/>
  <c r="DN83" i="5"/>
  <c r="AS74" i="5"/>
  <c r="DU69" i="5"/>
  <c r="FS72" i="5"/>
  <c r="DL92" i="5"/>
  <c r="AP93" i="5"/>
  <c r="AO89" i="5"/>
  <c r="FO91" i="5"/>
  <c r="BD88" i="5"/>
  <c r="AU75" i="5"/>
  <c r="AE83" i="5"/>
  <c r="DB92" i="5"/>
  <c r="DR68" i="5"/>
  <c r="EG74" i="5"/>
  <c r="X94" i="5"/>
  <c r="EN84" i="5"/>
  <c r="AM68" i="5"/>
  <c r="BF98" i="5"/>
  <c r="EO75" i="5"/>
  <c r="AR68" i="5"/>
  <c r="N78" i="5"/>
  <c r="FB79" i="5"/>
  <c r="AF97" i="5"/>
  <c r="DT81" i="5"/>
  <c r="CN66" i="5"/>
  <c r="DF66" i="5"/>
  <c r="BY79" i="5"/>
  <c r="FN86" i="5"/>
  <c r="DD68" i="5"/>
  <c r="ET89" i="5"/>
  <c r="AZ67" i="5"/>
  <c r="R93" i="5"/>
  <c r="FF81" i="5"/>
  <c r="AK68" i="5"/>
  <c r="BP67" i="5"/>
  <c r="DW87" i="5"/>
  <c r="FP94" i="5"/>
  <c r="CO69" i="5"/>
  <c r="DV76" i="5"/>
  <c r="DA97" i="5"/>
  <c r="CJ80" i="5"/>
  <c r="DY88" i="5"/>
  <c r="CA86" i="5"/>
  <c r="CF89" i="5"/>
  <c r="DD72" i="5"/>
  <c r="P94" i="5"/>
  <c r="N82" i="5"/>
  <c r="FI84" i="5"/>
  <c r="E90" i="5"/>
  <c r="EK96" i="5"/>
  <c r="CU83" i="5"/>
  <c r="EA81" i="5"/>
  <c r="CV75" i="5"/>
  <c r="CX91" i="5"/>
  <c r="BI88" i="5"/>
  <c r="W86" i="5"/>
  <c r="AY68" i="5"/>
  <c r="AO91" i="5"/>
  <c r="CT76" i="5"/>
  <c r="AR76" i="5"/>
  <c r="EG81" i="5"/>
  <c r="FT92" i="5"/>
  <c r="AP85" i="5"/>
  <c r="CA77" i="5"/>
  <c r="EH74" i="5"/>
  <c r="EU95" i="5"/>
  <c r="FR66" i="5"/>
  <c r="DO70" i="5"/>
  <c r="BV92" i="5"/>
  <c r="CZ87" i="5"/>
  <c r="BX91" i="5"/>
  <c r="EC79" i="5"/>
  <c r="BQ70" i="5"/>
  <c r="FK65" i="5"/>
  <c r="FB88" i="5"/>
  <c r="FJ96" i="5"/>
  <c r="BL92" i="5"/>
  <c r="L66" i="5"/>
  <c r="FP87" i="5"/>
  <c r="EO98" i="5"/>
  <c r="CH89" i="5"/>
  <c r="CI97" i="5"/>
  <c r="FS66" i="5"/>
  <c r="BH68" i="5"/>
  <c r="DP87" i="5"/>
  <c r="DY67" i="5"/>
  <c r="BL77" i="5"/>
  <c r="P78" i="5"/>
  <c r="CU97" i="5"/>
  <c r="EX75" i="5"/>
  <c r="AN72" i="5"/>
  <c r="FB76" i="5"/>
  <c r="AV97" i="5"/>
  <c r="BW86" i="5"/>
  <c r="DC96" i="5"/>
  <c r="CY87" i="5"/>
  <c r="AS98" i="5"/>
  <c r="J81" i="5"/>
  <c r="AJ96" i="5"/>
  <c r="FH79" i="5"/>
  <c r="BZ65" i="5"/>
  <c r="X69" i="5"/>
  <c r="BW97" i="5"/>
  <c r="BV66" i="5"/>
  <c r="AP72" i="5"/>
  <c r="EX78" i="5"/>
  <c r="CK88" i="5"/>
  <c r="DX76" i="5"/>
  <c r="BO65" i="5"/>
  <c r="EM85" i="5"/>
  <c r="EA83" i="5"/>
  <c r="CL98" i="5"/>
  <c r="CM69" i="5"/>
  <c r="CW92" i="5"/>
  <c r="AF86" i="5"/>
  <c r="J79" i="5"/>
  <c r="DG85" i="5"/>
  <c r="DJ65" i="5"/>
  <c r="AX67" i="5"/>
  <c r="AU77" i="5"/>
  <c r="DQ72" i="5"/>
  <c r="AC83" i="5"/>
  <c r="EI86" i="5"/>
  <c r="BV98" i="5"/>
  <c r="FO72" i="5"/>
  <c r="BF89" i="5"/>
  <c r="AA74" i="5"/>
  <c r="EU81" i="5"/>
  <c r="FT80" i="5"/>
  <c r="BS97" i="5"/>
  <c r="CY67" i="5"/>
  <c r="FL81" i="5"/>
  <c r="DW97" i="5"/>
  <c r="EC76" i="5"/>
  <c r="DJ97" i="5"/>
  <c r="DX84" i="5"/>
  <c r="ED67" i="5"/>
  <c r="DB71" i="5"/>
  <c r="BP81" i="5"/>
  <c r="CN76" i="5"/>
  <c r="CR91" i="5"/>
  <c r="Q82" i="5"/>
  <c r="DH77" i="5"/>
  <c r="FJ85" i="5"/>
  <c r="BR94" i="5"/>
  <c r="AJ94" i="5"/>
  <c r="FL98" i="5"/>
  <c r="FT97" i="5"/>
  <c r="BJ78" i="5"/>
  <c r="BC95" i="5"/>
  <c r="CI88" i="5"/>
  <c r="ET72" i="5"/>
  <c r="CS84" i="5"/>
  <c r="BU69" i="5"/>
  <c r="AN78" i="5"/>
  <c r="DO74" i="5"/>
  <c r="BJ77" i="5"/>
  <c r="BQ98" i="5"/>
  <c r="EN81" i="5"/>
  <c r="DY90" i="5"/>
  <c r="BY93" i="5"/>
  <c r="EI73" i="5"/>
  <c r="X71" i="5"/>
  <c r="AJ90" i="5"/>
  <c r="DT82" i="5"/>
  <c r="BT80" i="5"/>
  <c r="CY92" i="5"/>
  <c r="EJ97" i="5"/>
  <c r="DB74" i="5"/>
  <c r="DU98" i="5"/>
  <c r="AU71" i="5"/>
  <c r="BG74" i="5"/>
  <c r="FC76" i="5"/>
  <c r="FT78" i="5"/>
  <c r="BK77" i="5"/>
  <c r="AV73" i="5"/>
  <c r="FI75" i="5"/>
  <c r="AM95" i="5"/>
  <c r="EH71" i="5"/>
  <c r="FO67" i="5"/>
  <c r="ER96" i="5"/>
  <c r="CG85" i="5"/>
  <c r="DE78" i="5"/>
  <c r="EH95" i="5"/>
  <c r="ES96" i="5"/>
  <c r="DP85" i="5"/>
  <c r="CT66" i="5"/>
  <c r="DV68" i="5"/>
  <c r="AX68" i="5"/>
  <c r="EV88" i="5"/>
  <c r="T93" i="5"/>
  <c r="O88" i="5"/>
  <c r="FC78" i="5"/>
  <c r="CA72" i="5"/>
  <c r="EH98" i="5"/>
  <c r="CD96" i="5"/>
  <c r="FA91" i="5"/>
  <c r="CU80" i="5"/>
  <c r="AM69" i="5"/>
  <c r="BL67" i="5"/>
  <c r="EE92" i="5"/>
  <c r="BM93" i="5"/>
  <c r="FF90" i="5"/>
  <c r="CR89" i="5"/>
  <c r="AJ72" i="5"/>
  <c r="EH69" i="5"/>
  <c r="FH65" i="5"/>
  <c r="L88" i="5"/>
  <c r="EB94" i="5"/>
  <c r="DU95" i="5"/>
  <c r="EH66" i="5"/>
  <c r="BX76" i="5"/>
  <c r="EV98" i="5"/>
  <c r="EO69" i="5"/>
  <c r="FR98" i="5"/>
  <c r="L68" i="5"/>
  <c r="E66" i="5"/>
  <c r="CP80" i="5"/>
  <c r="DO79" i="5"/>
  <c r="BL70" i="5"/>
  <c r="EU88" i="5"/>
  <c r="AL88" i="5"/>
  <c r="CU65" i="5"/>
  <c r="AW80" i="5"/>
  <c r="CU74" i="5"/>
  <c r="AQ96" i="5"/>
  <c r="FM81" i="5"/>
  <c r="AF81" i="5"/>
  <c r="CX73" i="5"/>
  <c r="DV92" i="5"/>
  <c r="J77" i="5"/>
  <c r="DC68" i="5"/>
  <c r="FA87" i="5"/>
  <c r="FB82" i="5"/>
  <c r="EK92" i="5"/>
  <c r="CL88" i="5"/>
  <c r="W82" i="5"/>
  <c r="DL69" i="5"/>
  <c r="R97" i="5"/>
  <c r="DV67" i="5"/>
  <c r="BD75" i="5"/>
  <c r="BX69" i="5"/>
  <c r="DT68" i="5"/>
  <c r="DR91" i="5"/>
  <c r="DQ67" i="5"/>
  <c r="EU96" i="5"/>
  <c r="BI75" i="5"/>
  <c r="U89" i="5"/>
  <c r="DI86" i="5"/>
  <c r="EC66" i="5"/>
  <c r="CD83" i="5"/>
  <c r="AO94" i="5"/>
  <c r="BH91" i="5"/>
  <c r="AA76" i="5"/>
  <c r="BZ91" i="5"/>
  <c r="CC90" i="5"/>
  <c r="AY82" i="5"/>
  <c r="BJ97" i="5"/>
  <c r="AG70" i="5"/>
  <c r="AI79" i="5"/>
  <c r="DD93" i="5"/>
  <c r="CD91" i="5"/>
  <c r="AM86" i="5"/>
  <c r="EH85" i="5"/>
  <c r="DF70" i="5"/>
  <c r="DM80" i="5"/>
  <c r="EE67" i="5"/>
  <c r="B66" i="5"/>
  <c r="M76" i="5"/>
  <c r="DM84" i="5"/>
  <c r="FR74" i="5"/>
  <c r="FB97" i="5"/>
  <c r="DB86" i="5"/>
  <c r="BM75" i="5"/>
  <c r="EB69" i="5"/>
  <c r="BU76" i="5"/>
  <c r="AZ88" i="5"/>
  <c r="W71" i="5"/>
  <c r="CT65" i="5"/>
  <c r="CC87" i="5"/>
  <c r="CN75" i="5"/>
  <c r="AC88" i="5"/>
  <c r="AP69" i="5"/>
  <c r="AE67" i="5"/>
  <c r="FI97" i="5"/>
  <c r="AN65" i="5"/>
  <c r="AO79" i="5"/>
  <c r="CP96" i="5"/>
  <c r="BK79" i="5"/>
  <c r="CI89" i="5"/>
  <c r="CT74" i="5"/>
  <c r="CX74" i="5"/>
  <c r="DU85" i="5"/>
  <c r="AJ78" i="5"/>
  <c r="AO97" i="5"/>
  <c r="BC77" i="5"/>
  <c r="AP87" i="5"/>
  <c r="AO67" i="5"/>
  <c r="AI88" i="5"/>
  <c r="AG76" i="5"/>
  <c r="FL95" i="5"/>
  <c r="BG91" i="5"/>
  <c r="AP68" i="5"/>
  <c r="DT90" i="5"/>
  <c r="D96" i="5"/>
  <c r="FI85" i="5"/>
  <c r="FB80" i="5"/>
  <c r="AA88" i="5"/>
  <c r="CM75" i="5"/>
  <c r="DN90" i="5"/>
  <c r="AP75" i="5"/>
  <c r="BF78" i="5"/>
  <c r="AH87" i="5"/>
  <c r="DU75" i="5"/>
  <c r="AA85" i="5"/>
  <c r="AA83" i="5"/>
  <c r="EQ80" i="5"/>
  <c r="CT72" i="5"/>
  <c r="BD86" i="5"/>
  <c r="FF92" i="5"/>
  <c r="X96" i="5"/>
  <c r="BB77" i="5"/>
  <c r="CP81" i="5"/>
  <c r="AL68" i="5"/>
  <c r="CO85" i="5"/>
  <c r="FS67" i="5"/>
  <c r="AD66" i="5"/>
  <c r="CG66" i="5"/>
  <c r="CL94" i="5"/>
  <c r="EQ78" i="5"/>
  <c r="EO71" i="5"/>
  <c r="DL84" i="5"/>
  <c r="FJ82" i="5"/>
  <c r="M82" i="5"/>
  <c r="FH98" i="5"/>
  <c r="J72" i="5"/>
  <c r="AX69" i="5"/>
  <c r="DF86" i="5"/>
  <c r="FO80" i="5"/>
  <c r="FH93" i="5"/>
  <c r="DP86" i="5"/>
  <c r="BT82" i="5"/>
  <c r="EY65" i="5"/>
  <c r="CN65" i="5"/>
  <c r="Z90" i="5"/>
  <c r="DM90" i="5"/>
  <c r="AD84" i="5"/>
  <c r="FT75" i="5"/>
  <c r="AY76" i="5"/>
  <c r="BX85" i="5"/>
  <c r="EP88" i="5"/>
  <c r="CP79" i="5"/>
  <c r="AH94" i="5"/>
  <c r="BG97" i="5"/>
  <c r="FQ93" i="5"/>
  <c r="FQ80" i="5"/>
  <c r="CI77" i="5"/>
  <c r="CG81" i="5"/>
  <c r="M83" i="5"/>
  <c r="E69" i="5"/>
  <c r="T68" i="5"/>
  <c r="ES66" i="5"/>
  <c r="CN83" i="5"/>
  <c r="AG89" i="5"/>
  <c r="DY89" i="5"/>
  <c r="AH80" i="5"/>
  <c r="CO90" i="5"/>
  <c r="AT74" i="5"/>
  <c r="BC89" i="5"/>
  <c r="FJ93" i="5"/>
  <c r="CC98" i="5"/>
  <c r="DL67" i="5"/>
  <c r="CR86" i="5"/>
  <c r="DO67" i="5"/>
  <c r="EB74" i="5"/>
  <c r="CI81" i="5"/>
  <c r="BU77" i="5"/>
  <c r="DP66" i="5"/>
  <c r="EP96" i="5"/>
  <c r="DR74" i="5"/>
  <c r="T98" i="5"/>
  <c r="EL94" i="5"/>
  <c r="DA87" i="5"/>
  <c r="DP68" i="5"/>
  <c r="O86" i="5"/>
  <c r="EL88" i="5"/>
  <c r="EG94" i="5"/>
  <c r="EZ90" i="5"/>
  <c r="DV82" i="5"/>
  <c r="AY83" i="5"/>
  <c r="CJ88" i="5"/>
  <c r="AX92" i="5"/>
  <c r="N86" i="5"/>
  <c r="FT91" i="5"/>
  <c r="FA93" i="5"/>
  <c r="DB83" i="5"/>
  <c r="EC95" i="5"/>
  <c r="EN89" i="5"/>
  <c r="EF95" i="5"/>
  <c r="AQ67" i="5"/>
  <c r="DQ95" i="5"/>
  <c r="DV86" i="5"/>
  <c r="CM93" i="5"/>
  <c r="DC79" i="5"/>
  <c r="EW82" i="5"/>
  <c r="CM72" i="5"/>
  <c r="CU94" i="5"/>
  <c r="DA67" i="5"/>
  <c r="Q70" i="5"/>
  <c r="CW82" i="5"/>
  <c r="CA91" i="5"/>
  <c r="W92" i="5"/>
  <c r="R78" i="5"/>
  <c r="CT84" i="5"/>
  <c r="B67" i="5"/>
  <c r="DA74" i="5"/>
  <c r="FP98" i="5"/>
  <c r="EZ65" i="5"/>
  <c r="EZ87" i="5"/>
  <c r="BK83" i="5"/>
  <c r="AH65" i="5"/>
  <c r="L85" i="5"/>
  <c r="CP90" i="5"/>
  <c r="EN70" i="5"/>
  <c r="EX87" i="5"/>
  <c r="CQ84" i="5"/>
  <c r="BJ92" i="5"/>
  <c r="AP88" i="5"/>
  <c r="BZ85" i="5"/>
  <c r="I77" i="5"/>
  <c r="EM84" i="5"/>
  <c r="FL66" i="5"/>
  <c r="BN66" i="5"/>
  <c r="DS91" i="5"/>
  <c r="EU86" i="5"/>
  <c r="EM72" i="5"/>
  <c r="FL94" i="5"/>
  <c r="ET71" i="5"/>
  <c r="AX73" i="5"/>
  <c r="CI91" i="5"/>
  <c r="DR87" i="5"/>
  <c r="FL74" i="5"/>
  <c r="EV94" i="5"/>
  <c r="CL84" i="5"/>
  <c r="C77" i="5"/>
  <c r="FF71" i="5"/>
  <c r="DG91" i="5"/>
  <c r="EL90" i="5"/>
  <c r="BH86" i="5"/>
  <c r="BP96" i="5"/>
  <c r="AI78" i="5"/>
  <c r="BJ85" i="5"/>
  <c r="DX82" i="5"/>
  <c r="EK84" i="5"/>
  <c r="EH67" i="5"/>
  <c r="CO93" i="5"/>
  <c r="CG78" i="5"/>
  <c r="DI85" i="5"/>
  <c r="FS77" i="5"/>
  <c r="ET66" i="5"/>
  <c r="AU85" i="5"/>
  <c r="X88" i="5"/>
  <c r="ER85" i="5"/>
  <c r="DD71" i="5"/>
  <c r="CV84" i="5"/>
  <c r="DM71" i="5"/>
  <c r="FQ73" i="5"/>
  <c r="DT70" i="5"/>
  <c r="AK89" i="5"/>
  <c r="BV72" i="5"/>
  <c r="CU93" i="5"/>
  <c r="BW85" i="5"/>
  <c r="S95" i="5"/>
  <c r="CW84" i="5"/>
  <c r="FB93" i="5"/>
  <c r="CB93" i="5"/>
  <c r="AA92" i="5"/>
  <c r="M78" i="5"/>
  <c r="AK85" i="5"/>
  <c r="EA80" i="5"/>
  <c r="AZ69" i="5"/>
  <c r="AW96" i="5"/>
  <c r="E80" i="5"/>
  <c r="O95" i="5"/>
  <c r="AE81" i="5"/>
  <c r="DU66" i="5"/>
  <c r="BB68" i="5"/>
  <c r="BO66" i="5"/>
  <c r="FM96" i="5"/>
  <c r="BM92" i="5"/>
  <c r="AK74" i="5"/>
  <c r="DU92" i="5"/>
  <c r="CJ73" i="5"/>
  <c r="EO90" i="5"/>
  <c r="BX75" i="5"/>
  <c r="T73" i="5"/>
  <c r="DK89" i="5"/>
  <c r="J84" i="5"/>
  <c r="AO88" i="5"/>
  <c r="U72" i="5"/>
  <c r="BX73" i="5"/>
  <c r="EX94" i="5"/>
  <c r="CM67" i="5"/>
  <c r="AL66" i="5"/>
  <c r="CM80" i="5"/>
  <c r="BK75" i="5"/>
  <c r="FQ82" i="5"/>
  <c r="FK94" i="5"/>
  <c r="AZ82" i="5"/>
  <c r="EG89" i="5"/>
  <c r="EU74" i="5"/>
  <c r="FK73" i="5"/>
  <c r="EU73" i="5"/>
  <c r="DC75" i="5"/>
  <c r="CO77" i="5"/>
  <c r="EG97" i="5"/>
  <c r="FA85" i="5"/>
  <c r="DO72" i="5"/>
  <c r="AI75" i="5"/>
  <c r="O97" i="5"/>
  <c r="P65" i="5"/>
  <c r="R86" i="5"/>
  <c r="FO96" i="5"/>
  <c r="DY94" i="5"/>
  <c r="FT79" i="5"/>
  <c r="CO65" i="5"/>
  <c r="CJ97" i="5"/>
  <c r="EW76" i="5"/>
  <c r="AC77" i="5"/>
  <c r="DE81" i="5"/>
  <c r="CW91" i="5"/>
  <c r="AW75" i="5"/>
  <c r="W94" i="5"/>
  <c r="BC75" i="5"/>
  <c r="BB84" i="5"/>
  <c r="M84" i="5"/>
  <c r="DT69" i="5"/>
  <c r="W66" i="5"/>
  <c r="FN93" i="5"/>
  <c r="T67" i="5"/>
  <c r="FT72" i="5"/>
  <c r="AM83" i="5"/>
  <c r="D66" i="5"/>
  <c r="I75" i="5"/>
  <c r="CO88" i="5"/>
  <c r="FC67" i="5"/>
  <c r="AX91" i="5"/>
  <c r="DF67" i="5"/>
  <c r="CN93" i="5"/>
  <c r="BX83" i="5"/>
  <c r="CS79" i="5"/>
  <c r="CX68" i="5"/>
  <c r="AZ66" i="5"/>
  <c r="EP76" i="5"/>
  <c r="DO75" i="5"/>
  <c r="EH78" i="5"/>
  <c r="AG78" i="5"/>
  <c r="DT75" i="5"/>
  <c r="BM72" i="5"/>
  <c r="DJ90" i="5"/>
  <c r="R88" i="5"/>
  <c r="R94" i="5"/>
  <c r="EA69" i="5"/>
  <c r="N67" i="5"/>
  <c r="AG90" i="5"/>
  <c r="AD94" i="5"/>
  <c r="DV81" i="5"/>
  <c r="DI75" i="5"/>
  <c r="AD90" i="5"/>
  <c r="FJ68" i="5"/>
  <c r="CC91" i="5"/>
  <c r="Z94" i="5"/>
  <c r="M81" i="5"/>
  <c r="DR67" i="5"/>
  <c r="FK84" i="5"/>
  <c r="AY98" i="5"/>
  <c r="L77" i="5"/>
  <c r="Z93" i="5"/>
  <c r="EM77" i="5"/>
  <c r="AB98" i="5"/>
  <c r="BE80" i="5"/>
  <c r="EZ81" i="5"/>
  <c r="CM79" i="5"/>
  <c r="CY80" i="5"/>
  <c r="AH95" i="5"/>
  <c r="DU74" i="5"/>
  <c r="P74" i="5"/>
  <c r="B98" i="5"/>
  <c r="CP86" i="5"/>
  <c r="FK83" i="5"/>
  <c r="DV80" i="5"/>
  <c r="AB76" i="5"/>
  <c r="AP91" i="5"/>
  <c r="AI90" i="5"/>
  <c r="EM69" i="5"/>
  <c r="BR76" i="5"/>
  <c r="EZ84" i="5"/>
  <c r="AC72" i="5"/>
  <c r="P72" i="5"/>
  <c r="FH66" i="5"/>
  <c r="AU65" i="5"/>
  <c r="BJ79" i="5"/>
  <c r="DE97" i="5"/>
  <c r="BV75" i="5"/>
  <c r="AS94" i="5"/>
  <c r="DB85" i="5"/>
  <c r="AK83" i="5"/>
  <c r="CU85" i="5"/>
  <c r="Y69" i="5"/>
  <c r="K69" i="5"/>
  <c r="DJ95" i="5"/>
  <c r="DI88" i="5"/>
  <c r="CJ86" i="5"/>
  <c r="BG89" i="5"/>
  <c r="EG96" i="5"/>
  <c r="AF66" i="5"/>
  <c r="DC86" i="5"/>
  <c r="AT88" i="5"/>
  <c r="FR68" i="5"/>
  <c r="CR87" i="5"/>
  <c r="AV74" i="5"/>
  <c r="FP93" i="5"/>
  <c r="EV84" i="5"/>
  <c r="DZ70" i="5"/>
  <c r="CY98" i="5"/>
  <c r="FB84" i="5"/>
  <c r="Q66" i="5"/>
  <c r="BP68" i="5"/>
  <c r="CY65" i="5"/>
  <c r="EZ97" i="5"/>
  <c r="BV77" i="5"/>
  <c r="Q74" i="5"/>
  <c r="AP66" i="5"/>
  <c r="L76" i="5"/>
  <c r="CY89" i="5"/>
  <c r="EV87" i="5"/>
  <c r="AO77" i="5"/>
  <c r="BG92" i="5"/>
  <c r="DP79" i="5"/>
  <c r="AH83" i="5"/>
  <c r="DP82" i="5"/>
  <c r="BC74" i="5"/>
  <c r="CB84" i="5"/>
  <c r="FK71" i="5"/>
  <c r="FI86" i="5"/>
  <c r="BG65" i="5"/>
  <c r="FB91" i="5"/>
  <c r="P68" i="5"/>
  <c r="DN79" i="5"/>
  <c r="AU79" i="5"/>
  <c r="R83" i="5"/>
  <c r="BN97" i="5"/>
  <c r="CI79" i="5"/>
  <c r="ET91" i="5"/>
  <c r="BV88" i="5"/>
  <c r="CS85" i="5"/>
  <c r="FD73" i="5"/>
  <c r="ED83" i="5"/>
  <c r="AI86" i="5"/>
  <c r="V81" i="5"/>
  <c r="EK74" i="5"/>
  <c r="W88" i="5"/>
  <c r="T96" i="5"/>
  <c r="EX93" i="5"/>
  <c r="FJ79" i="5"/>
  <c r="AX88" i="5"/>
  <c r="ET85" i="5"/>
  <c r="M72" i="5"/>
  <c r="EK69" i="5"/>
  <c r="FO68" i="5"/>
  <c r="DH95" i="5"/>
  <c r="EX74" i="5"/>
  <c r="DL83" i="5"/>
  <c r="CO76" i="5"/>
  <c r="AQ65" i="5"/>
  <c r="AE92" i="5"/>
  <c r="DR84" i="5"/>
  <c r="CA90" i="5"/>
  <c r="FA69" i="5"/>
  <c r="CL90" i="5"/>
  <c r="FI71" i="5"/>
  <c r="DZ79" i="5"/>
  <c r="EC91" i="5"/>
  <c r="FQ75" i="5"/>
  <c r="BP86" i="5"/>
  <c r="AL94" i="5"/>
  <c r="M69" i="5"/>
  <c r="DT92" i="5"/>
  <c r="EW68" i="5"/>
  <c r="CN98" i="5"/>
  <c r="AW92" i="5"/>
  <c r="DT72" i="5"/>
  <c r="AZ86" i="5"/>
  <c r="M74" i="5"/>
  <c r="FK74" i="5"/>
  <c r="K77" i="5"/>
  <c r="EL73" i="5"/>
  <c r="DZ87" i="5"/>
  <c r="EM81" i="5"/>
  <c r="EJ77" i="5"/>
  <c r="DQ80" i="5"/>
  <c r="FT94" i="5"/>
  <c r="AQ85" i="5"/>
  <c r="EA70" i="5"/>
  <c r="DB77" i="5"/>
  <c r="DB87" i="5"/>
  <c r="ET82" i="5"/>
  <c r="EH91" i="5"/>
  <c r="V83" i="5"/>
  <c r="ER83" i="5"/>
  <c r="EX65" i="5"/>
  <c r="FD86" i="5"/>
  <c r="AC74" i="5"/>
  <c r="DV93" i="5"/>
  <c r="BE67" i="5"/>
  <c r="Q85" i="5"/>
  <c r="EN92" i="5"/>
  <c r="FE89" i="5"/>
  <c r="CQ68" i="5"/>
  <c r="AV79" i="5"/>
  <c r="FB83" i="5"/>
  <c r="CM88" i="5"/>
  <c r="AQ97" i="5"/>
  <c r="T85" i="5"/>
  <c r="CL69" i="5"/>
  <c r="DG81" i="5"/>
  <c r="BZ84" i="5"/>
  <c r="BT76" i="5"/>
  <c r="DQ77" i="5"/>
  <c r="DY76" i="5"/>
  <c r="CV92" i="5"/>
  <c r="CB74" i="5"/>
  <c r="BZ93" i="5"/>
  <c r="BF88" i="5"/>
  <c r="DD96" i="5"/>
  <c r="EL91" i="5"/>
  <c r="CR68" i="5"/>
  <c r="J85" i="5"/>
  <c r="CN71" i="5"/>
  <c r="BO95" i="5"/>
  <c r="BU78" i="5"/>
  <c r="BO73" i="5"/>
  <c r="EL81" i="5"/>
  <c r="BH94" i="5"/>
  <c r="B74" i="5"/>
  <c r="I72" i="5"/>
  <c r="FI68" i="5"/>
  <c r="EV74" i="5"/>
  <c r="AC92" i="5"/>
  <c r="FN83" i="5"/>
  <c r="DZ85" i="5"/>
  <c r="DW95" i="5"/>
  <c r="FH96" i="5"/>
  <c r="FI82" i="5"/>
  <c r="ER84" i="5"/>
  <c r="R89" i="5"/>
  <c r="FN76" i="5"/>
  <c r="EI85" i="5"/>
  <c r="DF88" i="5"/>
  <c r="CT89" i="5"/>
  <c r="BR92" i="5"/>
  <c r="FT66" i="5"/>
  <c r="AG92" i="5"/>
  <c r="P93" i="5"/>
  <c r="FS65" i="5"/>
  <c r="BM68" i="5"/>
  <c r="BV65" i="5"/>
  <c r="AG82" i="5"/>
  <c r="EN65" i="5"/>
  <c r="EP81" i="5"/>
  <c r="DY93" i="5"/>
  <c r="CC76" i="5"/>
  <c r="BM89" i="5"/>
  <c r="EC82" i="5"/>
  <c r="R81" i="5"/>
  <c r="AI68" i="5"/>
  <c r="DX65" i="5"/>
  <c r="DJ71" i="5"/>
  <c r="EW65" i="5"/>
  <c r="FC66" i="5"/>
  <c r="AF71" i="5"/>
  <c r="BE98" i="5"/>
  <c r="K82" i="5"/>
  <c r="FB96" i="5"/>
  <c r="BF97" i="5"/>
  <c r="DD89" i="5"/>
  <c r="BZ86" i="5"/>
  <c r="CF79" i="5"/>
  <c r="AP74" i="5"/>
  <c r="CH88" i="5"/>
  <c r="T81" i="5"/>
  <c r="FJ81" i="5"/>
  <c r="EY78" i="5"/>
  <c r="AM73" i="5"/>
  <c r="DR86" i="5"/>
  <c r="FD65" i="5"/>
  <c r="ER70" i="5"/>
  <c r="ER82" i="5"/>
  <c r="FP71" i="5"/>
  <c r="EN97" i="5"/>
  <c r="DC85" i="5"/>
  <c r="DL95" i="5"/>
  <c r="DH66" i="5"/>
  <c r="CS74" i="5"/>
  <c r="EN78" i="5"/>
  <c r="CQ98" i="5"/>
  <c r="BC96" i="5"/>
  <c r="EY89" i="5"/>
  <c r="AO98" i="5"/>
  <c r="AF87" i="5"/>
  <c r="BO79" i="5"/>
  <c r="FA90" i="5"/>
  <c r="BP76" i="5"/>
  <c r="CF84" i="5"/>
  <c r="EO80" i="5"/>
  <c r="CW79" i="5"/>
  <c r="U94" i="5"/>
  <c r="W98" i="5"/>
  <c r="EA78" i="5"/>
  <c r="FJ70" i="5"/>
  <c r="DY92" i="5"/>
  <c r="CS65" i="5"/>
  <c r="T94" i="5"/>
  <c r="AC87" i="5"/>
  <c r="CO82" i="5"/>
  <c r="DU94" i="5"/>
  <c r="FJ77" i="5"/>
  <c r="BF79" i="5"/>
  <c r="DY65" i="5"/>
  <c r="BN98" i="5"/>
  <c r="DT89" i="5"/>
  <c r="DJ81" i="5"/>
  <c r="AC68" i="5"/>
  <c r="BQ81" i="5"/>
  <c r="Q78" i="5"/>
  <c r="BL84" i="5"/>
  <c r="FP82" i="5"/>
  <c r="P90" i="5"/>
  <c r="EO89" i="5"/>
  <c r="DF83" i="5"/>
  <c r="D86" i="5"/>
  <c r="DD76" i="5"/>
  <c r="FC85" i="5"/>
  <c r="AD85" i="5"/>
  <c r="M67" i="5"/>
  <c r="BR91" i="5"/>
  <c r="FR67" i="5"/>
  <c r="AS92" i="5"/>
  <c r="DT87" i="5"/>
  <c r="S77" i="5"/>
  <c r="O94" i="5"/>
  <c r="DK66" i="5"/>
  <c r="CX87" i="5"/>
  <c r="CY69" i="5"/>
  <c r="EJ86" i="5"/>
  <c r="DP91" i="5"/>
  <c r="AW89" i="5"/>
  <c r="BM80" i="5"/>
  <c r="Q84" i="5"/>
  <c r="BP93" i="5"/>
  <c r="AV86" i="5"/>
  <c r="FI69" i="5"/>
  <c r="FO87" i="5"/>
  <c r="CO73" i="5"/>
  <c r="CH87" i="5"/>
  <c r="D69" i="5"/>
  <c r="AI83" i="5"/>
  <c r="BO96" i="5"/>
  <c r="CP73" i="5"/>
  <c r="BC78" i="5"/>
  <c r="FL78" i="5"/>
  <c r="DG67" i="5"/>
  <c r="AX89" i="5"/>
  <c r="AP81" i="5"/>
  <c r="T75" i="5"/>
  <c r="AC67" i="5"/>
  <c r="Z67" i="5"/>
  <c r="EK65" i="5"/>
  <c r="FN70" i="5"/>
  <c r="AM96" i="5"/>
  <c r="CF70" i="5"/>
  <c r="AV96" i="5"/>
  <c r="CP76" i="5"/>
  <c r="DG72" i="5"/>
  <c r="EF70" i="5"/>
  <c r="FH91" i="5"/>
  <c r="E97" i="5"/>
  <c r="EZ69" i="5"/>
  <c r="CH93" i="5"/>
  <c r="BI84" i="5"/>
  <c r="CJ72" i="5"/>
  <c r="FF66" i="5"/>
  <c r="DO88" i="5"/>
  <c r="DY69" i="5"/>
  <c r="C72" i="5"/>
  <c r="CO80" i="5"/>
  <c r="Z98" i="5"/>
  <c r="BS69" i="5"/>
  <c r="BD94" i="5"/>
  <c r="BC87" i="5"/>
  <c r="DC92" i="5"/>
  <c r="S81" i="5"/>
  <c r="CO86" i="5"/>
  <c r="EU83" i="5"/>
  <c r="CR88" i="5"/>
  <c r="FL65" i="5"/>
  <c r="BX98" i="5"/>
  <c r="CX94" i="5"/>
  <c r="BD78" i="5"/>
  <c r="DA84" i="5"/>
  <c r="CZ98" i="5"/>
  <c r="FN72" i="5"/>
  <c r="AE98" i="5"/>
  <c r="E73" i="5"/>
  <c r="CV80" i="5"/>
  <c r="BA97" i="5"/>
  <c r="CI86" i="5"/>
  <c r="ES76" i="5"/>
  <c r="EU82" i="5"/>
  <c r="EF72" i="5"/>
  <c r="BI83" i="5"/>
  <c r="AV67" i="5"/>
  <c r="DT93" i="5"/>
  <c r="BO72" i="5"/>
  <c r="DL91" i="5"/>
  <c r="DK75" i="5"/>
  <c r="DM96" i="5"/>
  <c r="E81" i="5"/>
  <c r="AD67" i="5"/>
  <c r="CR65" i="5"/>
  <c r="AV84" i="5"/>
  <c r="BV74" i="5"/>
  <c r="EL67" i="5"/>
  <c r="BP98" i="5"/>
  <c r="BO68" i="5"/>
  <c r="J95" i="5"/>
  <c r="CM70" i="5"/>
  <c r="DT86" i="5"/>
  <c r="ER68" i="5"/>
  <c r="AL96" i="5"/>
  <c r="EP80" i="5"/>
  <c r="BB97" i="5"/>
  <c r="DV79" i="5"/>
  <c r="CA69" i="5"/>
  <c r="O79" i="5"/>
  <c r="D75" i="5"/>
  <c r="AJ79" i="5"/>
  <c r="EK98" i="5"/>
  <c r="DD74" i="5"/>
  <c r="DC69" i="5"/>
  <c r="FG93" i="5"/>
  <c r="AQ79" i="5"/>
  <c r="DK91" i="5"/>
  <c r="V88" i="5"/>
  <c r="FF72" i="5"/>
  <c r="CB81" i="5"/>
  <c r="CA78" i="5"/>
  <c r="X81" i="5"/>
  <c r="DK72" i="5"/>
  <c r="AR78" i="5"/>
  <c r="DT98" i="5"/>
  <c r="DU70" i="5"/>
  <c r="EG76" i="5"/>
  <c r="CF77" i="5"/>
  <c r="FP85" i="5"/>
  <c r="EJ89" i="5"/>
  <c r="AJ82" i="5"/>
  <c r="EM75" i="5"/>
  <c r="DR85" i="5"/>
  <c r="FJ65" i="5"/>
  <c r="FB67" i="5"/>
  <c r="BW77" i="5"/>
  <c r="M89" i="5"/>
  <c r="FR85" i="5"/>
  <c r="CI96" i="5"/>
  <c r="EU91" i="5"/>
  <c r="Y98" i="5"/>
  <c r="CY90" i="5"/>
  <c r="C71" i="5"/>
  <c r="FO77" i="5"/>
  <c r="AW70" i="5"/>
  <c r="P95" i="5"/>
  <c r="CH70" i="5"/>
  <c r="FA66" i="5"/>
  <c r="CD84" i="5"/>
  <c r="FQ69" i="5"/>
  <c r="CI90" i="5"/>
  <c r="EW71" i="5"/>
  <c r="EP65" i="5"/>
  <c r="FS94" i="5"/>
  <c r="FE75" i="5"/>
  <c r="FO78" i="5"/>
  <c r="AB72" i="5"/>
  <c r="DQ71" i="5"/>
  <c r="BA83" i="5"/>
  <c r="FR90" i="5"/>
  <c r="AH76" i="5"/>
  <c r="BM96" i="5"/>
  <c r="BY85" i="5"/>
  <c r="FT65" i="5"/>
  <c r="EO72" i="5"/>
  <c r="AC84" i="5"/>
  <c r="FL77" i="5"/>
  <c r="AL82" i="5"/>
  <c r="W97" i="5"/>
  <c r="BG71" i="5"/>
  <c r="EU97" i="5"/>
  <c r="FD80" i="5"/>
  <c r="CU76" i="5"/>
  <c r="CZ71" i="5"/>
  <c r="CZ86" i="5"/>
  <c r="DR75" i="5"/>
  <c r="CV98" i="5"/>
  <c r="BR68" i="5"/>
  <c r="FI91" i="5"/>
  <c r="DJ96" i="5"/>
  <c r="EV77" i="5"/>
  <c r="AZ68" i="5"/>
  <c r="DO93" i="5"/>
  <c r="CB89" i="5"/>
  <c r="CQ69" i="5"/>
  <c r="FJ92" i="5"/>
  <c r="AB66" i="5"/>
  <c r="FG78" i="5"/>
  <c r="BQ66" i="5"/>
  <c r="AH77" i="5"/>
  <c r="BE78" i="5"/>
  <c r="B81" i="5"/>
  <c r="DP96" i="5"/>
  <c r="BT87" i="5"/>
  <c r="EL96" i="5"/>
  <c r="AV92" i="5"/>
  <c r="AE87" i="5"/>
  <c r="DZ83" i="5"/>
  <c r="BL91" i="5"/>
  <c r="AY73" i="5"/>
  <c r="CV96" i="5"/>
  <c r="BR75" i="5"/>
  <c r="EB73" i="5"/>
  <c r="FC83" i="5"/>
  <c r="D70" i="5"/>
  <c r="DW82" i="5"/>
  <c r="CW80" i="5"/>
  <c r="BQ75" i="5"/>
  <c r="DF74" i="5"/>
  <c r="AS73" i="5"/>
  <c r="EF87" i="5"/>
  <c r="AP96" i="5"/>
  <c r="DZ77" i="5"/>
  <c r="DC95" i="5"/>
  <c r="EE65" i="5"/>
  <c r="BO83" i="5"/>
  <c r="U93" i="5"/>
  <c r="FL89" i="5"/>
  <c r="AK96" i="5"/>
  <c r="AJ67" i="5"/>
  <c r="P69" i="5"/>
  <c r="BR81" i="5"/>
  <c r="EC72" i="5"/>
  <c r="W93" i="5"/>
  <c r="CV97" i="5"/>
  <c r="AJ97" i="5"/>
  <c r="AY93" i="5"/>
  <c r="FC73" i="5"/>
  <c r="R85" i="5"/>
  <c r="FG79" i="5"/>
  <c r="BU96" i="5"/>
  <c r="E82" i="5"/>
  <c r="ED90" i="5"/>
  <c r="DB68" i="5"/>
  <c r="CQ85" i="5"/>
  <c r="DB98" i="5"/>
  <c r="FN73" i="5"/>
  <c r="FK90" i="5"/>
  <c r="EW72" i="5"/>
  <c r="BI96" i="5"/>
  <c r="FO74" i="5"/>
  <c r="FF73" i="5"/>
  <c r="FB68" i="5"/>
  <c r="AP79" i="5"/>
  <c r="DI90" i="5"/>
  <c r="J75" i="5"/>
  <c r="CH72" i="5"/>
  <c r="L86" i="5"/>
  <c r="DN78" i="5"/>
  <c r="DR66" i="5"/>
  <c r="CK84" i="5"/>
  <c r="BI79" i="5"/>
  <c r="BG69" i="5"/>
  <c r="Q80" i="5"/>
  <c r="FG66" i="5"/>
  <c r="BW88" i="5"/>
  <c r="BA87" i="5"/>
  <c r="N71" i="5"/>
  <c r="BC81" i="5"/>
  <c r="DW94" i="5"/>
  <c r="DF94" i="5"/>
  <c r="DN80" i="5"/>
  <c r="DH82" i="5"/>
  <c r="CS80" i="5"/>
  <c r="BO67" i="5"/>
  <c r="BA76" i="5"/>
  <c r="U79" i="5"/>
  <c r="DP70" i="5"/>
  <c r="U75" i="5"/>
  <c r="EA82" i="5"/>
  <c r="EV96" i="5"/>
  <c r="U84" i="5"/>
  <c r="BZ95" i="5"/>
  <c r="ET95" i="5"/>
  <c r="CJ94" i="5"/>
  <c r="CE89" i="5"/>
  <c r="DI71" i="5"/>
  <c r="DH74" i="5"/>
  <c r="CX72" i="5"/>
  <c r="FE69" i="5"/>
  <c r="CE72" i="5"/>
  <c r="CY66" i="5"/>
  <c r="BT74" i="5"/>
  <c r="EK90" i="5"/>
  <c r="FQ85" i="5"/>
  <c r="BA71" i="5"/>
  <c r="EB90" i="5"/>
  <c r="DO76" i="5"/>
  <c r="BR93" i="5"/>
  <c r="CS78" i="5"/>
  <c r="EO93" i="5"/>
  <c r="CS82" i="5"/>
  <c r="EK76" i="5"/>
  <c r="DU91" i="5"/>
  <c r="DK71" i="5"/>
  <c r="FN98" i="5"/>
  <c r="CY96" i="5"/>
  <c r="AB87" i="5"/>
  <c r="CM97" i="5"/>
  <c r="EC92" i="5"/>
  <c r="EX86" i="5"/>
  <c r="FF75" i="5"/>
  <c r="AT96" i="5"/>
  <c r="EX80" i="5"/>
  <c r="J98" i="5"/>
  <c r="DY91" i="5"/>
  <c r="C95" i="5"/>
  <c r="CV82" i="5"/>
  <c r="CX98" i="5"/>
  <c r="EN83" i="5"/>
  <c r="DR93" i="5"/>
  <c r="AJ75" i="5"/>
  <c r="AQ69" i="5"/>
  <c r="CP75" i="5"/>
  <c r="FS98" i="5"/>
  <c r="FE68" i="5"/>
  <c r="BV78" i="5"/>
  <c r="EY81" i="5"/>
  <c r="DL94" i="5"/>
  <c r="ER93" i="5"/>
  <c r="CA92" i="5"/>
  <c r="FM93" i="5"/>
  <c r="BS91" i="5"/>
  <c r="ED96" i="5"/>
  <c r="M96" i="5"/>
  <c r="FD76" i="5"/>
  <c r="BX81" i="5"/>
  <c r="FR84" i="5"/>
  <c r="AM84" i="5"/>
  <c r="CH79" i="5"/>
  <c r="BZ76" i="5"/>
  <c r="CV65" i="5"/>
  <c r="EC68" i="5"/>
  <c r="BS75" i="5"/>
  <c r="DW77" i="5"/>
  <c r="FF67" i="5"/>
  <c r="AC85" i="5"/>
  <c r="AD70" i="5"/>
  <c r="ES85" i="5"/>
  <c r="BF90" i="5"/>
  <c r="O83" i="5"/>
  <c r="BR80" i="5"/>
  <c r="AU80" i="5"/>
  <c r="DY87" i="5"/>
  <c r="DE80" i="5"/>
  <c r="DN73" i="5"/>
  <c r="CS91" i="5"/>
  <c r="FK76" i="5"/>
  <c r="DH91" i="5"/>
  <c r="AH82" i="5"/>
  <c r="BF84" i="5"/>
  <c r="EF89" i="5"/>
  <c r="BD66" i="5"/>
  <c r="DE86" i="5"/>
  <c r="CR67" i="5"/>
  <c r="CP95" i="5"/>
  <c r="BS73" i="5"/>
  <c r="AI81" i="5"/>
  <c r="FS80" i="5"/>
  <c r="EQ65" i="5"/>
  <c r="DD81" i="5"/>
  <c r="EF66" i="5"/>
  <c r="EG95" i="5"/>
  <c r="EI72" i="5"/>
  <c r="BV95" i="5"/>
  <c r="AL78" i="5"/>
  <c r="AY88" i="5"/>
  <c r="FQ65" i="5"/>
  <c r="DS93" i="5"/>
  <c r="AS81" i="5"/>
  <c r="CF82" i="5"/>
  <c r="EX95" i="5"/>
  <c r="EJ68" i="5"/>
  <c r="EC87" i="5"/>
  <c r="B96" i="5"/>
  <c r="DT94" i="5"/>
  <c r="Y75" i="5"/>
  <c r="AD96" i="5"/>
  <c r="BX86" i="5"/>
  <c r="BV90" i="5"/>
  <c r="DB94" i="5"/>
  <c r="DI95" i="5"/>
  <c r="BB92" i="5"/>
  <c r="CA97" i="5"/>
  <c r="AJ86" i="5"/>
  <c r="O67" i="5"/>
  <c r="AI92" i="5"/>
  <c r="Y72" i="5"/>
  <c r="FP89" i="5"/>
  <c r="CV93" i="5"/>
  <c r="CF98" i="5"/>
  <c r="DF71" i="5"/>
  <c r="AM76" i="5"/>
  <c r="BH83" i="5"/>
  <c r="AE86" i="5"/>
  <c r="BJ98" i="5"/>
  <c r="BH78" i="5"/>
  <c r="FD87" i="5"/>
  <c r="EV73" i="5"/>
  <c r="EH84" i="5"/>
  <c r="BC73" i="5"/>
  <c r="BO98" i="5"/>
  <c r="U97" i="5"/>
  <c r="AB74" i="5"/>
  <c r="DC93" i="5"/>
  <c r="FM74" i="5"/>
  <c r="BT78" i="5"/>
  <c r="DL78" i="5"/>
  <c r="AR74" i="5"/>
  <c r="R68" i="5"/>
  <c r="ED88" i="5"/>
  <c r="ED92" i="5"/>
  <c r="BK68" i="5"/>
  <c r="EF84" i="5"/>
  <c r="DF76" i="5"/>
  <c r="BX68" i="5"/>
  <c r="EA94" i="5"/>
  <c r="DZ92" i="5"/>
  <c r="CE65" i="5"/>
  <c r="DO95" i="5"/>
  <c r="DF69" i="5"/>
  <c r="DW91" i="5"/>
  <c r="FH69" i="5"/>
  <c r="FA71" i="5"/>
  <c r="CT91" i="5"/>
  <c r="Y86" i="5"/>
  <c r="FK88" i="5"/>
  <c r="FL75" i="5"/>
  <c r="BU83" i="5"/>
  <c r="FM95" i="5"/>
  <c r="FP80" i="5"/>
  <c r="EO94" i="5"/>
  <c r="BD87" i="5"/>
  <c r="CP89" i="5"/>
  <c r="DE66" i="5"/>
  <c r="R71" i="5"/>
  <c r="DD82" i="5"/>
  <c r="CF94" i="5"/>
  <c r="J97" i="5"/>
  <c r="AA68" i="5"/>
  <c r="CQ81" i="5"/>
  <c r="CY95" i="5"/>
  <c r="AG93" i="5"/>
  <c r="CA88" i="5"/>
  <c r="BO69" i="5"/>
  <c r="EK89" i="5"/>
  <c r="DD65" i="5"/>
  <c r="CI80" i="5"/>
  <c r="AZ89" i="5"/>
  <c r="FG76" i="5"/>
  <c r="N90" i="5"/>
  <c r="FE72" i="5"/>
  <c r="EC71" i="5"/>
  <c r="DZ74" i="5"/>
  <c r="DX73" i="5"/>
  <c r="CM73" i="5"/>
  <c r="DH96" i="5"/>
  <c r="BP65" i="5"/>
  <c r="EN72" i="5"/>
  <c r="DP75" i="5"/>
  <c r="BE79" i="5"/>
  <c r="CF88" i="5"/>
  <c r="CW77" i="5"/>
  <c r="DC94" i="5"/>
  <c r="BE86" i="5"/>
  <c r="FP83" i="5"/>
  <c r="EZ79" i="5"/>
  <c r="BS94" i="5"/>
  <c r="J93" i="5"/>
  <c r="DW83" i="5"/>
  <c r="D91" i="5"/>
  <c r="N73" i="5"/>
  <c r="AH85" i="5"/>
  <c r="DG83" i="5"/>
  <c r="S90" i="5"/>
  <c r="BV94" i="5"/>
  <c r="DZ80" i="5"/>
  <c r="EO73" i="5"/>
  <c r="AY95" i="5"/>
  <c r="M91" i="5"/>
  <c r="EX68" i="5"/>
  <c r="DG84" i="5"/>
  <c r="CK92" i="5"/>
  <c r="CP97" i="5"/>
  <c r="BU84" i="5"/>
  <c r="AX66" i="5"/>
  <c r="FO95" i="5"/>
  <c r="FB74" i="5"/>
  <c r="FJ83" i="5"/>
  <c r="EE83" i="5"/>
  <c r="BC80" i="5"/>
  <c r="BX96" i="5"/>
  <c r="CM66" i="5"/>
  <c r="CM89" i="5"/>
  <c r="AZ73" i="5"/>
  <c r="BN79" i="5"/>
  <c r="DP94" i="5"/>
  <c r="BM71" i="5"/>
  <c r="AN69" i="5"/>
  <c r="BT75" i="5"/>
  <c r="CC81" i="5"/>
  <c r="CQ72" i="5"/>
  <c r="AC94" i="5"/>
  <c r="O66" i="5"/>
  <c r="DO85" i="5"/>
  <c r="DQ84" i="5"/>
  <c r="EU93" i="5"/>
  <c r="O93" i="5"/>
  <c r="AW77" i="5"/>
  <c r="AM71" i="5"/>
  <c r="AC66" i="5"/>
  <c r="CR93" i="5"/>
  <c r="Y83" i="5"/>
  <c r="DK94" i="5"/>
  <c r="FA79" i="5"/>
  <c r="AT67" i="5"/>
  <c r="BN80" i="5"/>
  <c r="DV70" i="5"/>
  <c r="EB70" i="5"/>
  <c r="DC90" i="5"/>
  <c r="DE74" i="5"/>
  <c r="DC89" i="5"/>
  <c r="J92" i="5"/>
  <c r="FH82" i="5"/>
  <c r="DG94" i="5"/>
  <c r="AP95" i="5"/>
  <c r="AQ89" i="5"/>
  <c r="CQ82" i="5"/>
  <c r="AY87" i="5"/>
  <c r="BC85" i="5"/>
  <c r="BJ89" i="5"/>
  <c r="AI87" i="5"/>
  <c r="EQ79" i="5"/>
  <c r="AD71" i="5"/>
  <c r="AA70" i="5"/>
  <c r="CE71" i="5"/>
  <c r="AE82" i="5"/>
  <c r="AE68" i="5"/>
  <c r="DK93" i="5"/>
  <c r="BX79" i="5"/>
  <c r="V80" i="5"/>
  <c r="CD94" i="5"/>
  <c r="D87" i="5"/>
  <c r="BO82" i="5"/>
  <c r="X65" i="5"/>
  <c r="CE75" i="5"/>
  <c r="BS98" i="5"/>
  <c r="BU88" i="5"/>
  <c r="BS70" i="5"/>
  <c r="DX75" i="5"/>
  <c r="Y68" i="5"/>
  <c r="EA84" i="5"/>
  <c r="CZ80" i="5"/>
  <c r="BI92" i="5"/>
  <c r="CR96" i="5"/>
  <c r="W68" i="5"/>
  <c r="CQ89" i="5"/>
  <c r="J78" i="5"/>
  <c r="AG80" i="5"/>
  <c r="D74" i="5"/>
  <c r="C89" i="5"/>
  <c r="AR80" i="5"/>
  <c r="DN88" i="5"/>
  <c r="L73" i="5"/>
  <c r="CX81" i="5"/>
  <c r="BV70" i="5"/>
  <c r="BI97" i="5"/>
  <c r="EO74" i="5"/>
  <c r="BJ81" i="5"/>
  <c r="C75" i="5"/>
  <c r="DS65" i="5"/>
  <c r="N87" i="5"/>
  <c r="FH75" i="5"/>
  <c r="AF92" i="5"/>
  <c r="CB87" i="5"/>
  <c r="EF65" i="5"/>
  <c r="BY96" i="5"/>
  <c r="J82" i="5"/>
  <c r="DN75" i="5"/>
  <c r="BU86" i="5"/>
  <c r="AT68" i="5"/>
  <c r="AQ74" i="5"/>
  <c r="BM97" i="5"/>
  <c r="B82" i="5"/>
  <c r="AC86" i="5"/>
  <c r="EM94" i="5"/>
  <c r="AV98" i="5"/>
  <c r="L92" i="5"/>
  <c r="AR65" i="5"/>
  <c r="AJ95" i="5"/>
  <c r="CN94" i="5"/>
  <c r="CL95" i="5"/>
  <c r="CV70" i="5"/>
  <c r="DU80" i="5"/>
  <c r="AD92" i="5"/>
  <c r="EH81" i="5"/>
  <c r="DT76" i="5"/>
  <c r="DG97" i="5"/>
  <c r="DX85" i="5"/>
  <c r="DF73" i="5"/>
  <c r="DB79" i="5"/>
  <c r="BV71" i="5"/>
  <c r="DM88" i="5"/>
  <c r="AI94" i="5"/>
  <c r="CV87" i="5"/>
  <c r="CR97" i="5"/>
  <c r="CT68" i="5"/>
  <c r="DY85" i="5"/>
  <c r="DH75" i="5"/>
  <c r="FF78" i="5"/>
  <c r="DJ83" i="5"/>
  <c r="AZ94" i="5"/>
  <c r="S74" i="5"/>
  <c r="AB91" i="5"/>
  <c r="FE95" i="5"/>
  <c r="W96" i="5"/>
  <c r="ET81" i="5"/>
  <c r="P97" i="5"/>
  <c r="E79" i="5"/>
  <c r="CV67" i="5"/>
  <c r="FG82" i="5"/>
  <c r="FH84" i="5"/>
  <c r="DJ69" i="5"/>
  <c r="FS79" i="5"/>
  <c r="AI80" i="5"/>
  <c r="EY85" i="5"/>
  <c r="AV94" i="5"/>
  <c r="AN81" i="5"/>
  <c r="AL98" i="5"/>
  <c r="DW76" i="5"/>
  <c r="L74" i="5"/>
  <c r="CN78" i="5"/>
  <c r="EG66" i="5"/>
  <c r="FE98" i="5"/>
  <c r="AE76" i="5"/>
  <c r="BN78" i="5"/>
  <c r="K85" i="5"/>
  <c r="BX82" i="5"/>
  <c r="EQ87" i="5"/>
  <c r="CG97" i="5"/>
  <c r="BR87" i="5"/>
  <c r="FI94" i="5"/>
  <c r="DV72" i="5"/>
  <c r="T74" i="5"/>
  <c r="BZ67" i="5"/>
  <c r="C76" i="5"/>
  <c r="BQ77" i="5"/>
  <c r="CE97" i="5"/>
  <c r="EY96" i="5"/>
  <c r="DV87" i="5"/>
  <c r="CY86" i="5"/>
  <c r="BI71" i="5"/>
  <c r="AA97" i="5"/>
  <c r="AT71" i="5"/>
  <c r="ET87" i="5"/>
  <c r="CP67" i="5"/>
  <c r="P89" i="5"/>
  <c r="DW74" i="5"/>
  <c r="DF80" i="5"/>
  <c r="ET88" i="5"/>
  <c r="FE84" i="5"/>
  <c r="Y76" i="5"/>
  <c r="FO85" i="5"/>
  <c r="AM72" i="5"/>
  <c r="DQ81" i="5"/>
  <c r="EU79" i="5"/>
  <c r="FD75" i="5"/>
  <c r="DI87" i="5"/>
  <c r="BQ93" i="5"/>
  <c r="CX65" i="5"/>
  <c r="C97" i="5"/>
  <c r="DQ76" i="5"/>
  <c r="BK85" i="5"/>
  <c r="BY70" i="5"/>
  <c r="EN67" i="5"/>
  <c r="AX97" i="5"/>
  <c r="FC95" i="5"/>
  <c r="O73" i="5"/>
  <c r="BJ70" i="5"/>
  <c r="DI78" i="5"/>
  <c r="FJ80" i="5"/>
  <c r="EX92" i="5"/>
  <c r="BF69" i="5"/>
  <c r="BG84" i="5"/>
  <c r="CZ76" i="5"/>
  <c r="DI76" i="5"/>
  <c r="EI94" i="5"/>
  <c r="FJ66" i="5"/>
  <c r="AH71" i="5"/>
  <c r="AO81" i="5"/>
  <c r="DM85" i="5"/>
  <c r="BI85" i="5"/>
  <c r="BE77" i="5"/>
  <c r="BV73" i="5"/>
  <c r="DQ75" i="5"/>
  <c r="CI68" i="5"/>
  <c r="FF68" i="5"/>
  <c r="CH65" i="5"/>
  <c r="DB70" i="5"/>
  <c r="AZ83" i="5"/>
  <c r="DG69" i="5"/>
  <c r="AZ95" i="5"/>
  <c r="BJ73" i="5"/>
  <c r="AI93" i="5"/>
  <c r="S78" i="5"/>
  <c r="AW97" i="5"/>
  <c r="FC91" i="5"/>
  <c r="EW92" i="5"/>
  <c r="DL79" i="5"/>
  <c r="DT91" i="5"/>
  <c r="C85" i="5"/>
  <c r="DD85" i="5"/>
  <c r="T78" i="5"/>
  <c r="EZ92" i="5"/>
  <c r="FM67" i="5"/>
  <c r="EW75" i="5"/>
  <c r="AL84" i="5"/>
  <c r="BL85" i="5"/>
  <c r="FG86" i="5"/>
  <c r="FA92" i="5"/>
  <c r="Y97" i="5"/>
  <c r="AX93" i="5"/>
  <c r="BH93" i="5"/>
  <c r="EI65" i="5"/>
  <c r="AP98" i="5"/>
  <c r="EO91" i="5"/>
  <c r="BO89" i="5"/>
  <c r="DQ82" i="5"/>
  <c r="DV89" i="5"/>
  <c r="CV68" i="5"/>
  <c r="DI66" i="5"/>
  <c r="W75" i="5"/>
  <c r="S91" i="5"/>
  <c r="E91" i="5"/>
  <c r="DC78" i="5"/>
  <c r="DH78" i="5"/>
  <c r="DL66" i="5"/>
  <c r="DY97" i="5"/>
  <c r="R82" i="5"/>
  <c r="EQ89" i="5"/>
  <c r="DV73" i="5"/>
  <c r="AQ98" i="5"/>
  <c r="AX76" i="5"/>
  <c r="AE78" i="5"/>
  <c r="ET97" i="5"/>
  <c r="BI69" i="5"/>
  <c r="BC65" i="5"/>
  <c r="EV69" i="5"/>
  <c r="CG79" i="5"/>
  <c r="DL88" i="5"/>
  <c r="BQ80" i="5"/>
  <c r="FF96" i="5"/>
  <c r="DI91" i="5"/>
  <c r="EU84" i="5"/>
  <c r="DB91" i="5"/>
  <c r="AG86" i="5"/>
  <c r="L72" i="5"/>
  <c r="BU85" i="5"/>
  <c r="AP89" i="5"/>
  <c r="CU89" i="5"/>
  <c r="DS96" i="5"/>
  <c r="EV83" i="5"/>
  <c r="BR95" i="5"/>
  <c r="AR93" i="5"/>
  <c r="EJ78" i="5"/>
  <c r="FS95" i="5"/>
  <c r="BS95" i="5"/>
  <c r="EQ91" i="5"/>
  <c r="EN66" i="5"/>
  <c r="AV65" i="5"/>
  <c r="BO92" i="5"/>
  <c r="EL87" i="5"/>
  <c r="FJ89" i="5"/>
  <c r="BR85" i="5"/>
  <c r="CA70" i="5"/>
  <c r="BT90" i="5"/>
  <c r="DZ86" i="5"/>
  <c r="CK85" i="5"/>
  <c r="CQ66" i="5"/>
  <c r="FH95" i="5"/>
  <c r="DZ69" i="5"/>
  <c r="AM66" i="5"/>
  <c r="DZ76" i="5"/>
  <c r="FD84" i="5"/>
  <c r="DM94" i="5"/>
  <c r="FJ86" i="5"/>
  <c r="CG70" i="5"/>
  <c r="BF72" i="5"/>
  <c r="DF95" i="5"/>
  <c r="BZ97" i="5"/>
  <c r="CC97" i="5"/>
  <c r="AW79" i="5"/>
  <c r="DQ85" i="5"/>
  <c r="DG68" i="5"/>
  <c r="ET69" i="5"/>
  <c r="O81" i="5"/>
  <c r="I87" i="5"/>
  <c r="ER89" i="5"/>
  <c r="DQ66" i="5"/>
  <c r="BY94" i="5"/>
  <c r="EM96" i="5"/>
  <c r="FK75" i="5"/>
  <c r="FG85" i="5"/>
  <c r="EZ98" i="5"/>
  <c r="BY83" i="5"/>
  <c r="CL70" i="5"/>
  <c r="FI81" i="5"/>
  <c r="T97" i="5"/>
  <c r="V74" i="5"/>
  <c r="BT72" i="5"/>
  <c r="ED82" i="5"/>
  <c r="BP83" i="5"/>
  <c r="AS95" i="5"/>
  <c r="EJ87" i="5"/>
  <c r="DJ70" i="5"/>
  <c r="EH76" i="5"/>
  <c r="BP94" i="5"/>
  <c r="CF95" i="5"/>
  <c r="CH90" i="5"/>
  <c r="DA72" i="5"/>
  <c r="DD79" i="5"/>
  <c r="AE72" i="5"/>
  <c r="FM94" i="5"/>
  <c r="EK71" i="5"/>
  <c r="DR92" i="5"/>
  <c r="DR98" i="5"/>
  <c r="DK92" i="5"/>
  <c r="BD97" i="5"/>
  <c r="C69" i="5"/>
  <c r="CJ77" i="5"/>
  <c r="FD79" i="5"/>
  <c r="DZ89" i="5"/>
  <c r="BY92" i="5"/>
  <c r="EE98" i="5"/>
  <c r="DY75" i="5"/>
  <c r="DB82" i="5"/>
  <c r="K88" i="5"/>
  <c r="D98" i="5"/>
  <c r="FA67" i="5"/>
  <c r="CZ70" i="5"/>
  <c r="CT79" i="5"/>
  <c r="DL89" i="5"/>
  <c r="EC81" i="5"/>
  <c r="FO76" i="5"/>
  <c r="EK82" i="5"/>
  <c r="X78" i="5"/>
  <c r="FF94" i="5"/>
  <c r="FE93" i="5"/>
  <c r="BR84" i="5"/>
  <c r="BJ67" i="5"/>
  <c r="CW86" i="5"/>
  <c r="AQ66" i="5"/>
  <c r="BT73" i="5"/>
  <c r="BL78" i="5"/>
  <c r="AG94" i="5"/>
  <c r="BG93" i="5"/>
  <c r="AQ71" i="5"/>
  <c r="FD70" i="5"/>
  <c r="BW65" i="5"/>
  <c r="DH79" i="5"/>
  <c r="CT90" i="5"/>
  <c r="FD82" i="5"/>
  <c r="E98" i="5"/>
  <c r="CS81" i="5"/>
  <c r="AG65" i="5"/>
  <c r="DN94" i="5"/>
  <c r="FF87" i="5"/>
  <c r="CC78" i="5"/>
  <c r="AU87" i="5"/>
  <c r="BK87" i="5"/>
  <c r="ER81" i="5"/>
  <c r="DK70" i="5"/>
  <c r="CW71" i="5"/>
  <c r="CX69" i="5"/>
  <c r="C96" i="5"/>
  <c r="DK95" i="5"/>
  <c r="DX70" i="5"/>
  <c r="FI98" i="5"/>
  <c r="DD86" i="5"/>
  <c r="EV82" i="5"/>
  <c r="EL97" i="5"/>
  <c r="BV85" i="5"/>
  <c r="FB66" i="5"/>
  <c r="BE68" i="5"/>
  <c r="D84" i="5"/>
  <c r="AY70" i="5"/>
  <c r="J73" i="5"/>
  <c r="Y87" i="5"/>
  <c r="CB95" i="5"/>
  <c r="DK67" i="5"/>
  <c r="AT95" i="5"/>
  <c r="DE77" i="5"/>
  <c r="CX80" i="5"/>
  <c r="FK85" i="5"/>
  <c r="CJ83" i="5"/>
  <c r="EV80" i="5"/>
  <c r="EV95" i="5"/>
  <c r="CE74" i="5"/>
  <c r="EA98" i="5"/>
  <c r="CD68" i="5"/>
  <c r="DE94" i="5"/>
  <c r="EC70" i="5"/>
  <c r="AT69" i="5"/>
  <c r="EP78" i="5"/>
  <c r="DE67" i="5"/>
  <c r="AP82" i="5"/>
  <c r="CX67" i="5"/>
  <c r="EB77" i="5"/>
  <c r="DA79" i="5"/>
  <c r="EL85" i="5"/>
  <c r="BQ78" i="5"/>
  <c r="V86" i="5"/>
  <c r="U81" i="5"/>
  <c r="DD73" i="5"/>
  <c r="BU79" i="5"/>
  <c r="DX77" i="5"/>
  <c r="ET68" i="5"/>
  <c r="AE85" i="5"/>
  <c r="AL97" i="5"/>
  <c r="BU80" i="5"/>
  <c r="W78" i="5"/>
  <c r="FS76" i="5"/>
  <c r="DG86" i="5"/>
  <c r="AN91" i="5"/>
  <c r="FP75" i="5"/>
  <c r="AK91" i="5"/>
  <c r="P92" i="5"/>
  <c r="BR97" i="5"/>
  <c r="BQ84" i="5"/>
  <c r="CW90" i="5"/>
  <c r="EZ93" i="5"/>
  <c r="AX95" i="5"/>
  <c r="BY86" i="5"/>
  <c r="CO74" i="5"/>
  <c r="AF91" i="5"/>
  <c r="BH73" i="5"/>
  <c r="DF77" i="5"/>
  <c r="B75" i="5"/>
  <c r="CL87" i="5"/>
  <c r="EY97" i="5"/>
  <c r="EI96" i="5"/>
  <c r="AZ98" i="5"/>
  <c r="FC82" i="5"/>
  <c r="AH90" i="5"/>
  <c r="O70" i="5"/>
  <c r="DK76" i="5"/>
  <c r="CP66" i="5"/>
  <c r="ES83" i="5"/>
  <c r="CO97" i="5"/>
  <c r="Z65" i="5"/>
  <c r="FJ69" i="5"/>
  <c r="FJ67" i="5"/>
  <c r="EP70" i="5"/>
  <c r="AE70" i="5"/>
  <c r="AK90" i="5"/>
  <c r="B95" i="5"/>
  <c r="CL86" i="5"/>
  <c r="BX70" i="5"/>
  <c r="AS97" i="5"/>
  <c r="BA68" i="5"/>
  <c r="BG81" i="5"/>
  <c r="FB90" i="5"/>
  <c r="FA84" i="5"/>
  <c r="EO76" i="5"/>
  <c r="FJ73" i="5"/>
  <c r="AB77" i="5"/>
  <c r="O77" i="5"/>
  <c r="CW88" i="5"/>
  <c r="K95" i="5"/>
  <c r="CU95" i="5"/>
  <c r="DF79" i="5"/>
  <c r="AH72" i="5"/>
  <c r="R90" i="5"/>
  <c r="ER90" i="5"/>
  <c r="Q98" i="5"/>
  <c r="AX96" i="5"/>
  <c r="EF67" i="5"/>
  <c r="FJ90" i="5"/>
  <c r="BU71" i="5"/>
  <c r="BC86" i="5"/>
  <c r="EG88" i="5"/>
  <c r="AT65" i="5"/>
  <c r="BA82" i="5"/>
  <c r="B65" i="5"/>
  <c r="CS94" i="5"/>
  <c r="CB76" i="5"/>
  <c r="AS71" i="5"/>
  <c r="CB79" i="5"/>
  <c r="EP71" i="5"/>
  <c r="AN96" i="5"/>
  <c r="AF70" i="5"/>
  <c r="FO75" i="5"/>
  <c r="DH67" i="5"/>
  <c r="BH75" i="5"/>
  <c r="BC82" i="5"/>
  <c r="AW73" i="5"/>
  <c r="DS76" i="5"/>
  <c r="CL97" i="5"/>
  <c r="FA95" i="5"/>
  <c r="K66" i="5"/>
  <c r="EC97" i="5"/>
  <c r="DA71" i="5"/>
  <c r="FH90" i="5"/>
  <c r="CY77" i="5"/>
  <c r="DO91" i="5"/>
  <c r="EK77" i="5"/>
  <c r="DC98" i="5"/>
  <c r="BE92" i="5"/>
  <c r="AD82" i="5"/>
  <c r="DA66" i="5"/>
  <c r="AA77" i="5"/>
  <c r="R74" i="5"/>
  <c r="BD73" i="5"/>
  <c r="DO69" i="5"/>
  <c r="AE79" i="5"/>
  <c r="L97" i="5"/>
  <c r="C81" i="5"/>
  <c r="BP85" i="5"/>
  <c r="BH77" i="5"/>
  <c r="ED79" i="5"/>
  <c r="BT97" i="5"/>
  <c r="FA70" i="5"/>
  <c r="O78" i="5"/>
  <c r="FS97" i="5"/>
  <c r="BY88" i="5"/>
  <c r="AY84" i="5"/>
  <c r="ES68" i="5"/>
  <c r="U65" i="5"/>
  <c r="DY83" i="5"/>
  <c r="CX70" i="5"/>
  <c r="CP74" i="5"/>
  <c r="AD95" i="5"/>
  <c r="AB69" i="5"/>
  <c r="EI89" i="5"/>
  <c r="EP69" i="5"/>
  <c r="DU97" i="5"/>
  <c r="FG81" i="5"/>
  <c r="Y91" i="5"/>
  <c r="W81" i="5"/>
  <c r="CQ97" i="5"/>
  <c r="FO92" i="5"/>
  <c r="AE93" i="5"/>
  <c r="R84" i="5"/>
  <c r="BH67" i="5"/>
  <c r="EY76" i="5"/>
  <c r="AM93" i="5"/>
  <c r="DS79" i="5"/>
  <c r="DM72" i="5"/>
  <c r="BP80" i="5"/>
  <c r="X85" i="5"/>
  <c r="DR95" i="5"/>
  <c r="ES84" i="5"/>
  <c r="X70" i="5"/>
  <c r="AO73" i="5"/>
  <c r="DF81" i="5"/>
  <c r="AP76" i="5"/>
  <c r="Q81" i="5"/>
  <c r="AL87" i="5"/>
  <c r="FC74" i="5"/>
  <c r="EW81" i="5"/>
  <c r="EL77" i="5"/>
  <c r="BV87" i="5"/>
  <c r="CP87" i="5"/>
  <c r="E95" i="5"/>
  <c r="BG87" i="5"/>
  <c r="X77" i="5"/>
  <c r="BK91" i="5"/>
  <c r="CK73" i="5"/>
  <c r="DH70" i="5"/>
  <c r="AD97" i="5"/>
  <c r="CP69" i="5"/>
  <c r="K94" i="5"/>
  <c r="BS67" i="5"/>
  <c r="K72" i="5"/>
  <c r="EW79" i="5"/>
  <c r="K65" i="5"/>
  <c r="AF84" i="5"/>
  <c r="CA96" i="5"/>
  <c r="BH70" i="5"/>
  <c r="AQ72" i="5"/>
  <c r="CT78" i="5"/>
  <c r="EM89" i="5"/>
  <c r="BI70" i="5"/>
  <c r="EZ83" i="5"/>
  <c r="DY80" i="5"/>
  <c r="AZ81" i="5"/>
  <c r="ER80" i="5"/>
  <c r="FR89" i="5"/>
  <c r="AR94" i="5"/>
  <c r="CI74" i="5"/>
  <c r="U85" i="5"/>
  <c r="FK70" i="5"/>
  <c r="DI84" i="5"/>
  <c r="DH93" i="5"/>
  <c r="EF75" i="5"/>
  <c r="FG92" i="5"/>
  <c r="I71" i="5"/>
  <c r="N66" i="5"/>
  <c r="Z69" i="5"/>
  <c r="DL70" i="5"/>
  <c r="ED76" i="5"/>
  <c r="EU72" i="5"/>
  <c r="DB76" i="5"/>
  <c r="DM67" i="5"/>
  <c r="DU86" i="5"/>
  <c r="DJ89" i="5"/>
  <c r="DK83" i="5"/>
  <c r="DP65" i="5"/>
  <c r="AZ65" i="5"/>
  <c r="AN92" i="5"/>
  <c r="EF83" i="5"/>
  <c r="CB69" i="5"/>
  <c r="BD91" i="5"/>
  <c r="CW89" i="5"/>
  <c r="EF98" i="5"/>
  <c r="EX76" i="5"/>
  <c r="DN92" i="5"/>
  <c r="EM82" i="5"/>
  <c r="Y88" i="5"/>
  <c r="X87" i="5"/>
  <c r="DK68" i="5"/>
  <c r="AU92" i="5"/>
  <c r="FO84" i="5"/>
  <c r="CY73" i="5"/>
  <c r="FT85" i="5"/>
  <c r="Q93" i="5"/>
  <c r="EX83" i="5"/>
  <c r="DI81" i="5"/>
  <c r="BB79" i="5"/>
  <c r="FJ91" i="5"/>
  <c r="EA72" i="5"/>
  <c r="FB89" i="5"/>
  <c r="EP91" i="5"/>
  <c r="R98" i="5"/>
  <c r="FL83" i="5"/>
  <c r="CV81" i="5"/>
  <c r="FJ76" i="5"/>
  <c r="BJ65" i="5"/>
  <c r="FG70" i="5"/>
  <c r="Y89" i="5"/>
  <c r="DX89" i="5"/>
  <c r="FH97" i="5"/>
  <c r="FP67" i="5"/>
  <c r="BX71" i="5"/>
  <c r="AR97" i="5"/>
  <c r="AT77" i="5"/>
  <c r="BV69" i="5"/>
  <c r="DW81" i="5"/>
  <c r="AX84" i="5"/>
  <c r="O72" i="5"/>
  <c r="Q89" i="5"/>
  <c r="FH78" i="5"/>
  <c r="EX84" i="5"/>
  <c r="FE81" i="5"/>
  <c r="DR90" i="5"/>
  <c r="S84" i="5"/>
  <c r="BQ76" i="5"/>
  <c r="AY78" i="5"/>
  <c r="BQ91" i="5"/>
  <c r="DO97" i="5"/>
  <c r="AZ79" i="5"/>
  <c r="AX82" i="5"/>
  <c r="BK72" i="5"/>
  <c r="DG73" i="5"/>
  <c r="BM74" i="5"/>
  <c r="DZ78" i="5"/>
  <c r="O90" i="5"/>
  <c r="DM89" i="5"/>
  <c r="FP70" i="5"/>
  <c r="FL92" i="5"/>
  <c r="FD67" i="5"/>
  <c r="FA97" i="5"/>
  <c r="BB93" i="5"/>
  <c r="EX90" i="5"/>
  <c r="CW83" i="5"/>
  <c r="K83" i="5"/>
  <c r="CH91" i="5"/>
  <c r="AH97" i="5"/>
  <c r="W76" i="5"/>
  <c r="CY94" i="5"/>
  <c r="Z85" i="5"/>
  <c r="N88" i="5"/>
  <c r="DS89" i="5"/>
  <c r="ED80" i="5"/>
  <c r="Z83" i="5"/>
  <c r="DU87" i="5"/>
  <c r="DM77" i="5"/>
  <c r="ET77" i="5"/>
  <c r="BK86" i="5"/>
  <c r="M93" i="5"/>
  <c r="FE74" i="5"/>
  <c r="BA85" i="5"/>
  <c r="BK71" i="5"/>
  <c r="CU81" i="5"/>
  <c r="EA97" i="5"/>
  <c r="DD80" i="5"/>
  <c r="EB79" i="5"/>
  <c r="BX65" i="5"/>
  <c r="BM87" i="5"/>
  <c r="AR86" i="5"/>
  <c r="T80" i="5"/>
  <c r="CE85" i="5"/>
  <c r="M70" i="5"/>
  <c r="AI67" i="5"/>
  <c r="BO77" i="5"/>
  <c r="DY78" i="5"/>
  <c r="BM82" i="5"/>
  <c r="EE82" i="5"/>
  <c r="BX72" i="5"/>
  <c r="BY98" i="5"/>
  <c r="CL91" i="5"/>
  <c r="FM69" i="5"/>
  <c r="N81" i="5"/>
  <c r="FL91" i="5"/>
  <c r="BE94" i="5"/>
  <c r="DW65" i="5"/>
  <c r="AX70" i="5"/>
  <c r="EQ86" i="5"/>
  <c r="AE73" i="5"/>
  <c r="C92" i="5"/>
  <c r="BK69" i="5"/>
  <c r="BR79" i="5"/>
  <c r="ES75" i="5"/>
  <c r="EZ68" i="5"/>
  <c r="AV80" i="5"/>
  <c r="BE83" i="5"/>
  <c r="DZ98" i="5"/>
  <c r="BU67" i="5"/>
  <c r="ES89" i="5"/>
  <c r="CC68" i="5"/>
  <c r="BB66" i="5"/>
  <c r="AW95" i="5"/>
  <c r="CN89" i="5"/>
  <c r="CX93" i="5"/>
  <c r="X93" i="5"/>
  <c r="EO68" i="5"/>
  <c r="EC86" i="5"/>
  <c r="BG88" i="5"/>
  <c r="FN81" i="5"/>
  <c r="EW73" i="5"/>
  <c r="CE91" i="5"/>
  <c r="EL86" i="5"/>
  <c r="BO71" i="5"/>
  <c r="DK79" i="5"/>
  <c r="Z79" i="5"/>
  <c r="BU74" i="5"/>
  <c r="EP83" i="5"/>
  <c r="EE80" i="5"/>
  <c r="Q91" i="5"/>
  <c r="DR69" i="5"/>
  <c r="ES94" i="5"/>
  <c r="CE76" i="5"/>
  <c r="CC96" i="5"/>
  <c r="EV93" i="5"/>
  <c r="AH66" i="5"/>
  <c r="B89" i="5"/>
  <c r="CT80" i="5"/>
  <c r="BE90" i="5"/>
  <c r="EZ74" i="5"/>
  <c r="EL68" i="5"/>
  <c r="DQ68" i="5"/>
  <c r="CP77" i="5"/>
  <c r="CS70" i="5"/>
  <c r="CE73" i="5"/>
  <c r="CR69" i="5"/>
  <c r="BL76" i="5"/>
  <c r="FO79" i="5"/>
  <c r="EM90" i="5"/>
  <c r="CY85" i="5"/>
  <c r="EU76" i="5"/>
  <c r="CE66" i="5"/>
  <c r="BX93" i="5"/>
  <c r="EB72" i="5"/>
  <c r="EV90" i="5"/>
  <c r="DC70" i="5"/>
  <c r="EP98" i="5"/>
  <c r="BA88" i="5"/>
  <c r="EI82" i="5"/>
  <c r="DS98" i="5"/>
  <c r="D79" i="5"/>
  <c r="Y71" i="5"/>
  <c r="ED93" i="5"/>
  <c r="CY83" i="5"/>
  <c r="FP76" i="5"/>
  <c r="BI68" i="5"/>
  <c r="EZ66" i="5"/>
  <c r="AN76" i="5"/>
  <c r="EN87" i="5"/>
  <c r="CP70" i="5"/>
  <c r="CL80" i="5"/>
  <c r="AG75" i="5"/>
  <c r="DL82" i="5"/>
  <c r="AZ96" i="5"/>
  <c r="DH83" i="5"/>
  <c r="FD74" i="5"/>
  <c r="FH94" i="5"/>
  <c r="DD78" i="5"/>
  <c r="S66" i="5"/>
  <c r="DS97" i="5"/>
  <c r="EJ80" i="5"/>
  <c r="Z87" i="5"/>
  <c r="EG92" i="5"/>
  <c r="CZ68" i="5"/>
  <c r="BO78" i="5"/>
  <c r="BA95" i="5"/>
  <c r="V65" i="5"/>
  <c r="EC80" i="5"/>
  <c r="BS96" i="5"/>
  <c r="T82" i="5"/>
  <c r="FS69" i="5"/>
  <c r="DX79" i="5"/>
  <c r="N72" i="5"/>
  <c r="DT65" i="5"/>
  <c r="DD92" i="5"/>
  <c r="AA96" i="5"/>
  <c r="CX79" i="5"/>
  <c r="AF76" i="5"/>
  <c r="DU83" i="5"/>
  <c r="AU98" i="5"/>
  <c r="AB73" i="5"/>
  <c r="EZ72" i="5"/>
  <c r="CO92" i="5"/>
  <c r="M75" i="5"/>
  <c r="AX77" i="5"/>
  <c r="V78" i="5"/>
  <c r="EX85" i="5"/>
  <c r="AI66" i="5"/>
  <c r="EK68" i="5"/>
  <c r="CV95" i="5"/>
  <c r="N70" i="5"/>
  <c r="AL92" i="5"/>
  <c r="CM98" i="5"/>
  <c r="FO73" i="5"/>
  <c r="CF81" i="5"/>
  <c r="EH88" i="5"/>
  <c r="P84" i="5"/>
  <c r="BQ67" i="5"/>
  <c r="B80" i="5"/>
  <c r="BC67" i="5"/>
  <c r="BQ68" i="5"/>
  <c r="U90" i="5"/>
  <c r="E72" i="5"/>
  <c r="D80" i="5"/>
  <c r="DG93" i="5"/>
  <c r="BZ89" i="5"/>
  <c r="DW98" i="5"/>
  <c r="X86" i="5"/>
  <c r="FP91" i="5"/>
  <c r="AK76" i="5"/>
  <c r="CH67" i="5"/>
  <c r="EV75" i="5"/>
  <c r="EK70" i="5"/>
  <c r="Q87" i="5"/>
  <c r="CP82" i="5"/>
  <c r="BT77" i="5"/>
  <c r="AF77" i="5"/>
  <c r="CZ79" i="5"/>
  <c r="FP84" i="5"/>
  <c r="P88" i="5"/>
  <c r="CN80" i="5"/>
  <c r="FN92" i="5"/>
  <c r="ER67" i="5"/>
  <c r="AP70" i="5"/>
  <c r="AK79" i="5"/>
  <c r="BY89" i="5"/>
  <c r="CB83" i="5"/>
  <c r="FK69" i="5"/>
  <c r="ES71" i="5"/>
  <c r="CG73" i="5"/>
  <c r="CV89" i="5"/>
  <c r="AZ87" i="5"/>
  <c r="CJ76" i="5"/>
  <c r="EU70" i="5"/>
  <c r="CN70" i="5"/>
  <c r="CA83" i="5"/>
  <c r="BB95" i="5"/>
  <c r="S79" i="5"/>
  <c r="BT81" i="5"/>
  <c r="FT71" i="5"/>
  <c r="DL98" i="5"/>
  <c r="DD70" i="5"/>
  <c r="AS82" i="5"/>
  <c r="BD77" i="5"/>
  <c r="N65" i="5"/>
  <c r="AR71" i="5"/>
  <c r="DN81" i="5"/>
  <c r="DP73" i="5"/>
  <c r="N84" i="5"/>
  <c r="AN94" i="5"/>
  <c r="EO84" i="5"/>
  <c r="T86" i="5"/>
  <c r="AV83" i="5"/>
  <c r="AR66" i="5"/>
  <c r="EL80" i="5"/>
  <c r="BT95" i="5"/>
  <c r="FE73" i="5"/>
  <c r="DO66" i="5"/>
  <c r="DP95" i="5"/>
  <c r="DM74" i="5"/>
  <c r="AM98" i="5"/>
  <c r="BD71" i="5"/>
  <c r="EE76" i="5"/>
  <c r="DY74" i="5"/>
  <c r="Y74" i="5"/>
  <c r="EG80" i="5"/>
  <c r="AZ97" i="5"/>
  <c r="DB65" i="5"/>
  <c r="EG86" i="5"/>
  <c r="BI87" i="5"/>
  <c r="EZ94" i="5"/>
  <c r="BB98" i="5"/>
  <c r="CJ92" i="5"/>
  <c r="EQ85" i="5"/>
  <c r="CT81" i="5"/>
  <c r="FD81" i="5"/>
  <c r="AS86" i="5"/>
  <c r="J86" i="5"/>
  <c r="CX76" i="5"/>
  <c r="AR88" i="5"/>
  <c r="AV78" i="5"/>
  <c r="CA65" i="5"/>
  <c r="BO88" i="5"/>
  <c r="FR95" i="5"/>
  <c r="EN71" i="5"/>
  <c r="AG67" i="5"/>
  <c r="BZ77" i="5"/>
  <c r="P98" i="5"/>
  <c r="DC97" i="5"/>
  <c r="CE80" i="5"/>
  <c r="BH98" i="5"/>
  <c r="DG75" i="5"/>
  <c r="I85" i="5"/>
  <c r="BR70" i="5"/>
  <c r="CL92" i="5"/>
  <c r="EE73" i="5"/>
  <c r="DW70" i="5"/>
  <c r="FT83" i="5"/>
  <c r="CC77" i="5"/>
  <c r="BJ71" i="5"/>
  <c r="BJ82" i="5"/>
  <c r="EE78" i="5"/>
  <c r="CR81" i="5"/>
  <c r="AI72" i="5"/>
  <c r="AK87" i="5"/>
  <c r="CQ74" i="5"/>
  <c r="EO97" i="5"/>
  <c r="CK75" i="5"/>
  <c r="CO87" i="5"/>
  <c r="Q96" i="5"/>
  <c r="FB77" i="5"/>
  <c r="CI98" i="5"/>
  <c r="BD82" i="5"/>
  <c r="EA77" i="5"/>
  <c r="V89" i="5"/>
  <c r="AQ75" i="5"/>
  <c r="AH89" i="5"/>
  <c r="EX97" i="5"/>
  <c r="AV87" i="5"/>
  <c r="CQ70" i="5"/>
  <c r="CZ97" i="5"/>
  <c r="AK88" i="5"/>
  <c r="CC74" i="5"/>
  <c r="AL91" i="5"/>
  <c r="BL94" i="5"/>
  <c r="EZ82" i="5"/>
  <c r="DW78" i="5"/>
  <c r="FE82" i="5"/>
  <c r="EE89" i="5"/>
  <c r="BT94" i="5"/>
  <c r="BK88" i="5"/>
  <c r="AH78" i="5"/>
  <c r="AW71" i="5"/>
  <c r="FG67" i="5"/>
  <c r="BS88" i="5"/>
  <c r="CK79" i="5"/>
  <c r="X95" i="5"/>
  <c r="AW90" i="5"/>
  <c r="J71" i="5"/>
  <c r="K96" i="5"/>
  <c r="BN91" i="5"/>
  <c r="CU91" i="5"/>
  <c r="EE97" i="5"/>
  <c r="BL68" i="5"/>
  <c r="EC88" i="5"/>
  <c r="O69" i="5"/>
  <c r="FL88" i="5"/>
  <c r="DP80" i="5"/>
  <c r="FR76" i="5"/>
  <c r="BS65" i="5"/>
  <c r="EI79" i="5"/>
  <c r="W91" i="5"/>
  <c r="FI87" i="5"/>
  <c r="BK93" i="5"/>
  <c r="DK74" i="5"/>
  <c r="CJ91" i="5"/>
  <c r="AE89" i="5"/>
  <c r="FG89" i="5"/>
  <c r="S76" i="5"/>
  <c r="DG90" i="5"/>
  <c r="DS95" i="5"/>
  <c r="EL89" i="5"/>
  <c r="CM78" i="5"/>
  <c r="FQ79" i="5"/>
  <c r="U96" i="5"/>
  <c r="CD78" i="5"/>
  <c r="BW79" i="5"/>
  <c r="Q97" i="5"/>
  <c r="AE91" i="5"/>
  <c r="AR72" i="5"/>
  <c r="EM95" i="5"/>
  <c r="BA98" i="5"/>
  <c r="DZ97" i="5"/>
  <c r="CC83" i="5"/>
  <c r="AN83" i="5"/>
  <c r="CU98" i="5"/>
  <c r="FM77" i="5"/>
  <c r="Q88" i="5"/>
  <c r="DS87" i="5"/>
  <c r="EP87" i="5"/>
  <c r="B92" i="5"/>
  <c r="K89" i="5"/>
  <c r="EU65" i="5"/>
  <c r="AY71" i="5"/>
  <c r="DW96" i="5"/>
  <c r="BG96" i="5"/>
  <c r="EG85" i="5"/>
  <c r="DU89" i="5"/>
  <c r="EF76" i="5"/>
  <c r="AR70" i="5"/>
  <c r="BL93" i="5"/>
  <c r="CI76" i="5"/>
  <c r="DX91" i="5"/>
  <c r="DW88" i="5"/>
  <c r="CS90" i="5"/>
  <c r="FE78" i="5"/>
  <c r="CW95" i="5"/>
  <c r="CP94" i="5"/>
  <c r="CV66" i="5"/>
  <c r="BA73" i="5"/>
  <c r="CR92" i="5"/>
  <c r="FN95" i="5"/>
  <c r="V76" i="5"/>
  <c r="C74" i="5"/>
  <c r="BF96" i="5"/>
  <c r="CE94" i="5"/>
  <c r="CD89" i="5"/>
  <c r="P79" i="5"/>
  <c r="AV90" i="5"/>
  <c r="BE96" i="5"/>
  <c r="EB91" i="5"/>
  <c r="BR90" i="5"/>
  <c r="DX72" i="5"/>
  <c r="AS68" i="5"/>
  <c r="AT73" i="5"/>
  <c r="Q72" i="5"/>
  <c r="BX90" i="5"/>
  <c r="CD80" i="5"/>
  <c r="DF72" i="5"/>
  <c r="K76" i="5"/>
  <c r="C73" i="5"/>
  <c r="CC93" i="5"/>
  <c r="AD91" i="5"/>
  <c r="CW78" i="5"/>
  <c r="Z70" i="5"/>
  <c r="AR87" i="5"/>
  <c r="CT71" i="5"/>
  <c r="FP90" i="5"/>
  <c r="BJ90" i="5"/>
  <c r="FI65" i="5"/>
  <c r="EC83" i="5"/>
  <c r="EB75" i="5"/>
  <c r="X73" i="5"/>
  <c r="FH88" i="5"/>
  <c r="CI73" i="5"/>
  <c r="CI65" i="5"/>
  <c r="CF97" i="5"/>
  <c r="Z95" i="5"/>
  <c r="K70" i="5"/>
  <c r="CK97" i="5"/>
  <c r="BO81" i="5"/>
  <c r="W83" i="5"/>
  <c r="EI75" i="5"/>
  <c r="BI66" i="5"/>
  <c r="EP75" i="5"/>
  <c r="FK67" i="5"/>
  <c r="BU94" i="5"/>
  <c r="DH84" i="5"/>
  <c r="DH76" i="5"/>
  <c r="V75" i="5"/>
  <c r="AN66" i="5"/>
  <c r="EI98" i="5"/>
  <c r="BV91" i="5"/>
  <c r="CI87" i="5"/>
  <c r="CG86" i="5"/>
  <c r="AA69" i="5"/>
  <c r="AH88" i="5"/>
  <c r="DV97" i="5"/>
  <c r="AA71" i="5"/>
  <c r="FP77" i="5"/>
  <c r="R79" i="5"/>
  <c r="AT98" i="5"/>
  <c r="AN87" i="5"/>
  <c r="BA84" i="5"/>
  <c r="FB73" i="5"/>
  <c r="BA66" i="5"/>
  <c r="DF91" i="5"/>
  <c r="S87" i="5"/>
  <c r="BE81" i="5"/>
  <c r="EB67" i="5"/>
  <c r="ES97" i="5"/>
  <c r="BW72" i="5"/>
  <c r="CB91" i="5"/>
  <c r="DA82" i="5"/>
  <c r="AN71" i="5"/>
  <c r="DO78" i="5"/>
  <c r="CJ98" i="5"/>
  <c r="FE97" i="5"/>
  <c r="DZ65" i="5"/>
  <c r="DI83" i="5"/>
  <c r="ER88" i="5"/>
  <c r="EF90" i="5"/>
  <c r="ET86" i="5"/>
  <c r="AX83" i="5"/>
  <c r="BK73" i="5"/>
  <c r="AD69" i="5"/>
  <c r="CD88" i="5"/>
  <c r="DC91" i="5"/>
  <c r="DW79" i="5"/>
  <c r="EH96" i="5"/>
  <c r="AI73" i="5"/>
  <c r="DP83" i="5"/>
  <c r="FS96" i="5"/>
  <c r="DO81" i="5"/>
  <c r="CC71" i="5"/>
  <c r="AC82" i="5"/>
  <c r="M68" i="5"/>
  <c r="EZ77" i="5"/>
  <c r="DD94" i="5"/>
  <c r="DX67" i="5"/>
  <c r="DB90" i="5"/>
  <c r="BS74" i="5"/>
  <c r="CY71" i="5"/>
  <c r="O85" i="5"/>
  <c r="EP86" i="5"/>
  <c r="DB69" i="5"/>
  <c r="FM80" i="5"/>
  <c r="DZ67" i="5"/>
  <c r="BP69" i="5"/>
  <c r="AL90" i="5"/>
  <c r="BL72" i="5"/>
  <c r="BT93" i="5"/>
  <c r="FS85" i="5"/>
  <c r="X66" i="5"/>
  <c r="CI72" i="5"/>
  <c r="FC89" i="5"/>
  <c r="EE70" i="5"/>
  <c r="FP81" i="5"/>
  <c r="AH92" i="5"/>
  <c r="CC73" i="5"/>
  <c r="CS71" i="5"/>
  <c r="V92" i="5"/>
  <c r="CA67" i="5"/>
  <c r="EC84" i="5"/>
  <c r="AO90" i="5"/>
  <c r="BG70" i="5"/>
  <c r="CT94" i="5"/>
  <c r="Z71" i="5"/>
  <c r="AN70" i="5"/>
  <c r="CB94" i="5"/>
  <c r="CB70" i="5"/>
  <c r="FR80" i="5"/>
  <c r="DR96" i="5"/>
  <c r="CI92" i="5"/>
  <c r="EU71" i="5"/>
  <c r="AX90" i="5"/>
  <c r="R69" i="5"/>
  <c r="BH96" i="5"/>
  <c r="DH65" i="5"/>
  <c r="EF85" i="5"/>
  <c r="AF94" i="5"/>
  <c r="FC80" i="5"/>
  <c r="EF78" i="5"/>
  <c r="EH86" i="5"/>
  <c r="BK84" i="5"/>
  <c r="B90" i="5"/>
  <c r="CS86" i="5"/>
  <c r="EP73" i="5"/>
  <c r="CO83" i="5"/>
  <c r="EZ96" i="5"/>
  <c r="DK78" i="5"/>
  <c r="DQ94" i="5"/>
  <c r="DX93" i="5"/>
  <c r="CS93" i="5"/>
  <c r="EM91" i="5"/>
  <c r="DK73" i="5"/>
  <c r="DV91" i="5"/>
  <c r="DU71" i="5"/>
  <c r="FO69" i="5"/>
  <c r="DU82" i="5"/>
  <c r="ET74" i="5"/>
  <c r="CE87" i="5"/>
  <c r="S82" i="5"/>
  <c r="DT67" i="5"/>
  <c r="DU67" i="5"/>
  <c r="EE74" i="5"/>
  <c r="CY97" i="5"/>
  <c r="FG97" i="5"/>
  <c r="BN68" i="5"/>
  <c r="EA74" i="5"/>
  <c r="CE79" i="5"/>
  <c r="EV92" i="5"/>
  <c r="EC78" i="5"/>
  <c r="EH65" i="5"/>
  <c r="DF68" i="5"/>
  <c r="DN95" i="5"/>
  <c r="CJ95" i="5"/>
  <c r="CR71" i="5"/>
  <c r="FL96" i="5"/>
  <c r="EW87" i="5"/>
  <c r="FN74" i="5"/>
  <c r="R95" i="5"/>
  <c r="FN68" i="5"/>
  <c r="EW89" i="5"/>
  <c r="DG88" i="5"/>
  <c r="BU89" i="5"/>
  <c r="S97" i="5"/>
  <c r="DB93" i="5"/>
  <c r="BV97" i="5"/>
  <c r="FS78" i="5"/>
  <c r="FF85" i="5"/>
  <c r="FP86" i="5"/>
  <c r="BE65" i="5"/>
  <c r="FS73" i="5"/>
  <c r="AA95" i="5"/>
  <c r="EM76" i="5"/>
  <c r="BM94" i="5"/>
  <c r="DQ69" i="5"/>
  <c r="BZ74" i="5"/>
  <c r="J94" i="5"/>
  <c r="CD74" i="5"/>
  <c r="FS87" i="5"/>
  <c r="DA68" i="5"/>
  <c r="AQ94" i="5"/>
  <c r="BJ83" i="5"/>
  <c r="S73" i="5"/>
  <c r="DH80" i="5"/>
  <c r="AT79" i="5"/>
  <c r="EY72" i="5"/>
  <c r="CJ93" i="5"/>
  <c r="CC88" i="5"/>
  <c r="DR72" i="5"/>
  <c r="AH91" i="5"/>
  <c r="BL65" i="5"/>
  <c r="AY91" i="5"/>
  <c r="CE67" i="5"/>
  <c r="EX81" i="5"/>
  <c r="CX96" i="5"/>
  <c r="DT88" i="5"/>
  <c r="CV73" i="5"/>
  <c r="I97" i="5"/>
  <c r="AJ98" i="5"/>
  <c r="DS92" i="5"/>
  <c r="EL69" i="5"/>
  <c r="AJ68" i="5"/>
  <c r="BB82" i="5"/>
  <c r="EK79" i="5"/>
  <c r="T65" i="5"/>
  <c r="DS70" i="5"/>
  <c r="BW71" i="5"/>
  <c r="AN98" i="5"/>
  <c r="EI74" i="5"/>
  <c r="BO70" i="5"/>
  <c r="EJ90" i="5"/>
  <c r="W79" i="5"/>
  <c r="BN92" i="5"/>
  <c r="FT77" i="5"/>
  <c r="AG73" i="5"/>
  <c r="D95" i="5"/>
  <c r="BC97" i="5"/>
  <c r="DR71" i="5"/>
  <c r="CZ73" i="5"/>
  <c r="EV85" i="5"/>
  <c r="EG83" i="5"/>
  <c r="CL66" i="5"/>
  <c r="EV71" i="5"/>
  <c r="DO96" i="5"/>
  <c r="DK90" i="5"/>
  <c r="P76" i="5"/>
  <c r="AI97" i="5"/>
  <c r="DJ74" i="5"/>
  <c r="EZ91" i="5"/>
  <c r="BC72" i="5"/>
  <c r="FI96" i="5"/>
  <c r="I70" i="5"/>
  <c r="EB68" i="5"/>
  <c r="B87" i="5"/>
  <c r="AZ72" i="5"/>
  <c r="AK80" i="5"/>
  <c r="FA75" i="5"/>
  <c r="EB84" i="5"/>
  <c r="BM76" i="5"/>
  <c r="CT92" i="5"/>
  <c r="CD81" i="5"/>
  <c r="AF73" i="5"/>
  <c r="EM98" i="5"/>
  <c r="AG74" i="5"/>
  <c r="AN68" i="5"/>
  <c r="EM74" i="5"/>
  <c r="DQ97" i="5"/>
  <c r="BB73" i="5"/>
  <c r="EH79" i="5"/>
  <c r="AA81" i="5"/>
  <c r="DY66" i="5"/>
  <c r="BP87" i="5"/>
  <c r="CY74" i="5"/>
  <c r="FR93" i="5"/>
  <c r="DX88" i="5"/>
  <c r="DL68" i="5"/>
  <c r="EI71" i="5"/>
  <c r="AY97" i="5"/>
  <c r="BI82" i="5"/>
  <c r="EX98" i="5"/>
  <c r="FK98" i="5"/>
  <c r="DC88" i="5"/>
  <c r="CJ74" i="5"/>
  <c r="ET65" i="5"/>
  <c r="CR98" i="5"/>
  <c r="CX77" i="5"/>
  <c r="AC65" i="5"/>
  <c r="AI95" i="5"/>
  <c r="AS80" i="5"/>
  <c r="BV89" i="5"/>
  <c r="CY88" i="5"/>
  <c r="CC72" i="5"/>
  <c r="DS74" i="5"/>
  <c r="CU87" i="5"/>
  <c r="DO73" i="5"/>
  <c r="FR79" i="5"/>
  <c r="CD95" i="5"/>
  <c r="D94" i="5"/>
  <c r="AB81" i="5"/>
  <c r="DF75" i="5"/>
  <c r="CN68" i="5"/>
  <c r="DX74" i="5"/>
  <c r="AB80" i="5"/>
  <c r="D65" i="5"/>
  <c r="D72" i="5"/>
  <c r="EF69" i="5"/>
  <c r="BR65" i="5"/>
  <c r="B94" i="5"/>
  <c r="BA90" i="5"/>
  <c r="BO94" i="5"/>
  <c r="CO94" i="5"/>
  <c r="BF74" i="5"/>
  <c r="EY91" i="5"/>
  <c r="AB79" i="5"/>
  <c r="T76" i="5"/>
  <c r="BA94" i="5"/>
  <c r="DY96" i="5"/>
  <c r="P77" i="5"/>
  <c r="FA65" i="5"/>
  <c r="CS83" i="5"/>
  <c r="AO80" i="5"/>
  <c r="Z77" i="5"/>
  <c r="CR75" i="5"/>
  <c r="CZ81" i="5"/>
  <c r="CZ67" i="5"/>
  <c r="FE96" i="5"/>
  <c r="AJ91" i="5"/>
  <c r="FN75" i="5"/>
  <c r="EI68" i="5"/>
  <c r="AI65" i="5"/>
  <c r="CW97" i="5"/>
  <c r="FR91" i="5"/>
  <c r="EI90" i="5"/>
  <c r="T91" i="5"/>
  <c r="DS88" i="5"/>
  <c r="E96" i="5"/>
  <c r="DH85" i="5"/>
  <c r="DH89" i="5"/>
  <c r="AV82" i="5"/>
  <c r="AR77" i="5"/>
  <c r="DO77" i="5"/>
  <c r="BG77" i="5"/>
  <c r="EB89" i="5"/>
  <c r="Y92" i="5"/>
  <c r="W69" i="5"/>
  <c r="BY73" i="5"/>
  <c r="FQ84" i="5"/>
  <c r="BM88" i="5"/>
  <c r="EA73" i="5"/>
  <c r="FK97" i="5"/>
  <c r="BF86" i="5"/>
  <c r="CD98" i="5"/>
  <c r="I67" i="5"/>
  <c r="Q92" i="5"/>
  <c r="Q94" i="5"/>
  <c r="FN78" i="5"/>
  <c r="BY66" i="5"/>
  <c r="DE68" i="5"/>
  <c r="DR82" i="5"/>
  <c r="V68" i="5"/>
  <c r="CD66" i="5"/>
  <c r="I98" i="5"/>
  <c r="AA80" i="5"/>
  <c r="L71" i="5"/>
  <c r="EJ85" i="5"/>
  <c r="BY68" i="5"/>
  <c r="BJ95" i="5"/>
  <c r="FF70" i="5"/>
  <c r="FG94" i="5"/>
  <c r="BB72" i="5"/>
  <c r="U76" i="5"/>
  <c r="EB97" i="5"/>
  <c r="CX84" i="5"/>
  <c r="AI76" i="5"/>
  <c r="U66" i="5"/>
  <c r="AH93" i="5"/>
  <c r="E88" i="5"/>
  <c r="AJ81" i="5"/>
  <c r="BG86" i="5"/>
  <c r="AP86" i="5"/>
  <c r="AP77" i="5"/>
  <c r="DA93" i="5"/>
  <c r="CE95" i="5"/>
  <c r="BD76" i="5"/>
  <c r="FA98" i="5"/>
  <c r="EP67" i="5"/>
  <c r="BU66" i="5"/>
  <c r="AW94" i="5"/>
  <c r="DY82" i="5"/>
  <c r="AG77" i="5"/>
  <c r="BJ80" i="5"/>
  <c r="AJ93" i="5"/>
  <c r="CJ96" i="5"/>
  <c r="AM80" i="5"/>
  <c r="AZ77" i="5"/>
  <c r="DM66" i="5"/>
  <c r="EX67" i="5"/>
  <c r="BY72" i="5"/>
  <c r="AT75" i="5"/>
  <c r="CK96" i="5"/>
  <c r="W89" i="5"/>
  <c r="DG92" i="5"/>
  <c r="DR65" i="5"/>
  <c r="M95" i="5"/>
  <c r="EE91" i="5"/>
  <c r="DW93" i="5"/>
  <c r="BP66" i="5"/>
  <c r="AN73" i="5"/>
  <c r="ET70" i="5"/>
  <c r="EA86" i="5"/>
  <c r="BR96" i="5"/>
  <c r="DV85" i="5"/>
  <c r="EF81" i="5"/>
  <c r="DZ81" i="5"/>
  <c r="CN96" i="5"/>
  <c r="AD89" i="5"/>
  <c r="N68" i="5"/>
  <c r="AD79" i="5"/>
  <c r="FO83" i="5"/>
  <c r="BV80" i="5"/>
  <c r="BJ68" i="5"/>
  <c r="M77" i="5"/>
  <c r="EF74" i="5"/>
  <c r="FF95" i="5"/>
  <c r="DE87" i="5"/>
  <c r="CT86" i="5"/>
  <c r="FC75" i="5"/>
  <c r="BW95" i="5"/>
  <c r="CA93" i="5"/>
  <c r="AR69" i="5"/>
  <c r="BK70" i="5"/>
  <c r="CR79" i="5"/>
  <c r="CR74" i="5"/>
  <c r="BI94" i="5"/>
  <c r="CI78" i="5"/>
  <c r="DW84" i="5"/>
  <c r="Y80" i="5"/>
  <c r="N80" i="5"/>
  <c r="AS77" i="5"/>
  <c r="EE95" i="5"/>
  <c r="CK93" i="5"/>
  <c r="EF79" i="5"/>
  <c r="AQ76" i="5"/>
  <c r="DI79" i="5"/>
  <c r="DI98" i="5"/>
  <c r="DM65" i="5"/>
  <c r="BY69" i="5"/>
  <c r="BP71" i="5"/>
  <c r="AV85" i="5"/>
  <c r="FE85" i="5"/>
  <c r="BD93" i="5"/>
  <c r="CW85" i="5"/>
  <c r="AX74" i="5"/>
  <c r="CS96" i="5"/>
  <c r="L81" i="5"/>
  <c r="AS78" i="5"/>
  <c r="AQ83" i="5"/>
  <c r="AJ80" i="5"/>
  <c r="O71" i="5"/>
  <c r="BE75" i="5"/>
  <c r="FP92" i="5"/>
  <c r="BZ70" i="5"/>
  <c r="AK67" i="5"/>
  <c r="E129" i="5"/>
  <c r="F129" i="5"/>
  <c r="B129" i="5"/>
  <c r="F101" i="15"/>
  <c r="G100" i="15"/>
  <c r="I4" i="15"/>
  <c r="J53" i="15"/>
  <c r="G3" i="15"/>
  <c r="J86" i="15"/>
  <c r="G73" i="54"/>
  <c r="G74" i="15"/>
  <c r="J143" i="15"/>
  <c r="G101" i="15"/>
  <c r="F101" i="54"/>
  <c r="F102" i="15"/>
  <c r="F127" i="54"/>
  <c r="F128" i="15"/>
  <c r="G60" i="15"/>
  <c r="J145" i="15"/>
  <c r="G33" i="54"/>
  <c r="F34" i="54"/>
  <c r="J32" i="15"/>
  <c r="J107" i="15"/>
  <c r="J134" i="15"/>
  <c r="J124" i="15"/>
  <c r="I6" i="15"/>
  <c r="I8" i="15"/>
  <c r="I10" i="15"/>
  <c r="J148" i="15"/>
  <c r="J138" i="15"/>
  <c r="F68" i="15"/>
  <c r="G67" i="54"/>
  <c r="G3" i="54"/>
  <c r="G4" i="15"/>
  <c r="U31" i="15"/>
  <c r="S31" i="15"/>
  <c r="V30" i="15"/>
  <c r="P31" i="15"/>
  <c r="T31" i="15"/>
  <c r="J31" i="15"/>
  <c r="J40" i="15"/>
  <c r="V39" i="15"/>
  <c r="G5" i="54"/>
  <c r="F6" i="54"/>
  <c r="F152" i="54"/>
  <c r="G5" i="15"/>
  <c r="I5" i="15"/>
  <c r="I7" i="15"/>
  <c r="I9" i="15"/>
  <c r="I11" i="15"/>
  <c r="I3" i="15"/>
  <c r="G75" i="15"/>
  <c r="F75" i="54"/>
  <c r="J144" i="15"/>
  <c r="J137" i="15"/>
  <c r="V57" i="15"/>
  <c r="J58" i="15"/>
  <c r="V16" i="15"/>
  <c r="J17" i="15"/>
  <c r="J14" i="15"/>
  <c r="V13" i="15"/>
  <c r="V12" i="15"/>
  <c r="F61" i="15"/>
  <c r="G60" i="54"/>
  <c r="J98" i="15"/>
  <c r="J136" i="15"/>
  <c r="R31" i="15"/>
  <c r="Q31" i="15"/>
  <c r="G6" i="15"/>
  <c r="F35" i="15"/>
  <c r="G34" i="54"/>
  <c r="G35" i="15"/>
  <c r="G101" i="54"/>
  <c r="G102" i="15"/>
  <c r="G34" i="15"/>
  <c r="G127" i="54"/>
  <c r="G128" i="15"/>
  <c r="G152" i="54"/>
  <c r="F153" i="15"/>
  <c r="F68" i="54"/>
  <c r="G68" i="15"/>
  <c r="F76" i="15"/>
  <c r="G75" i="54"/>
  <c r="G6" i="54"/>
  <c r="F7" i="15"/>
  <c r="G61" i="15"/>
  <c r="F61" i="54"/>
  <c r="F35" i="54"/>
  <c r="F128" i="54"/>
  <c r="F102" i="54"/>
  <c r="F103" i="15"/>
  <c r="F129" i="15"/>
  <c r="G128" i="54"/>
  <c r="G68" i="54"/>
  <c r="F69" i="15"/>
  <c r="F153" i="54"/>
  <c r="G153" i="15"/>
  <c r="F36" i="15"/>
  <c r="G35" i="54"/>
  <c r="G102" i="54"/>
  <c r="F62" i="15"/>
  <c r="G61" i="54"/>
  <c r="F76" i="54"/>
  <c r="G76" i="15"/>
  <c r="F7" i="54"/>
  <c r="G7" i="15"/>
  <c r="G69" i="15"/>
  <c r="F69" i="54"/>
  <c r="G129" i="15"/>
  <c r="F129" i="54"/>
  <c r="F154" i="15"/>
  <c r="G153" i="54"/>
  <c r="G7" i="54"/>
  <c r="F8" i="15"/>
  <c r="F77" i="15"/>
  <c r="G76" i="54"/>
  <c r="G62" i="15"/>
  <c r="F62" i="54"/>
  <c r="G103" i="15"/>
  <c r="F103" i="54"/>
  <c r="F36" i="54"/>
  <c r="G36" i="15"/>
  <c r="F70" i="15"/>
  <c r="G69" i="54"/>
  <c r="G129" i="54"/>
  <c r="F130" i="15"/>
  <c r="G154" i="15"/>
  <c r="F154" i="54"/>
  <c r="F37" i="15"/>
  <c r="G36" i="54"/>
  <c r="G103" i="54"/>
  <c r="F104" i="15"/>
  <c r="F63" i="15"/>
  <c r="G62" i="54"/>
  <c r="G77" i="15"/>
  <c r="F77" i="54"/>
  <c r="G8" i="15"/>
  <c r="F8" i="54"/>
  <c r="F130" i="54"/>
  <c r="G130" i="15"/>
  <c r="G70" i="15"/>
  <c r="F70" i="54"/>
  <c r="F155" i="15"/>
  <c r="G154" i="54"/>
  <c r="F9" i="15"/>
  <c r="G8" i="54"/>
  <c r="F78" i="15"/>
  <c r="G77" i="54"/>
  <c r="G63" i="15"/>
  <c r="F63" i="54"/>
  <c r="F104" i="54"/>
  <c r="G104" i="15"/>
  <c r="F37" i="54"/>
  <c r="G37" i="15"/>
  <c r="F155" i="54"/>
  <c r="G155" i="15"/>
  <c r="F71" i="15"/>
  <c r="G70" i="54"/>
  <c r="G130" i="54"/>
  <c r="F131" i="15"/>
  <c r="G37" i="54"/>
  <c r="F38" i="15"/>
  <c r="G104" i="54"/>
  <c r="F105" i="15"/>
  <c r="F64" i="15"/>
  <c r="G63" i="54"/>
  <c r="F78" i="54"/>
  <c r="G78" i="15"/>
  <c r="G9" i="15"/>
  <c r="F9" i="54"/>
  <c r="G71" i="15"/>
  <c r="F71" i="54"/>
  <c r="F131" i="54"/>
  <c r="G131" i="15"/>
  <c r="G155" i="54"/>
  <c r="F156" i="15"/>
  <c r="G9" i="54"/>
  <c r="F10" i="15"/>
  <c r="G78" i="54"/>
  <c r="F79" i="15"/>
  <c r="F64" i="54"/>
  <c r="G64" i="15"/>
  <c r="G105" i="15"/>
  <c r="F105" i="54"/>
  <c r="G38" i="15"/>
  <c r="F38" i="54"/>
  <c r="G131" i="54"/>
  <c r="F132" i="15"/>
  <c r="F72" i="15"/>
  <c r="G71" i="54"/>
  <c r="G72" i="15"/>
  <c r="F156" i="54"/>
  <c r="G156" i="15"/>
  <c r="G38" i="54"/>
  <c r="F39" i="15"/>
  <c r="G105" i="54"/>
  <c r="F106" i="15"/>
  <c r="F65" i="15"/>
  <c r="G64" i="54"/>
  <c r="F79" i="54"/>
  <c r="G79" i="15"/>
  <c r="F10" i="54"/>
  <c r="G10" i="15"/>
  <c r="F157" i="15"/>
  <c r="G156" i="54"/>
  <c r="G157" i="15"/>
  <c r="G132" i="15"/>
  <c r="F132" i="54"/>
  <c r="G10" i="54"/>
  <c r="F11" i="15"/>
  <c r="G79" i="54"/>
  <c r="F80" i="15"/>
  <c r="G65" i="15"/>
  <c r="F65" i="54"/>
  <c r="G106" i="15"/>
  <c r="F106" i="54"/>
  <c r="G39" i="15"/>
  <c r="F39" i="54"/>
  <c r="G132" i="54"/>
  <c r="F133" i="15"/>
  <c r="G39" i="54"/>
  <c r="F40" i="15"/>
  <c r="F107" i="15"/>
  <c r="G106" i="54"/>
  <c r="F66" i="15"/>
  <c r="G65" i="54"/>
  <c r="G66" i="15"/>
  <c r="F80" i="54"/>
  <c r="G80" i="15"/>
  <c r="G11" i="15"/>
  <c r="F11" i="54"/>
  <c r="G133" i="15"/>
  <c r="F133" i="54"/>
  <c r="G11" i="54"/>
  <c r="F12" i="15"/>
  <c r="G80" i="54"/>
  <c r="F81" i="15"/>
  <c r="G107" i="15"/>
  <c r="F107" i="54"/>
  <c r="F40" i="54"/>
  <c r="G40" i="15"/>
  <c r="G133" i="54"/>
  <c r="F134" i="15"/>
  <c r="F41" i="15"/>
  <c r="G40" i="54"/>
  <c r="F108" i="15"/>
  <c r="G107" i="54"/>
  <c r="G81" i="15"/>
  <c r="F81" i="54"/>
  <c r="G12" i="15"/>
  <c r="F12" i="54"/>
  <c r="G134" i="15"/>
  <c r="F134" i="54"/>
  <c r="F13" i="15"/>
  <c r="G12" i="54"/>
  <c r="G81" i="54"/>
  <c r="F82" i="15"/>
  <c r="G108" i="15"/>
  <c r="F108" i="54"/>
  <c r="G41" i="15"/>
  <c r="F41" i="54"/>
  <c r="F135" i="15"/>
  <c r="G134" i="54"/>
  <c r="G41" i="54"/>
  <c r="F42" i="15"/>
  <c r="G108" i="54"/>
  <c r="F109" i="15"/>
  <c r="F82" i="54"/>
  <c r="G82" i="15"/>
  <c r="G13" i="15"/>
  <c r="F13" i="54"/>
  <c r="F135" i="54"/>
  <c r="G135" i="15"/>
  <c r="F14" i="15"/>
  <c r="G13" i="54"/>
  <c r="G82" i="54"/>
  <c r="F83" i="15"/>
  <c r="G109" i="15"/>
  <c r="F109" i="54"/>
  <c r="F42" i="54"/>
  <c r="G42" i="15"/>
  <c r="F136" i="15"/>
  <c r="G135" i="54"/>
  <c r="F43" i="15"/>
  <c r="G42" i="54"/>
  <c r="G109" i="54"/>
  <c r="F110" i="15"/>
  <c r="G83" i="15"/>
  <c r="F83" i="54"/>
  <c r="G14" i="15"/>
  <c r="F14" i="54"/>
  <c r="F136" i="54"/>
  <c r="G136" i="15"/>
  <c r="F15" i="15"/>
  <c r="G14" i="54"/>
  <c r="F84" i="15"/>
  <c r="G83" i="54"/>
  <c r="G110" i="15"/>
  <c r="F110" i="54"/>
  <c r="G43" i="15"/>
  <c r="F43" i="54"/>
  <c r="F137" i="15"/>
  <c r="G136" i="54"/>
  <c r="F44" i="15"/>
  <c r="G43" i="54"/>
  <c r="F111" i="15"/>
  <c r="G110" i="54"/>
  <c r="F84" i="54"/>
  <c r="G84" i="15"/>
  <c r="G15" i="15"/>
  <c r="F15" i="54"/>
  <c r="F137" i="54"/>
  <c r="G137" i="15"/>
  <c r="F16" i="15"/>
  <c r="G15" i="54"/>
  <c r="G84" i="54"/>
  <c r="F85" i="15"/>
  <c r="G111" i="15"/>
  <c r="F111" i="54"/>
  <c r="G44" i="15"/>
  <c r="F44" i="54"/>
  <c r="F138" i="15"/>
  <c r="G137" i="54"/>
  <c r="G44" i="54"/>
  <c r="F45" i="15"/>
  <c r="F112" i="15"/>
  <c r="G111" i="54"/>
  <c r="G85" i="15"/>
  <c r="F85" i="54"/>
  <c r="F16" i="54"/>
  <c r="G16" i="15"/>
  <c r="F138" i="54"/>
  <c r="G138" i="15"/>
  <c r="F17" i="15"/>
  <c r="G16" i="54"/>
  <c r="G85" i="54"/>
  <c r="F86" i="15"/>
  <c r="G112" i="15"/>
  <c r="F112" i="54"/>
  <c r="G45" i="15"/>
  <c r="F45" i="54"/>
  <c r="F139" i="15"/>
  <c r="G138" i="54"/>
  <c r="G45" i="54"/>
  <c r="F46" i="15"/>
  <c r="G112" i="54"/>
  <c r="F113" i="15"/>
  <c r="G86" i="15"/>
  <c r="F86" i="54"/>
  <c r="G17" i="15"/>
  <c r="F17" i="54"/>
  <c r="G139" i="15"/>
  <c r="F139" i="54"/>
  <c r="F18" i="15"/>
  <c r="G17" i="54"/>
  <c r="G86" i="54"/>
  <c r="F87" i="15"/>
  <c r="G113" i="15"/>
  <c r="F113" i="54"/>
  <c r="G46" i="15"/>
  <c r="F46" i="54"/>
  <c r="G139" i="54"/>
  <c r="F140" i="15"/>
  <c r="G46" i="54"/>
  <c r="F47" i="15"/>
  <c r="G113" i="54"/>
  <c r="F114" i="15"/>
  <c r="G87" i="15"/>
  <c r="F87" i="54"/>
  <c r="F18" i="54"/>
  <c r="G18" i="15"/>
  <c r="G140" i="15"/>
  <c r="F140" i="54"/>
  <c r="F19" i="15"/>
  <c r="G18" i="54"/>
  <c r="G87" i="54"/>
  <c r="F88" i="15"/>
  <c r="G114" i="15"/>
  <c r="F114" i="54"/>
  <c r="G47" i="15"/>
  <c r="F47" i="54"/>
  <c r="G140" i="54"/>
  <c r="F141" i="15"/>
  <c r="G47" i="54"/>
  <c r="F48" i="15"/>
  <c r="G114" i="54"/>
  <c r="F115" i="15"/>
  <c r="G88" i="15"/>
  <c r="F88" i="54"/>
  <c r="F19" i="54"/>
  <c r="G19" i="15"/>
  <c r="G141" i="15"/>
  <c r="F141" i="54"/>
  <c r="F20" i="15"/>
  <c r="G19" i="54"/>
  <c r="G88" i="54"/>
  <c r="F89" i="15"/>
  <c r="G115" i="15"/>
  <c r="F115" i="54"/>
  <c r="G48" i="15"/>
  <c r="F48" i="54"/>
  <c r="F142" i="15"/>
  <c r="G141" i="54"/>
  <c r="G48" i="54"/>
  <c r="F49" i="15"/>
  <c r="G115" i="54"/>
  <c r="F116" i="15"/>
  <c r="G89" i="15"/>
  <c r="F89" i="54"/>
  <c r="F20" i="54"/>
  <c r="G20" i="15"/>
  <c r="G142" i="15"/>
  <c r="F142" i="54"/>
  <c r="F21" i="15"/>
  <c r="G20" i="54"/>
  <c r="G89" i="54"/>
  <c r="F90" i="15"/>
  <c r="G116" i="15"/>
  <c r="F116" i="54"/>
  <c r="G49" i="15"/>
  <c r="F49" i="54"/>
  <c r="G142" i="54"/>
  <c r="F143" i="15"/>
  <c r="G49" i="54"/>
  <c r="F50" i="15"/>
  <c r="G116" i="54"/>
  <c r="F117" i="15"/>
  <c r="G90" i="15"/>
  <c r="F90" i="54"/>
  <c r="F21" i="54"/>
  <c r="G21" i="15"/>
  <c r="G143" i="15"/>
  <c r="F143" i="54"/>
  <c r="F22" i="15"/>
  <c r="G21" i="54"/>
  <c r="G90" i="54"/>
  <c r="F91" i="15"/>
  <c r="G117" i="15"/>
  <c r="F117" i="54"/>
  <c r="G50" i="15"/>
  <c r="F50" i="54"/>
  <c r="G143" i="54"/>
  <c r="F144" i="15"/>
  <c r="G50" i="54"/>
  <c r="F51" i="15"/>
  <c r="G117" i="54"/>
  <c r="F118" i="15"/>
  <c r="G91" i="15"/>
  <c r="F91" i="54"/>
  <c r="F22" i="54"/>
  <c r="G22" i="15"/>
  <c r="F144" i="54"/>
  <c r="G144" i="15"/>
  <c r="F23" i="15"/>
  <c r="G22" i="54"/>
  <c r="G91" i="54"/>
  <c r="F92" i="15"/>
  <c r="G118" i="15"/>
  <c r="F118" i="54"/>
  <c r="G51" i="15"/>
  <c r="F51" i="54"/>
  <c r="G144" i="54"/>
  <c r="F145" i="15"/>
  <c r="G51" i="54"/>
  <c r="F52" i="15"/>
  <c r="G118" i="54"/>
  <c r="F119" i="15"/>
  <c r="G92" i="15"/>
  <c r="F92" i="54"/>
  <c r="F23" i="54"/>
  <c r="G23" i="15"/>
  <c r="F145" i="54"/>
  <c r="G145" i="15"/>
  <c r="F24" i="15"/>
  <c r="G23" i="54"/>
  <c r="G92" i="54"/>
  <c r="F93" i="15"/>
  <c r="G119" i="15"/>
  <c r="F119" i="54"/>
  <c r="G52" i="15"/>
  <c r="F52" i="54"/>
  <c r="G145" i="54"/>
  <c r="F146" i="15"/>
  <c r="G52" i="54"/>
  <c r="F53" i="15"/>
  <c r="G119" i="54"/>
  <c r="F120" i="15"/>
  <c r="G93" i="15"/>
  <c r="F93" i="54"/>
  <c r="F24" i="54"/>
  <c r="G24" i="15"/>
  <c r="F146" i="54"/>
  <c r="G146" i="15"/>
  <c r="F25" i="15"/>
  <c r="G24" i="54"/>
  <c r="G93" i="54"/>
  <c r="F94" i="15"/>
  <c r="G120" i="15"/>
  <c r="F120" i="54"/>
  <c r="G53" i="15"/>
  <c r="F53" i="54"/>
  <c r="G146" i="54"/>
  <c r="F147" i="15"/>
  <c r="G53" i="54"/>
  <c r="F54" i="15"/>
  <c r="G120" i="54"/>
  <c r="F121" i="15"/>
  <c r="G94" i="15"/>
  <c r="F94" i="54"/>
  <c r="F25" i="54"/>
  <c r="G25" i="15"/>
  <c r="F147" i="54"/>
  <c r="G147" i="15"/>
  <c r="F26" i="15"/>
  <c r="G25" i="54"/>
  <c r="G94" i="54"/>
  <c r="F95" i="15"/>
  <c r="G121" i="15"/>
  <c r="F121" i="54"/>
  <c r="G54" i="15"/>
  <c r="F54" i="54"/>
  <c r="G147" i="54"/>
  <c r="F148" i="15"/>
  <c r="G54" i="54"/>
  <c r="F55" i="15"/>
  <c r="G121" i="54"/>
  <c r="F122" i="15"/>
  <c r="G95" i="15"/>
  <c r="F95" i="54"/>
  <c r="F26" i="54"/>
  <c r="G26" i="15"/>
  <c r="G148" i="15"/>
  <c r="F148" i="54"/>
  <c r="F27" i="15"/>
  <c r="G26" i="54"/>
  <c r="G95" i="54"/>
  <c r="F96" i="15"/>
  <c r="G122" i="15"/>
  <c r="F122" i="54"/>
  <c r="G55" i="15"/>
  <c r="F55" i="54"/>
  <c r="G148" i="54"/>
  <c r="F149" i="15"/>
  <c r="G55" i="54"/>
  <c r="F56" i="15"/>
  <c r="G122" i="54"/>
  <c r="F123" i="15"/>
  <c r="G96" i="15"/>
  <c r="F96" i="54"/>
  <c r="F27" i="54"/>
  <c r="G27" i="15"/>
  <c r="G149" i="15"/>
  <c r="F149" i="54"/>
  <c r="F28" i="15"/>
  <c r="G27" i="54"/>
  <c r="G96" i="54"/>
  <c r="F97" i="15"/>
  <c r="G123" i="15"/>
  <c r="F123" i="54"/>
  <c r="G56" i="15"/>
  <c r="F56" i="54"/>
  <c r="G149" i="54"/>
  <c r="F150" i="15"/>
  <c r="F57" i="15"/>
  <c r="G56" i="54"/>
  <c r="F124" i="15"/>
  <c r="G123" i="54"/>
  <c r="G97" i="15"/>
  <c r="F97" i="54"/>
  <c r="F28" i="54"/>
  <c r="G28" i="15"/>
  <c r="F150" i="54"/>
  <c r="G150" i="15"/>
  <c r="G28" i="54"/>
  <c r="F29" i="15"/>
  <c r="G97" i="54"/>
  <c r="F98" i="15"/>
  <c r="G124" i="15"/>
  <c r="F124" i="54"/>
  <c r="G57" i="15"/>
  <c r="F57" i="54"/>
  <c r="F151" i="15"/>
  <c r="G150" i="54"/>
  <c r="F58" i="15"/>
  <c r="G57" i="54"/>
  <c r="F125" i="15"/>
  <c r="G124" i="54"/>
  <c r="G98" i="15"/>
  <c r="F98" i="54"/>
  <c r="G29" i="15"/>
  <c r="F29" i="54"/>
  <c r="F30" i="15"/>
  <c r="G29" i="54"/>
  <c r="F99" i="15"/>
  <c r="G98" i="54"/>
  <c r="G99" i="15"/>
  <c r="F125" i="54"/>
  <c r="G125" i="15"/>
  <c r="F58" i="54"/>
  <c r="G58" i="15"/>
  <c r="G58" i="54"/>
  <c r="G59" i="15"/>
  <c r="F59" i="15"/>
  <c r="G125" i="54"/>
  <c r="G126" i="15"/>
  <c r="F126" i="15"/>
  <c r="G30" i="15"/>
  <c r="F30" i="54"/>
  <c r="F31" i="15"/>
  <c r="G30" i="54"/>
  <c r="G31" i="15"/>
  <c r="F31" i="54"/>
  <c r="F32" i="15"/>
  <c r="G31" i="54"/>
  <c r="G32" i="15"/>
  <c r="DZ62" i="5"/>
  <c r="BN28" i="5"/>
  <c r="AR61" i="5"/>
  <c r="CM9" i="5"/>
  <c r="EV16" i="5"/>
  <c r="AR60" i="5"/>
  <c r="FC64" i="5"/>
  <c r="DM56" i="5"/>
  <c r="ET30" i="5"/>
  <c r="AL62" i="5"/>
  <c r="CA6" i="5"/>
  <c r="BX44" i="5"/>
  <c r="DY22" i="5"/>
  <c r="R29" i="5"/>
  <c r="DY50" i="5"/>
  <c r="DW56" i="5"/>
  <c r="O63" i="5"/>
  <c r="AX54" i="5"/>
  <c r="EM63" i="5"/>
  <c r="FN59" i="5"/>
  <c r="ET11" i="5"/>
  <c r="K62" i="5"/>
  <c r="CP58" i="5"/>
  <c r="EE61" i="5"/>
  <c r="CG48" i="5"/>
  <c r="AB11" i="5"/>
  <c r="FE6" i="5"/>
  <c r="BL64" i="5"/>
  <c r="FH55" i="5"/>
  <c r="BN38" i="5"/>
  <c r="AE33" i="5"/>
  <c r="CU64" i="5"/>
  <c r="FC35" i="5"/>
  <c r="BK28" i="5"/>
  <c r="FL63" i="5"/>
  <c r="CW44" i="5"/>
  <c r="M48" i="5"/>
  <c r="X64" i="5"/>
  <c r="BP54" i="5"/>
  <c r="DS27" i="5"/>
  <c r="BE13" i="5"/>
  <c r="G53" i="5"/>
  <c r="H18" i="5"/>
  <c r="AB12" i="5"/>
  <c r="DV41" i="5"/>
  <c r="FL16" i="5"/>
  <c r="DM49" i="5"/>
  <c r="FK63" i="5"/>
  <c r="AT16" i="5"/>
  <c r="ET55" i="5"/>
  <c r="G26" i="5"/>
  <c r="D56" i="5"/>
  <c r="CH15" i="5"/>
  <c r="S60" i="5"/>
  <c r="V8" i="5"/>
  <c r="AB50" i="5"/>
  <c r="BK62" i="5"/>
  <c r="DN45" i="5"/>
  <c r="DH55" i="5"/>
  <c r="EI32" i="5"/>
  <c r="EF11" i="5"/>
  <c r="DW13" i="5"/>
  <c r="FS57" i="5"/>
  <c r="AS11" i="5"/>
  <c r="ED8" i="5"/>
  <c r="DQ24" i="5"/>
  <c r="CZ46" i="5"/>
  <c r="F8" i="5"/>
  <c r="CQ59" i="5"/>
  <c r="DY4" i="5"/>
  <c r="BR24" i="5"/>
  <c r="EP24" i="5"/>
  <c r="EM51" i="5"/>
  <c r="EZ56" i="5"/>
  <c r="CI21" i="5"/>
  <c r="CM57" i="5"/>
  <c r="AX37" i="5"/>
  <c r="CY58" i="5"/>
  <c r="CJ58" i="5"/>
  <c r="F25" i="5"/>
  <c r="AG49" i="5"/>
  <c r="H60" i="5"/>
  <c r="AB29" i="5"/>
  <c r="DF57" i="5"/>
  <c r="U47" i="5"/>
  <c r="FK18" i="5"/>
  <c r="DE34" i="5"/>
  <c r="H52" i="5"/>
  <c r="CN23" i="5"/>
  <c r="Y61" i="5"/>
  <c r="FC27" i="5"/>
  <c r="BG63" i="5"/>
  <c r="AD24" i="5"/>
  <c r="CK30" i="5"/>
  <c r="CI63" i="5"/>
  <c r="CB63" i="5"/>
  <c r="BN49" i="5"/>
  <c r="FI33" i="5"/>
  <c r="U30" i="5"/>
  <c r="DP39" i="5"/>
  <c r="FR8" i="5"/>
  <c r="BL6" i="5"/>
  <c r="CA47" i="5"/>
  <c r="AM62" i="5"/>
  <c r="T58" i="5"/>
  <c r="CJ59" i="5"/>
  <c r="EF54" i="5"/>
  <c r="DK36" i="5"/>
  <c r="H7" i="5"/>
  <c r="AQ14" i="5"/>
  <c r="BH56" i="5"/>
  <c r="I59" i="5"/>
  <c r="EJ55" i="5"/>
  <c r="BO63" i="5"/>
  <c r="CG63" i="5"/>
  <c r="CB57" i="5"/>
  <c r="EH10" i="5"/>
  <c r="FT57" i="5"/>
  <c r="FI61" i="5"/>
  <c r="DG6" i="5"/>
  <c r="EB7" i="5"/>
  <c r="BA50" i="5"/>
  <c r="O37" i="5"/>
  <c r="C63" i="5"/>
  <c r="EW29" i="5"/>
  <c r="EM15" i="5"/>
  <c r="FI43" i="5"/>
  <c r="AL42" i="5"/>
  <c r="DP42" i="5"/>
  <c r="BB47" i="5"/>
  <c r="AC29" i="5"/>
  <c r="CR34" i="5"/>
  <c r="BT48" i="5"/>
  <c r="S9" i="5"/>
  <c r="AZ63" i="5"/>
  <c r="D55" i="5"/>
  <c r="M23" i="5"/>
  <c r="ED50" i="5"/>
  <c r="FL6" i="5"/>
  <c r="FO60" i="5"/>
  <c r="T39" i="5"/>
  <c r="H24" i="5"/>
  <c r="S5" i="5"/>
  <c r="CG62" i="5"/>
  <c r="BO62" i="5"/>
  <c r="DO22" i="5"/>
  <c r="ER42" i="5"/>
  <c r="BF64" i="5"/>
  <c r="FC14" i="5"/>
  <c r="L58" i="5"/>
  <c r="AJ14" i="5"/>
  <c r="AI6" i="5"/>
  <c r="EA5" i="5"/>
  <c r="H46" i="5"/>
  <c r="FH36" i="5"/>
  <c r="BO17" i="5"/>
  <c r="CQ57" i="5"/>
  <c r="BZ43" i="5"/>
  <c r="CS61" i="5"/>
  <c r="G31" i="5"/>
  <c r="DZ23" i="5"/>
  <c r="CS46" i="5"/>
  <c r="EW64" i="5"/>
  <c r="F21" i="5"/>
  <c r="ER48" i="5"/>
  <c r="AW27" i="5"/>
  <c r="FF61" i="5"/>
  <c r="AC39" i="5"/>
  <c r="BI18" i="5"/>
  <c r="AF41" i="5"/>
  <c r="BS56" i="5"/>
  <c r="DD36" i="5"/>
  <c r="EX13" i="5"/>
  <c r="CT56" i="5"/>
  <c r="CQ4" i="5"/>
  <c r="AB22" i="5"/>
  <c r="EL27" i="5"/>
  <c r="DF64" i="5"/>
  <c r="AH32" i="5"/>
  <c r="DP16" i="5"/>
  <c r="BW39" i="5"/>
  <c r="AM52" i="5"/>
  <c r="BO56" i="5"/>
  <c r="EG62" i="5"/>
  <c r="DV57" i="5"/>
  <c r="T53" i="5"/>
  <c r="FC61" i="5"/>
  <c r="BX50" i="5"/>
  <c r="DV46" i="5"/>
  <c r="DA4" i="5"/>
  <c r="DB19" i="5"/>
  <c r="H49" i="5"/>
  <c r="EI3" i="5"/>
  <c r="AF36" i="5"/>
  <c r="FO56" i="5"/>
  <c r="I27" i="5"/>
  <c r="AY30" i="5"/>
  <c r="EB64" i="5"/>
  <c r="AI59" i="5"/>
  <c r="CD61" i="5"/>
  <c r="ED37" i="5"/>
  <c r="DU44" i="5"/>
  <c r="CG28" i="5"/>
  <c r="DI21" i="5"/>
  <c r="EE12" i="5"/>
  <c r="FP48" i="5"/>
  <c r="DG28" i="5"/>
  <c r="EC54" i="5"/>
  <c r="DC51" i="5"/>
  <c r="CH62" i="5"/>
  <c r="AZ62" i="5"/>
  <c r="CG42" i="5"/>
  <c r="DW47" i="5"/>
  <c r="FO4" i="5"/>
  <c r="K60" i="5"/>
  <c r="BW26" i="5"/>
  <c r="FO39" i="5"/>
  <c r="CE28" i="5"/>
  <c r="I36" i="5"/>
  <c r="AG36" i="5"/>
  <c r="AZ49" i="5"/>
  <c r="EY48" i="5"/>
  <c r="BN12" i="5"/>
  <c r="BO57" i="5"/>
  <c r="BX3" i="5"/>
  <c r="DM54" i="5"/>
  <c r="DV12" i="5"/>
  <c r="DS58" i="5"/>
  <c r="AQ5" i="5"/>
  <c r="DP5" i="5"/>
  <c r="FG11" i="5"/>
  <c r="CZ48" i="5"/>
  <c r="FN64" i="5"/>
  <c r="EN59" i="5"/>
  <c r="AU37" i="5"/>
  <c r="G57" i="5"/>
  <c r="AG27" i="5"/>
  <c r="BC17" i="5"/>
  <c r="AU28" i="5"/>
  <c r="EP22" i="5"/>
  <c r="EQ33" i="5"/>
  <c r="AK32" i="5"/>
  <c r="FI55" i="5"/>
  <c r="BH24" i="5"/>
  <c r="FF25" i="5"/>
  <c r="BC6" i="5"/>
  <c r="AF53" i="5"/>
  <c r="CX59" i="5"/>
  <c r="EL20" i="5"/>
  <c r="DF63" i="5"/>
  <c r="N63" i="5"/>
  <c r="CG15" i="5"/>
  <c r="BD54" i="5"/>
  <c r="DI59" i="5"/>
  <c r="AC58" i="5"/>
  <c r="BW46" i="5"/>
  <c r="EP27" i="5"/>
  <c r="CP21" i="5"/>
  <c r="FF57" i="5"/>
  <c r="CY17" i="5"/>
  <c r="FQ48" i="5"/>
  <c r="EF12" i="5"/>
  <c r="DX5" i="5"/>
  <c r="AV36" i="5"/>
  <c r="CF35" i="5"/>
  <c r="EV55" i="5"/>
  <c r="BW42" i="5"/>
  <c r="DQ56" i="5"/>
  <c r="EB52" i="5"/>
  <c r="S43" i="5"/>
  <c r="AS56" i="5"/>
  <c r="M51" i="5"/>
  <c r="FT5" i="5"/>
  <c r="S64" i="5"/>
  <c r="DH54" i="5"/>
  <c r="P55" i="5"/>
  <c r="D6" i="5"/>
  <c r="AD10" i="5"/>
  <c r="BV57" i="5"/>
  <c r="FA57" i="5"/>
  <c r="DK64" i="5"/>
  <c r="AS54" i="5"/>
  <c r="EQ56" i="5"/>
  <c r="ED56" i="5"/>
  <c r="AX59" i="5"/>
  <c r="BH61" i="5"/>
  <c r="DO62" i="5"/>
  <c r="BR31" i="5"/>
  <c r="FP9" i="5"/>
  <c r="EN7" i="5"/>
  <c r="BN50" i="5"/>
  <c r="N55" i="5"/>
  <c r="AI58" i="5"/>
  <c r="FI59" i="5"/>
  <c r="EC7" i="5"/>
  <c r="DG61" i="5"/>
  <c r="AB43" i="5"/>
  <c r="DK5" i="5"/>
  <c r="H55" i="5"/>
  <c r="FS27" i="5"/>
  <c r="BW22" i="5"/>
  <c r="FJ21" i="5"/>
  <c r="CM27" i="5"/>
  <c r="EV36" i="5"/>
  <c r="N16" i="5"/>
  <c r="DO4" i="5"/>
  <c r="CH49" i="5"/>
  <c r="DF31" i="5"/>
  <c r="FS56" i="5"/>
  <c r="DI53" i="5"/>
  <c r="J37" i="5"/>
  <c r="AH47" i="5"/>
  <c r="AN64" i="5"/>
  <c r="AU53" i="5"/>
  <c r="DT16" i="5"/>
  <c r="FO55" i="5"/>
  <c r="CG14" i="5"/>
  <c r="BZ57" i="5"/>
  <c r="FG57" i="5"/>
  <c r="FP54" i="5"/>
  <c r="BP63" i="5"/>
  <c r="Y48" i="5"/>
  <c r="FJ58" i="5"/>
  <c r="M12" i="5"/>
  <c r="CW56" i="5"/>
  <c r="AL57" i="5"/>
  <c r="DV18" i="5"/>
  <c r="EU51" i="5"/>
  <c r="DZ45" i="5"/>
  <c r="DF42" i="5"/>
  <c r="EG29" i="5"/>
  <c r="BJ45" i="5"/>
  <c r="AE64" i="5"/>
  <c r="FM24" i="5"/>
  <c r="DQ19" i="5"/>
  <c r="AK59" i="5"/>
  <c r="E8" i="5"/>
  <c r="F14" i="5"/>
  <c r="EB33" i="5"/>
  <c r="CU43" i="5"/>
  <c r="DR57" i="5"/>
  <c r="H19" i="5"/>
  <c r="AE29" i="5"/>
  <c r="FN50" i="5"/>
  <c r="G6" i="5"/>
  <c r="DZ51" i="5"/>
  <c r="AX36" i="5"/>
  <c r="EO47" i="5"/>
  <c r="DT50" i="5"/>
  <c r="R60" i="5"/>
  <c r="DV32" i="5"/>
  <c r="BG33" i="5"/>
  <c r="BV55" i="5"/>
  <c r="BX58" i="5"/>
  <c r="EF4" i="5"/>
  <c r="EA32" i="5"/>
  <c r="AT39" i="5"/>
  <c r="BO52" i="5"/>
  <c r="BO61" i="5"/>
  <c r="P59" i="5"/>
  <c r="DZ30" i="5"/>
  <c r="FM62" i="5"/>
  <c r="BJ27" i="5"/>
  <c r="BO43" i="5"/>
  <c r="AQ9" i="5"/>
  <c r="EK58" i="5"/>
  <c r="EQ59" i="5"/>
  <c r="DZ22" i="5"/>
  <c r="EP17" i="5"/>
  <c r="Y15" i="5"/>
  <c r="H50" i="5"/>
  <c r="BD55" i="5"/>
  <c r="CB18" i="5"/>
  <c r="FT8" i="5"/>
  <c r="CD10" i="5"/>
  <c r="ED59" i="5"/>
  <c r="CI36" i="5"/>
  <c r="CH56" i="5"/>
  <c r="BW20" i="5"/>
  <c r="ER9" i="5"/>
  <c r="DY8" i="5"/>
  <c r="EP36" i="5"/>
  <c r="DJ30" i="5"/>
  <c r="BK39" i="5"/>
  <c r="BY58" i="5"/>
  <c r="G33" i="5"/>
  <c r="EK60" i="5"/>
  <c r="FR33" i="5"/>
  <c r="CV48" i="5"/>
  <c r="FE51" i="5"/>
  <c r="BM56" i="5"/>
  <c r="AM36" i="5"/>
  <c r="FK57" i="5"/>
  <c r="AU63" i="5"/>
  <c r="DA36" i="5"/>
  <c r="DY15" i="5"/>
  <c r="F16" i="5"/>
  <c r="O56" i="5"/>
  <c r="I32" i="5"/>
  <c r="CG27" i="5"/>
  <c r="BE47" i="5"/>
  <c r="EP50" i="5"/>
  <c r="AH43" i="5"/>
  <c r="CT62" i="5"/>
  <c r="ER35" i="5"/>
  <c r="BU34" i="5"/>
  <c r="DB43" i="5"/>
  <c r="ET50" i="5"/>
  <c r="CL28" i="5"/>
  <c r="DE29" i="5"/>
  <c r="BL8" i="5"/>
  <c r="AQ54" i="5"/>
  <c r="BH9" i="5"/>
  <c r="AY23" i="5"/>
  <c r="DV13" i="5"/>
  <c r="EX19" i="5"/>
  <c r="AS47" i="5"/>
  <c r="AK54" i="5"/>
  <c r="F6" i="5"/>
  <c r="AB59" i="5"/>
  <c r="G22" i="5"/>
  <c r="ER37" i="5"/>
  <c r="CT20" i="5"/>
  <c r="DJ43" i="5"/>
  <c r="FA18" i="5"/>
  <c r="FC38" i="5"/>
  <c r="FQ16" i="5"/>
  <c r="BT49" i="5"/>
  <c r="EG52" i="5"/>
  <c r="DU22" i="5"/>
  <c r="EJ34" i="5"/>
  <c r="CW60" i="5"/>
  <c r="EG45" i="5"/>
  <c r="CZ24" i="5"/>
  <c r="CF52" i="5"/>
  <c r="CW7" i="5"/>
  <c r="ET51" i="5"/>
  <c r="DL21" i="5"/>
  <c r="AQ61" i="5"/>
  <c r="BG13" i="5"/>
  <c r="FP13" i="5"/>
  <c r="P64" i="5"/>
  <c r="BC38" i="5"/>
  <c r="AI62" i="5"/>
  <c r="I55" i="5"/>
  <c r="AZ61" i="5"/>
  <c r="FI18" i="5"/>
  <c r="T15" i="5"/>
  <c r="CA39" i="5"/>
  <c r="H15" i="5"/>
  <c r="FN57" i="5"/>
  <c r="AE47" i="5"/>
  <c r="CY6" i="5"/>
  <c r="EA39" i="5"/>
  <c r="AZ3" i="5"/>
  <c r="AR4" i="5"/>
  <c r="R63" i="5"/>
  <c r="CG12" i="5"/>
  <c r="FL43" i="5"/>
  <c r="CZ49" i="5"/>
  <c r="AL28" i="5"/>
  <c r="AM51" i="5"/>
  <c r="DE7" i="5"/>
  <c r="ES19" i="5"/>
  <c r="DC31" i="5"/>
  <c r="CP62" i="5"/>
  <c r="FC20" i="5"/>
  <c r="N4" i="5"/>
  <c r="DF13" i="5"/>
  <c r="N61" i="5"/>
  <c r="CZ19" i="5"/>
  <c r="CW12" i="5"/>
  <c r="BF57" i="5"/>
  <c r="BD34" i="5"/>
  <c r="ES64" i="5"/>
  <c r="DJ59" i="5"/>
  <c r="CD22" i="5"/>
  <c r="CU56" i="5"/>
  <c r="EA45" i="5"/>
  <c r="AZ9" i="5"/>
  <c r="CZ9" i="5"/>
  <c r="FD24" i="5"/>
  <c r="DE26" i="5"/>
  <c r="EJ28" i="5"/>
  <c r="CG5" i="5"/>
  <c r="DW43" i="5"/>
  <c r="AV55" i="5"/>
  <c r="EW51" i="5"/>
  <c r="DD33" i="5"/>
  <c r="H20" i="5"/>
  <c r="BW24" i="5"/>
  <c r="EV50" i="5"/>
  <c r="CF31" i="5"/>
  <c r="CZ38" i="5"/>
  <c r="G40" i="5"/>
  <c r="DT54" i="5"/>
  <c r="AA29" i="5"/>
  <c r="DX63" i="5"/>
  <c r="CO26" i="5"/>
  <c r="BF58" i="5"/>
  <c r="EA17" i="5"/>
  <c r="AZ21" i="5"/>
  <c r="DQ3" i="5"/>
  <c r="EZ55" i="5"/>
  <c r="DW12" i="5"/>
  <c r="BI57" i="5"/>
  <c r="C43" i="5"/>
  <c r="DN47" i="5"/>
  <c r="AC12" i="5"/>
  <c r="CF58" i="5"/>
  <c r="R12" i="5"/>
  <c r="EY63" i="5"/>
  <c r="CM18" i="5"/>
  <c r="K38" i="5"/>
  <c r="G12" i="5"/>
  <c r="I25" i="5"/>
  <c r="FI36" i="5"/>
  <c r="BF55" i="5"/>
  <c r="D28" i="5"/>
  <c r="W11" i="5"/>
  <c r="EN57" i="5"/>
  <c r="EW57" i="5"/>
  <c r="BE59" i="5"/>
  <c r="EC62" i="5"/>
  <c r="AN8" i="5"/>
  <c r="Z10" i="5"/>
  <c r="EQ22" i="5"/>
  <c r="AE53" i="5"/>
  <c r="CX11" i="5"/>
  <c r="CA63" i="5"/>
  <c r="BA55" i="5"/>
  <c r="DJ44" i="5"/>
  <c r="BT12" i="5"/>
  <c r="AP8" i="5"/>
  <c r="EL61" i="5"/>
  <c r="CE8" i="5"/>
  <c r="BN22" i="5"/>
  <c r="BR64" i="5"/>
  <c r="FO12" i="5"/>
  <c r="AK18" i="5"/>
  <c r="AW40" i="5"/>
  <c r="CR32" i="5"/>
  <c r="AP63" i="5"/>
  <c r="CI7" i="5"/>
  <c r="CB58" i="5"/>
  <c r="EK31" i="5"/>
  <c r="U22" i="5"/>
  <c r="FH27" i="5"/>
  <c r="AO28" i="5"/>
  <c r="BA22" i="5"/>
  <c r="CG56" i="5"/>
  <c r="H12" i="5"/>
  <c r="EK23" i="5"/>
  <c r="FN49" i="5"/>
  <c r="AY31" i="5"/>
  <c r="CP11" i="5"/>
  <c r="DA58" i="5"/>
  <c r="DQ45" i="5"/>
  <c r="DK27" i="5"/>
  <c r="BY41" i="5"/>
  <c r="DI64" i="5"/>
  <c r="EN29" i="5"/>
  <c r="BW41" i="5"/>
  <c r="EZ62" i="5"/>
  <c r="DX8" i="5"/>
  <c r="EC60" i="5"/>
  <c r="AX28" i="5"/>
  <c r="CZ60" i="5"/>
  <c r="Y17" i="5"/>
  <c r="FM17" i="5"/>
  <c r="H26" i="5"/>
  <c r="AU29" i="5"/>
  <c r="AY47" i="5"/>
  <c r="N54" i="5"/>
  <c r="CJ38" i="5"/>
  <c r="DR47" i="5"/>
  <c r="BW45" i="5"/>
  <c r="I38" i="5"/>
  <c r="CK23" i="5"/>
  <c r="C38" i="5"/>
  <c r="CK61" i="5"/>
  <c r="CN63" i="5"/>
  <c r="BO8" i="5"/>
  <c r="FE47" i="5"/>
  <c r="BT16" i="5"/>
  <c r="CT41" i="5"/>
  <c r="BN17" i="5"/>
  <c r="DO23" i="5"/>
  <c r="ER50" i="5"/>
  <c r="CH51" i="5"/>
  <c r="EK61" i="5"/>
  <c r="AS49" i="5"/>
  <c r="FQ9" i="5"/>
  <c r="G17" i="5"/>
  <c r="AB24" i="5"/>
  <c r="BR55" i="5"/>
  <c r="CP54" i="5"/>
  <c r="CT49" i="5"/>
  <c r="CE57" i="5"/>
  <c r="B5" i="5"/>
  <c r="AZ64" i="5"/>
  <c r="DD3" i="5"/>
  <c r="FP42" i="5"/>
  <c r="BY59" i="5"/>
  <c r="N56" i="5"/>
  <c r="CC52" i="5"/>
  <c r="ED11" i="5"/>
  <c r="EF63" i="5"/>
  <c r="L59" i="5"/>
  <c r="CN18" i="5"/>
  <c r="DX21" i="5"/>
  <c r="CK56" i="5"/>
  <c r="BE63" i="5"/>
  <c r="DP47" i="5"/>
  <c r="FJ52" i="5"/>
  <c r="R47" i="5"/>
  <c r="EI63" i="5"/>
  <c r="EJ21" i="5"/>
  <c r="AR58" i="5"/>
  <c r="DB16" i="5"/>
  <c r="DR45" i="5"/>
  <c r="BH46" i="5"/>
  <c r="EM45" i="5"/>
  <c r="AL39" i="5"/>
  <c r="F10" i="5"/>
  <c r="FA64" i="5"/>
  <c r="AL8" i="5"/>
  <c r="V38" i="5"/>
  <c r="EW7" i="5"/>
  <c r="AY41" i="5"/>
  <c r="BY36" i="5"/>
  <c r="DB64" i="5"/>
  <c r="BT20" i="5"/>
  <c r="BZ45" i="5"/>
  <c r="G34" i="5"/>
  <c r="DA12" i="5"/>
  <c r="DN40" i="5"/>
  <c r="CD54" i="5"/>
  <c r="BU61" i="5"/>
  <c r="AE19" i="5"/>
  <c r="CI43" i="5"/>
  <c r="DN55" i="5"/>
  <c r="AA61" i="5"/>
  <c r="BY13" i="5"/>
  <c r="BH30" i="5"/>
  <c r="D18" i="5"/>
  <c r="AT3" i="5"/>
  <c r="BY62" i="5"/>
  <c r="DV55" i="5"/>
  <c r="EA44" i="5"/>
  <c r="CS8" i="5"/>
  <c r="AL38" i="5"/>
  <c r="DN26" i="5"/>
  <c r="G19" i="5"/>
  <c r="CR60" i="5"/>
  <c r="AU15" i="5"/>
  <c r="CZ47" i="5"/>
  <c r="EB18" i="5"/>
  <c r="FB44" i="5"/>
  <c r="DN64" i="5"/>
  <c r="EM34" i="5"/>
  <c r="D50" i="5"/>
  <c r="DQ61" i="5"/>
  <c r="BN19" i="5"/>
  <c r="EB59" i="5"/>
  <c r="CQ36" i="5"/>
  <c r="DT7" i="5"/>
  <c r="EN35" i="5"/>
  <c r="BN43" i="5"/>
  <c r="EP62" i="5"/>
  <c r="EG40" i="5"/>
  <c r="FC47" i="5"/>
  <c r="EG34" i="5"/>
  <c r="BV12" i="5"/>
  <c r="ES7" i="5"/>
  <c r="BD23" i="5"/>
  <c r="DW40" i="5"/>
  <c r="W15" i="5"/>
  <c r="BL62" i="5"/>
  <c r="AQ57" i="5"/>
  <c r="AD49" i="5"/>
  <c r="FB60" i="5"/>
  <c r="FE8" i="5"/>
  <c r="CV46" i="5"/>
  <c r="D13" i="5"/>
  <c r="AU56" i="5"/>
  <c r="BN56" i="5"/>
  <c r="ES26" i="5"/>
  <c r="K47" i="5"/>
  <c r="ET58" i="5"/>
  <c r="EX60" i="5"/>
  <c r="CR53" i="5"/>
  <c r="DJ29" i="5"/>
  <c r="H62" i="5"/>
  <c r="BA60" i="5"/>
  <c r="FM41" i="5"/>
  <c r="BG28" i="5"/>
  <c r="DR25" i="5"/>
  <c r="AX8" i="5"/>
  <c r="CB62" i="5"/>
  <c r="AH63" i="5"/>
  <c r="DX61" i="5"/>
  <c r="AO39" i="5"/>
  <c r="BY25" i="5"/>
  <c r="EO57" i="5"/>
  <c r="CG64" i="5"/>
  <c r="AH10" i="5"/>
  <c r="EB12" i="5"/>
  <c r="CS63" i="5"/>
  <c r="DX25" i="5"/>
  <c r="EI41" i="5"/>
  <c r="FJ50" i="5"/>
  <c r="BK57" i="5"/>
  <c r="FM5" i="5"/>
  <c r="CU62" i="5"/>
  <c r="C45" i="5"/>
  <c r="AY49" i="5"/>
  <c r="AR12" i="5"/>
  <c r="FQ21" i="5"/>
  <c r="AL59" i="5"/>
  <c r="D51" i="5"/>
  <c r="BH33" i="5"/>
  <c r="EM17" i="5"/>
  <c r="FE39" i="5"/>
  <c r="DS57" i="5"/>
  <c r="EE26" i="5"/>
  <c r="BD59" i="5"/>
  <c r="AD63" i="5"/>
  <c r="EY36" i="5"/>
  <c r="BX13" i="5"/>
  <c r="AU51" i="5"/>
  <c r="C3" i="5"/>
  <c r="F18" i="5"/>
  <c r="AB47" i="5"/>
  <c r="BA32" i="5"/>
  <c r="FT31" i="5"/>
  <c r="DH12" i="5"/>
  <c r="AZ14" i="5"/>
  <c r="AC60" i="5"/>
  <c r="AD33" i="5"/>
  <c r="AL9" i="5"/>
  <c r="BU31" i="5"/>
  <c r="W3" i="5"/>
  <c r="AZ7" i="5"/>
  <c r="EI48" i="5"/>
  <c r="N43" i="5"/>
  <c r="C62" i="5"/>
  <c r="BB40" i="5"/>
  <c r="DU15" i="5"/>
  <c r="BR29" i="5"/>
  <c r="CZ22" i="5"/>
  <c r="BG64" i="5"/>
  <c r="FL8" i="5"/>
  <c r="DO20" i="5"/>
  <c r="FD34" i="5"/>
  <c r="BR23" i="5"/>
  <c r="EX63" i="5"/>
  <c r="EQ23" i="5"/>
  <c r="BT26" i="5"/>
  <c r="CM35" i="5"/>
  <c r="Q56" i="5"/>
  <c r="G5" i="5"/>
  <c r="V58" i="5"/>
  <c r="BO58" i="5"/>
  <c r="AB45" i="5"/>
  <c r="D57" i="5"/>
  <c r="BZ34" i="5"/>
  <c r="W43" i="5"/>
  <c r="FG3" i="5"/>
  <c r="EV41" i="5"/>
  <c r="BK59" i="5"/>
  <c r="BN23" i="5"/>
  <c r="P29" i="5"/>
  <c r="EN56" i="5"/>
  <c r="EH16" i="5"/>
  <c r="EF46" i="5"/>
  <c r="AR43" i="5"/>
  <c r="CH7" i="5"/>
  <c r="H29" i="5"/>
  <c r="H51" i="5"/>
  <c r="BT4" i="5"/>
  <c r="M59" i="5"/>
  <c r="AD58" i="5"/>
  <c r="BR5" i="5"/>
  <c r="FF63" i="5"/>
  <c r="EK57" i="5"/>
  <c r="AD22" i="5"/>
  <c r="BF42" i="5"/>
  <c r="AN54" i="5"/>
  <c r="BD64" i="5"/>
  <c r="EY13" i="5"/>
  <c r="DM17" i="5"/>
  <c r="DW42" i="5"/>
  <c r="AY12" i="5"/>
  <c r="CU34" i="5"/>
  <c r="DU35" i="5"/>
  <c r="FL61" i="5"/>
  <c r="FF18" i="5"/>
  <c r="AD56" i="5"/>
  <c r="AX39" i="5"/>
  <c r="CD63" i="5"/>
  <c r="BP59" i="5"/>
  <c r="CN48" i="5"/>
  <c r="BS59" i="5"/>
  <c r="BI32" i="5"/>
  <c r="G8" i="5"/>
  <c r="AB7" i="5"/>
  <c r="T5" i="5"/>
  <c r="U55" i="5"/>
  <c r="EZ60" i="5"/>
  <c r="AY27" i="5"/>
  <c r="EA64" i="5"/>
  <c r="EG11" i="5"/>
  <c r="BH7" i="5"/>
  <c r="T56" i="5"/>
  <c r="CI62" i="5"/>
  <c r="Y50" i="5"/>
  <c r="FK14" i="5"/>
  <c r="P63" i="5"/>
  <c r="CL60" i="5"/>
  <c r="AB56" i="5"/>
  <c r="AC49" i="5"/>
  <c r="C35" i="5"/>
  <c r="AU24" i="5"/>
  <c r="EL34" i="5"/>
  <c r="M41" i="5"/>
  <c r="BE22" i="5"/>
  <c r="CD30" i="5"/>
  <c r="CK60" i="5"/>
  <c r="EG46" i="5"/>
  <c r="B16" i="5"/>
  <c r="DA38" i="5"/>
  <c r="CI29" i="5"/>
  <c r="BT55" i="5"/>
  <c r="EV62" i="5"/>
  <c r="F11" i="5"/>
  <c r="DW54" i="5"/>
  <c r="AD34" i="5"/>
  <c r="AO55" i="5"/>
  <c r="CD5" i="5"/>
  <c r="AA22" i="5"/>
  <c r="AI63" i="5"/>
  <c r="CG46" i="5"/>
  <c r="EK22" i="5"/>
  <c r="BH58" i="5"/>
  <c r="CN59" i="5"/>
  <c r="ED25" i="5"/>
  <c r="DF61" i="5"/>
  <c r="S29" i="5"/>
  <c r="M62" i="5"/>
  <c r="EI55" i="5"/>
  <c r="EH61" i="5"/>
  <c r="CU49" i="5"/>
  <c r="AG13" i="5"/>
  <c r="AL40" i="5"/>
  <c r="FH17" i="5"/>
  <c r="BD46" i="5"/>
  <c r="O45" i="5"/>
  <c r="DY62" i="5"/>
  <c r="BQ4" i="5"/>
  <c r="FQ29" i="5"/>
  <c r="EP41" i="5"/>
  <c r="DE40" i="5"/>
  <c r="CG59" i="5"/>
  <c r="AJ29" i="5"/>
  <c r="BL60" i="5"/>
  <c r="DL12" i="5"/>
  <c r="DC34" i="5"/>
  <c r="L24" i="5"/>
  <c r="DY19" i="5"/>
  <c r="Y62" i="5"/>
  <c r="AA41" i="5"/>
  <c r="EQ45" i="5"/>
  <c r="AL26" i="5"/>
  <c r="FG58" i="5"/>
  <c r="AF64" i="5"/>
  <c r="BH35" i="5"/>
  <c r="Z43" i="5"/>
  <c r="BU38" i="5"/>
  <c r="AG64" i="5"/>
  <c r="EW43" i="5"/>
  <c r="D8" i="5"/>
  <c r="CG26" i="5"/>
  <c r="AR54" i="5"/>
  <c r="FR62" i="5"/>
  <c r="G41" i="5"/>
  <c r="BT64" i="5"/>
  <c r="BB41" i="5"/>
  <c r="DR63" i="5"/>
  <c r="G62" i="5"/>
  <c r="ET18" i="5"/>
  <c r="EF47" i="5"/>
  <c r="BN24" i="5"/>
  <c r="FN25" i="5"/>
  <c r="AE57" i="5"/>
  <c r="AL25" i="5"/>
  <c r="AU41" i="5"/>
  <c r="DJ34" i="5"/>
  <c r="EC35" i="5"/>
  <c r="AE58" i="5"/>
  <c r="CC50" i="5"/>
  <c r="EA56" i="5"/>
  <c r="CH31" i="5"/>
  <c r="EJ53" i="5"/>
  <c r="AP64" i="5"/>
  <c r="J57" i="5"/>
  <c r="BA58" i="5"/>
  <c r="FP53" i="5"/>
  <c r="FI35" i="5"/>
  <c r="EO26" i="5"/>
  <c r="DS24" i="5"/>
  <c r="AE52" i="5"/>
  <c r="DB29" i="5"/>
  <c r="ER30" i="5"/>
  <c r="BB19" i="5"/>
  <c r="AE54" i="5"/>
  <c r="FM38" i="5"/>
  <c r="H39" i="5"/>
  <c r="BC4" i="5"/>
  <c r="R56" i="5"/>
  <c r="FO35" i="5"/>
  <c r="FE4" i="5"/>
  <c r="AB19" i="5"/>
  <c r="FK49" i="5"/>
  <c r="EJ39" i="5"/>
  <c r="BW44" i="5"/>
  <c r="G32" i="5"/>
  <c r="AP58" i="5"/>
  <c r="DN59" i="5"/>
  <c r="BW13" i="5"/>
  <c r="EB60" i="5"/>
  <c r="FB32" i="5"/>
  <c r="EJ35" i="5"/>
  <c r="DK12" i="5"/>
  <c r="CJ63" i="5"/>
  <c r="CY51" i="5"/>
  <c r="CH18" i="5"/>
  <c r="BZ62" i="5"/>
  <c r="AQ62" i="5"/>
  <c r="FN20" i="5"/>
  <c r="DV14" i="5"/>
  <c r="CC42" i="5"/>
  <c r="DM55" i="5"/>
  <c r="AD40" i="5"/>
  <c r="AP47" i="5"/>
  <c r="AW41" i="5"/>
  <c r="FQ56" i="5"/>
  <c r="P56" i="5"/>
  <c r="K14" i="5"/>
  <c r="EK55" i="5"/>
  <c r="CC5" i="5"/>
  <c r="BB39" i="5"/>
  <c r="AF20" i="5"/>
  <c r="AW18" i="5"/>
  <c r="BG43" i="5"/>
  <c r="BT6" i="5"/>
  <c r="CH21" i="5"/>
  <c r="AE61" i="5"/>
  <c r="P51" i="5"/>
  <c r="FR30" i="5"/>
  <c r="AH39" i="5"/>
  <c r="FO28" i="5"/>
  <c r="CH48" i="5"/>
  <c r="AC35" i="5"/>
  <c r="CI47" i="5"/>
  <c r="N6" i="5"/>
  <c r="AI48" i="5"/>
  <c r="DO44" i="5"/>
  <c r="DH60" i="5"/>
  <c r="FE24" i="5"/>
  <c r="CY56" i="5"/>
  <c r="BV36" i="5"/>
  <c r="CI59" i="5"/>
  <c r="AV25" i="5"/>
  <c r="AV40" i="5"/>
  <c r="N7" i="5"/>
  <c r="R53" i="5"/>
  <c r="AK22" i="5"/>
  <c r="AU23" i="5"/>
  <c r="AH59" i="5"/>
  <c r="M22" i="5"/>
  <c r="FL60" i="5"/>
  <c r="CP61" i="5"/>
  <c r="EZ15" i="5"/>
  <c r="FP51" i="5"/>
  <c r="CZ28" i="5"/>
  <c r="DE5" i="5"/>
  <c r="CF51" i="5"/>
  <c r="I49" i="5"/>
  <c r="C59" i="5"/>
  <c r="U54" i="5"/>
  <c r="EI40" i="5"/>
  <c r="Y34" i="5"/>
  <c r="CL50" i="5"/>
  <c r="DR30" i="5"/>
  <c r="EZ33" i="5"/>
  <c r="AO5" i="5"/>
  <c r="ER62" i="5"/>
  <c r="I22" i="5"/>
  <c r="FD36" i="5"/>
  <c r="G45" i="5"/>
  <c r="CF41" i="5"/>
  <c r="EA14" i="5"/>
  <c r="CS28" i="5"/>
  <c r="FI41" i="5"/>
  <c r="S40" i="5"/>
  <c r="EW10" i="5"/>
  <c r="AK37" i="5"/>
  <c r="EX57" i="5"/>
  <c r="CE6" i="5"/>
  <c r="EK16" i="5"/>
  <c r="DR4" i="5"/>
  <c r="Y46" i="5"/>
  <c r="BI49" i="5"/>
  <c r="BN37" i="5"/>
  <c r="BC23" i="5"/>
  <c r="CX56" i="5"/>
  <c r="D12" i="5"/>
  <c r="BG15" i="5"/>
  <c r="CR30" i="5"/>
  <c r="AK53" i="5"/>
  <c r="EU53" i="5"/>
  <c r="EI54" i="5"/>
  <c r="BI6" i="5"/>
  <c r="BY43" i="5"/>
  <c r="EX56" i="5"/>
  <c r="EW16" i="5"/>
  <c r="AK64" i="5"/>
  <c r="FK64" i="5"/>
  <c r="AA17" i="5"/>
  <c r="CO17" i="5"/>
  <c r="DL59" i="5"/>
  <c r="FE61" i="5"/>
  <c r="DE53" i="5"/>
  <c r="BY50" i="5"/>
  <c r="EQ41" i="5"/>
  <c r="DN19" i="5"/>
  <c r="DO27" i="5"/>
  <c r="FO41" i="5"/>
  <c r="R8" i="5"/>
  <c r="EH31" i="5"/>
  <c r="Z44" i="5"/>
  <c r="EX26" i="5"/>
  <c r="L17" i="5"/>
  <c r="DM50" i="5"/>
  <c r="EF38" i="5"/>
  <c r="FJ24" i="5"/>
  <c r="AZ57" i="5"/>
  <c r="ET52" i="5"/>
  <c r="CY57" i="5"/>
  <c r="CZ63" i="5"/>
  <c r="CF15" i="5"/>
  <c r="EV52" i="5"/>
  <c r="CY60" i="5"/>
  <c r="BD63" i="5"/>
  <c r="CZ14" i="5"/>
  <c r="FQ22" i="5"/>
  <c r="EY14" i="5"/>
  <c r="EZ14" i="5"/>
  <c r="CV5" i="5"/>
  <c r="BN64" i="5"/>
  <c r="DQ28" i="5"/>
  <c r="EI27" i="5"/>
  <c r="AF54" i="5"/>
  <c r="AE63" i="5"/>
  <c r="DW55" i="5"/>
  <c r="BE52" i="5"/>
  <c r="FI56" i="5"/>
  <c r="ED41" i="5"/>
  <c r="FB54" i="5"/>
  <c r="CA45" i="5"/>
  <c r="BT36" i="5"/>
  <c r="EU38" i="5"/>
  <c r="FM20" i="5"/>
  <c r="X3" i="5"/>
  <c r="CX62" i="5"/>
  <c r="AA7" i="5"/>
  <c r="BH12" i="5"/>
  <c r="BG50" i="5"/>
  <c r="BW64" i="5"/>
  <c r="CY14" i="5"/>
  <c r="AG59" i="5"/>
  <c r="CN27" i="5"/>
  <c r="DJ61" i="5"/>
  <c r="T26" i="5"/>
  <c r="BA52" i="5"/>
  <c r="CE18" i="5"/>
  <c r="CB26" i="5"/>
  <c r="DT58" i="5"/>
  <c r="DP59" i="5"/>
  <c r="DZ56" i="5"/>
  <c r="FI24" i="5"/>
  <c r="DZ24" i="5"/>
  <c r="X54" i="5"/>
  <c r="AS63" i="5"/>
  <c r="DQ51" i="5"/>
  <c r="FH18" i="5"/>
  <c r="EN6" i="5"/>
  <c r="FC10" i="5"/>
  <c r="CW37" i="5"/>
  <c r="DD48" i="5"/>
  <c r="EC29" i="5"/>
  <c r="AU31" i="5"/>
  <c r="M52" i="5"/>
  <c r="CV57" i="5"/>
  <c r="DR23" i="5"/>
  <c r="BF63" i="5"/>
  <c r="BV15" i="5"/>
  <c r="ED24" i="5"/>
  <c r="BJ6" i="5"/>
  <c r="FN56" i="5"/>
  <c r="DY16" i="5"/>
  <c r="AP51" i="5"/>
  <c r="M36" i="5"/>
  <c r="FL37" i="5"/>
  <c r="AJ60" i="5"/>
  <c r="AF32" i="5"/>
  <c r="FS12" i="5"/>
  <c r="AL34" i="5"/>
  <c r="AM13" i="5"/>
  <c r="CH28" i="5"/>
  <c r="AO51" i="5"/>
  <c r="FG4" i="5"/>
  <c r="DL14" i="5"/>
  <c r="CF64" i="5"/>
  <c r="W30" i="5"/>
  <c r="CI27" i="5"/>
  <c r="FO16" i="5"/>
  <c r="CZ64" i="5"/>
  <c r="BM26" i="5"/>
  <c r="BM21" i="5"/>
  <c r="FL27" i="5"/>
  <c r="AJ17" i="5"/>
  <c r="EG33" i="5"/>
  <c r="EF26" i="5"/>
  <c r="AP18" i="5"/>
  <c r="BW61" i="5"/>
  <c r="DE60" i="5"/>
  <c r="FH44" i="5"/>
  <c r="DN18" i="5"/>
  <c r="M58" i="5"/>
  <c r="FC24" i="5"/>
  <c r="EG39" i="5"/>
  <c r="AL46" i="5"/>
  <c r="FA43" i="5"/>
  <c r="M43" i="5"/>
  <c r="DU46" i="5"/>
  <c r="AP26" i="5"/>
  <c r="BK20" i="5"/>
  <c r="J44" i="5"/>
  <c r="EP23" i="5"/>
  <c r="DM42" i="5"/>
  <c r="CG19" i="5"/>
  <c r="FD63" i="5"/>
  <c r="FH38" i="5"/>
  <c r="DG37" i="5"/>
  <c r="BP56" i="5"/>
  <c r="AK8" i="5"/>
  <c r="BO64" i="5"/>
  <c r="BV41" i="5"/>
  <c r="AL61" i="5"/>
  <c r="FK26" i="5"/>
  <c r="CQ46" i="5"/>
  <c r="BW32" i="5"/>
  <c r="EB13" i="5"/>
  <c r="AY4" i="5"/>
  <c r="N31" i="5"/>
  <c r="AU38" i="5"/>
  <c r="EA19" i="5"/>
  <c r="F20" i="5"/>
  <c r="AX58" i="5"/>
  <c r="EB5" i="5"/>
  <c r="J13" i="5"/>
  <c r="CU30" i="5"/>
  <c r="DL58" i="5"/>
  <c r="EA36" i="5"/>
  <c r="CM21" i="5"/>
  <c r="BK34" i="5"/>
  <c r="B26" i="5"/>
  <c r="Q40" i="5"/>
  <c r="FJ16" i="5"/>
  <c r="FF8" i="5"/>
  <c r="EQ12" i="5"/>
  <c r="EZ64" i="5"/>
  <c r="DD23" i="5"/>
  <c r="EO35" i="5"/>
  <c r="K56" i="5"/>
  <c r="EN55" i="5"/>
  <c r="EU23" i="5"/>
  <c r="CZ31" i="5"/>
  <c r="CM36" i="5"/>
  <c r="H30" i="5"/>
  <c r="AJ6" i="5"/>
  <c r="EG4" i="5"/>
  <c r="BC16" i="5"/>
  <c r="BP29" i="5"/>
  <c r="EQ21" i="5"/>
  <c r="FP59" i="5"/>
  <c r="DF35" i="5"/>
  <c r="M45" i="5"/>
  <c r="H41" i="5"/>
  <c r="DX38" i="5"/>
  <c r="DW44" i="5"/>
  <c r="DV22" i="5"/>
  <c r="BL12" i="5"/>
  <c r="BM39" i="5"/>
  <c r="V54" i="5"/>
  <c r="DY27" i="5"/>
  <c r="I7" i="5"/>
  <c r="AI50" i="5"/>
  <c r="DR28" i="5"/>
  <c r="BQ59" i="5"/>
  <c r="BO60" i="5"/>
  <c r="AY64" i="5"/>
  <c r="BL9" i="5"/>
  <c r="EA54" i="5"/>
  <c r="FH46" i="5"/>
  <c r="DE63" i="5"/>
  <c r="AE59" i="5"/>
  <c r="R57" i="5"/>
  <c r="M61" i="5"/>
  <c r="CS57" i="5"/>
  <c r="CD28" i="5"/>
  <c r="J3" i="5"/>
  <c r="AW45" i="5"/>
  <c r="EL55" i="5"/>
  <c r="BM59" i="5"/>
  <c r="BR30" i="5"/>
  <c r="EI61" i="5"/>
  <c r="AC63" i="5"/>
  <c r="ET42" i="5"/>
  <c r="BB64" i="5"/>
  <c r="AJ35" i="5"/>
  <c r="EZ12" i="5"/>
  <c r="CC53" i="5"/>
  <c r="I4" i="5"/>
  <c r="EB27" i="5"/>
  <c r="P12" i="5"/>
  <c r="FT19" i="5"/>
  <c r="AZ50" i="5"/>
  <c r="AN45" i="5"/>
  <c r="BB51" i="5"/>
  <c r="CA23" i="5"/>
  <c r="AZ16" i="5"/>
  <c r="DB7" i="5"/>
  <c r="K55" i="5"/>
  <c r="FF6" i="5"/>
  <c r="CQ14" i="5"/>
  <c r="EX6" i="5"/>
  <c r="AZ56" i="5"/>
  <c r="EJ9" i="5"/>
  <c r="DA19" i="5"/>
  <c r="AU18" i="5"/>
  <c r="DN41" i="5"/>
  <c r="BK29" i="5"/>
  <c r="EE25" i="5"/>
  <c r="EI38" i="5"/>
  <c r="BG17" i="5"/>
  <c r="CA54" i="5"/>
  <c r="CA34" i="5"/>
  <c r="G58" i="5"/>
  <c r="DR55" i="5"/>
  <c r="AP29" i="5"/>
  <c r="AH40" i="5"/>
  <c r="ET6" i="5"/>
  <c r="FT62" i="5"/>
  <c r="AL13" i="5"/>
  <c r="AU14" i="5"/>
  <c r="CH59" i="5"/>
  <c r="CQ8" i="5"/>
  <c r="DI11" i="5"/>
  <c r="V43" i="5"/>
  <c r="AD53" i="5"/>
  <c r="CA60" i="5"/>
  <c r="I20" i="5"/>
  <c r="R13" i="5"/>
  <c r="G48" i="5"/>
  <c r="EM14" i="5"/>
  <c r="DE56" i="5"/>
  <c r="EJ43" i="5"/>
  <c r="BJ10" i="5"/>
  <c r="BW16" i="5"/>
  <c r="CL33" i="5"/>
  <c r="DG12" i="5"/>
  <c r="AT57" i="5"/>
  <c r="BQ3" i="5"/>
  <c r="CJ17" i="5"/>
  <c r="EJ27" i="5"/>
  <c r="N18" i="5"/>
  <c r="AG23" i="5"/>
  <c r="CH63" i="5"/>
  <c r="I33" i="5"/>
  <c r="DG54" i="5"/>
  <c r="FJ5" i="5"/>
  <c r="BR10" i="5"/>
  <c r="DS21" i="5"/>
  <c r="S21" i="5"/>
  <c r="DM14" i="5"/>
  <c r="FS38" i="5"/>
  <c r="CI25" i="5"/>
  <c r="ET5" i="5"/>
  <c r="EO56" i="5"/>
  <c r="AJ63" i="5"/>
  <c r="EC56" i="5"/>
  <c r="BK63" i="5"/>
  <c r="AO64" i="5"/>
  <c r="DV17" i="5"/>
  <c r="EN64" i="5"/>
  <c r="BJ8" i="5"/>
  <c r="AZ39" i="5"/>
  <c r="CL44" i="5"/>
  <c r="BM60" i="5"/>
  <c r="F41" i="5"/>
  <c r="EZ6" i="5"/>
  <c r="Y55" i="5"/>
  <c r="FI54" i="5"/>
  <c r="DS28" i="5"/>
  <c r="ER28" i="5"/>
  <c r="CV20" i="5"/>
  <c r="DI41" i="5"/>
  <c r="CC11" i="5"/>
  <c r="FM37" i="5"/>
  <c r="AI61" i="5"/>
  <c r="J47" i="5"/>
  <c r="DG36" i="5"/>
  <c r="AM50" i="5"/>
  <c r="I64" i="5"/>
  <c r="DI47" i="5"/>
  <c r="DK47" i="5"/>
  <c r="DE12" i="5"/>
  <c r="CO33" i="5"/>
  <c r="R4" i="5"/>
  <c r="DP7" i="5"/>
  <c r="CX32" i="5"/>
  <c r="DL35" i="5"/>
  <c r="CM42" i="5"/>
  <c r="AW47" i="5"/>
  <c r="AR8" i="5"/>
  <c r="DO26" i="5"/>
  <c r="FG8" i="5"/>
  <c r="CX37" i="5"/>
  <c r="AU55" i="5"/>
  <c r="AF17" i="5"/>
  <c r="EF48" i="5"/>
  <c r="AW44" i="5"/>
  <c r="EX44" i="5"/>
  <c r="AA13" i="5"/>
  <c r="EY8" i="5"/>
  <c r="DS33" i="5"/>
  <c r="CI55" i="5"/>
  <c r="EJ4" i="5"/>
  <c r="FS58" i="5"/>
  <c r="FJ60" i="5"/>
  <c r="FJ55" i="5"/>
  <c r="AM5" i="5"/>
  <c r="AK29" i="5"/>
  <c r="Z21" i="5"/>
  <c r="Y57" i="5"/>
  <c r="C58" i="5"/>
  <c r="CA59" i="5"/>
  <c r="EB49" i="5"/>
  <c r="CJ9" i="5"/>
  <c r="CB45" i="5"/>
  <c r="EI25" i="5"/>
  <c r="EB14" i="5"/>
  <c r="AR62" i="5"/>
  <c r="CF59" i="5"/>
  <c r="EP15" i="5"/>
  <c r="AM59" i="5"/>
  <c r="BA33" i="5"/>
  <c r="DK14" i="5"/>
  <c r="BK26" i="5"/>
  <c r="CA58" i="5"/>
  <c r="BN10" i="5"/>
  <c r="H21" i="5"/>
  <c r="BZ29" i="5"/>
  <c r="EW59" i="5"/>
  <c r="CN7" i="5"/>
  <c r="D17" i="5"/>
  <c r="DG15" i="5"/>
  <c r="M33" i="5"/>
  <c r="DV42" i="5"/>
  <c r="FI32" i="5"/>
  <c r="BB25" i="5"/>
  <c r="CZ41" i="5"/>
  <c r="O10" i="5"/>
  <c r="EP57" i="5"/>
  <c r="EX14" i="5"/>
  <c r="BL36" i="5"/>
  <c r="CJ47" i="5"/>
  <c r="BZ41" i="5"/>
  <c r="EE43" i="5"/>
  <c r="AV60" i="5"/>
  <c r="DX50" i="5"/>
  <c r="DJ32" i="5"/>
  <c r="T14" i="5"/>
  <c r="FF12" i="5"/>
  <c r="FH7" i="5"/>
  <c r="CE37" i="5"/>
  <c r="DX41" i="5"/>
  <c r="BD45" i="5"/>
  <c r="EC51" i="5"/>
  <c r="CH61" i="5"/>
  <c r="EY59" i="5"/>
  <c r="CT31" i="5"/>
  <c r="FR49" i="5"/>
  <c r="DZ61" i="5"/>
  <c r="AS8" i="5"/>
  <c r="AQ58" i="5"/>
  <c r="AM14" i="5"/>
  <c r="EF34" i="5"/>
  <c r="BC35" i="5"/>
  <c r="W9" i="5"/>
  <c r="N42" i="5"/>
  <c r="AB37" i="5"/>
  <c r="AE22" i="5"/>
  <c r="FE30" i="5"/>
  <c r="EJ23" i="5"/>
  <c r="AU12" i="5"/>
  <c r="DA54" i="5"/>
  <c r="CA41" i="5"/>
  <c r="BE23" i="5"/>
  <c r="BV8" i="5"/>
  <c r="AY16" i="5"/>
  <c r="W42" i="5"/>
  <c r="AO56" i="5"/>
  <c r="CX33" i="5"/>
  <c r="AK19" i="5"/>
  <c r="CM52" i="5"/>
  <c r="CK22" i="5"/>
  <c r="Y13" i="5"/>
  <c r="DX19" i="5"/>
  <c r="BZ49" i="5"/>
  <c r="FS40" i="5"/>
  <c r="CQ42" i="5"/>
  <c r="H5" i="5"/>
  <c r="DW3" i="5"/>
  <c r="DY54" i="5"/>
  <c r="BS4" i="5"/>
  <c r="M4" i="5"/>
  <c r="BP57" i="5"/>
  <c r="BM4" i="5"/>
  <c r="CW20" i="5"/>
  <c r="BO16" i="5"/>
  <c r="CR22" i="5"/>
  <c r="BS53" i="5"/>
  <c r="DY11" i="5"/>
  <c r="EC13" i="5"/>
  <c r="DP18" i="5"/>
  <c r="EI64" i="5"/>
  <c r="EZ16" i="5"/>
  <c r="E17" i="5"/>
  <c r="FM8" i="5"/>
  <c r="AP16" i="5"/>
  <c r="AC61" i="5"/>
  <c r="FE5" i="5"/>
  <c r="CF3" i="5"/>
  <c r="EB42" i="5"/>
  <c r="AK56" i="5"/>
  <c r="EC45" i="5"/>
  <c r="AW54" i="5"/>
  <c r="FI48" i="5"/>
  <c r="EY27" i="5"/>
  <c r="AT26" i="5"/>
  <c r="FE26" i="5"/>
  <c r="BU12" i="5"/>
  <c r="CK28" i="5"/>
  <c r="FO64" i="5"/>
  <c r="Z56" i="5"/>
  <c r="DB5" i="5"/>
  <c r="AC54" i="5"/>
  <c r="R41" i="5"/>
  <c r="DV45" i="5"/>
  <c r="BS10" i="5"/>
  <c r="CV27" i="5"/>
  <c r="CT47" i="5"/>
  <c r="CU24" i="5"/>
  <c r="P61" i="5"/>
  <c r="EH3" i="5"/>
  <c r="FQ40" i="5"/>
  <c r="DG49" i="5"/>
  <c r="EL23" i="5"/>
  <c r="DT10" i="5"/>
  <c r="EF41" i="5"/>
  <c r="AV34" i="5"/>
  <c r="CX64" i="5"/>
  <c r="G28" i="5"/>
  <c r="EB63" i="5"/>
  <c r="K37" i="5"/>
  <c r="T40" i="5"/>
  <c r="FD46" i="5"/>
  <c r="FN63" i="5"/>
  <c r="CG38" i="5"/>
  <c r="EL47" i="5"/>
  <c r="BU25" i="5"/>
  <c r="S28" i="5"/>
  <c r="AM25" i="5"/>
  <c r="FK56" i="5"/>
  <c r="J64" i="5"/>
  <c r="FA30" i="5"/>
  <c r="FJ11" i="5"/>
  <c r="EM23" i="5"/>
  <c r="AA48" i="5"/>
  <c r="ER33" i="5"/>
  <c r="ER61" i="5"/>
  <c r="CJ20" i="5"/>
  <c r="FT7" i="5"/>
  <c r="V59" i="5"/>
  <c r="AB41" i="5"/>
  <c r="BH38" i="5"/>
  <c r="DT12" i="5"/>
  <c r="FJ43" i="5"/>
  <c r="EE56" i="5"/>
  <c r="C30" i="5"/>
  <c r="ES63" i="5"/>
  <c r="EI47" i="5"/>
  <c r="BK35" i="5"/>
  <c r="FN15" i="5"/>
  <c r="EA30" i="5"/>
  <c r="EX12" i="5"/>
  <c r="H56" i="5"/>
  <c r="FC40" i="5"/>
  <c r="EL29" i="5"/>
  <c r="CC58" i="5"/>
  <c r="FJ63" i="5"/>
  <c r="DB6" i="5"/>
  <c r="AK17" i="5"/>
  <c r="FQ24" i="5"/>
  <c r="AJ21" i="5"/>
  <c r="DV61" i="5"/>
  <c r="DY10" i="5"/>
  <c r="BU42" i="5"/>
  <c r="CT13" i="5"/>
  <c r="H27" i="5"/>
  <c r="FB33" i="5"/>
  <c r="AU34" i="5"/>
  <c r="BR49" i="5"/>
  <c r="CB55" i="5"/>
  <c r="S8" i="5"/>
  <c r="CA24" i="5"/>
  <c r="EJ29" i="5"/>
  <c r="AV52" i="5"/>
  <c r="BD57" i="5"/>
  <c r="H23" i="5"/>
  <c r="AG31" i="5"/>
  <c r="CK41" i="5"/>
  <c r="G20" i="5"/>
  <c r="DC52" i="5"/>
  <c r="AG63" i="5"/>
  <c r="S10" i="5"/>
  <c r="BE60" i="5"/>
  <c r="AR16" i="5"/>
  <c r="AG32" i="5"/>
  <c r="AY11" i="5"/>
  <c r="DT30" i="5"/>
  <c r="EE23" i="5"/>
  <c r="EP37" i="5"/>
  <c r="BK45" i="5"/>
  <c r="G38" i="5"/>
  <c r="CR24" i="5"/>
  <c r="EY25" i="5"/>
  <c r="AH49" i="5"/>
  <c r="AE49" i="5"/>
  <c r="CZ6" i="5"/>
  <c r="CX6" i="5"/>
  <c r="BX9" i="5"/>
  <c r="DF33" i="5"/>
  <c r="T10" i="5"/>
  <c r="CO27" i="5"/>
  <c r="FP35" i="5"/>
  <c r="DC17" i="5"/>
  <c r="CS60" i="5"/>
  <c r="EJ44" i="5"/>
  <c r="BI28" i="5"/>
  <c r="BL26" i="5"/>
  <c r="AG61" i="5"/>
  <c r="AA45" i="5"/>
  <c r="AC45" i="5"/>
  <c r="AG44" i="5"/>
  <c r="C21" i="5"/>
  <c r="BM10" i="5"/>
  <c r="AS33" i="5"/>
  <c r="CG57" i="5"/>
  <c r="EB22" i="5"/>
  <c r="CJ25" i="5"/>
  <c r="EX24" i="5"/>
  <c r="EC3" i="5"/>
  <c r="AN58" i="5"/>
  <c r="FD41" i="5"/>
  <c r="AY15" i="5"/>
  <c r="CZ23" i="5"/>
  <c r="CJ56" i="5"/>
  <c r="BN13" i="5"/>
  <c r="I15" i="5"/>
  <c r="EJ7" i="5"/>
  <c r="I46" i="5"/>
  <c r="BD60" i="5"/>
  <c r="FP49" i="5"/>
  <c r="BV54" i="5"/>
  <c r="FK15" i="5"/>
  <c r="BN41" i="5"/>
  <c r="BE46" i="5"/>
  <c r="L29" i="5"/>
  <c r="EV7" i="5"/>
  <c r="AU4" i="5"/>
  <c r="AT28" i="5"/>
  <c r="CD45" i="5"/>
  <c r="FM13" i="5"/>
  <c r="EV37" i="5"/>
  <c r="AV4" i="5"/>
  <c r="AJ18" i="5"/>
  <c r="DN44" i="5"/>
  <c r="BQ34" i="5"/>
  <c r="U33" i="5"/>
  <c r="FL54" i="5"/>
  <c r="AC37" i="5"/>
  <c r="BT39" i="5"/>
  <c r="AF26" i="5"/>
  <c r="BZ55" i="5"/>
  <c r="BG9" i="5"/>
  <c r="BF22" i="5"/>
  <c r="EH62" i="5"/>
  <c r="AC7" i="5"/>
  <c r="CZ8" i="5"/>
  <c r="BA41" i="5"/>
  <c r="AA31" i="5"/>
  <c r="FM55" i="5"/>
  <c r="DU6" i="5"/>
  <c r="CK45" i="5"/>
  <c r="CC3" i="5"/>
  <c r="DZ20" i="5"/>
  <c r="FB5" i="5"/>
  <c r="EN23" i="5"/>
  <c r="DT13" i="5"/>
  <c r="FO24" i="5"/>
  <c r="AM11" i="5"/>
  <c r="CK7" i="5"/>
  <c r="BZ54" i="5"/>
  <c r="DN52" i="5"/>
  <c r="EL64" i="5"/>
  <c r="CM63" i="5"/>
  <c r="CM64" i="5"/>
  <c r="BP37" i="5"/>
  <c r="CY64" i="5"/>
  <c r="CM19" i="5"/>
  <c r="AE56" i="5"/>
  <c r="BZ14" i="5"/>
  <c r="BG39" i="5"/>
  <c r="P30" i="5"/>
  <c r="BJ42" i="5"/>
  <c r="EN26" i="5"/>
  <c r="S59" i="5"/>
  <c r="EL19" i="5"/>
  <c r="O59" i="5"/>
  <c r="BV50" i="5"/>
  <c r="CK35" i="5"/>
  <c r="CW17" i="5"/>
  <c r="AR38" i="5"/>
  <c r="EY23" i="5"/>
  <c r="EQ27" i="5"/>
  <c r="EU22" i="5"/>
  <c r="DU38" i="5"/>
  <c r="AK14" i="5"/>
  <c r="AX15" i="5"/>
  <c r="AC21" i="5"/>
  <c r="AC9" i="5"/>
  <c r="FC46" i="5"/>
  <c r="DA33" i="5"/>
  <c r="AT60" i="5"/>
  <c r="K27" i="5"/>
  <c r="S17" i="5"/>
  <c r="BA36" i="5"/>
  <c r="DQ50" i="5"/>
  <c r="BL51" i="5"/>
  <c r="CI5" i="5"/>
  <c r="AF57" i="5"/>
  <c r="DP55" i="5"/>
  <c r="BV37" i="5"/>
  <c r="DB20" i="5"/>
  <c r="BM17" i="5"/>
  <c r="G10" i="5"/>
  <c r="AC13" i="5"/>
  <c r="K29" i="5"/>
  <c r="AK26" i="5"/>
  <c r="G14" i="5"/>
  <c r="DT46" i="5"/>
  <c r="M56" i="5"/>
  <c r="DA3" i="5"/>
  <c r="AW58" i="5"/>
  <c r="V22" i="5"/>
  <c r="AM18" i="5"/>
  <c r="AJ5" i="5"/>
  <c r="CU59" i="5"/>
  <c r="CK57" i="5"/>
  <c r="ED20" i="5"/>
  <c r="G64" i="5"/>
  <c r="BH25" i="5"/>
  <c r="CL22" i="5"/>
  <c r="EK33" i="5"/>
  <c r="BX56" i="5"/>
  <c r="DW60" i="5"/>
  <c r="BD58" i="5"/>
  <c r="FR63" i="5"/>
  <c r="EU63" i="5"/>
  <c r="CM26" i="5"/>
  <c r="X14" i="5"/>
  <c r="BH27" i="5"/>
  <c r="CT52" i="5"/>
  <c r="DZ13" i="5"/>
  <c r="EU54" i="5"/>
  <c r="R15" i="5"/>
  <c r="CT6" i="5"/>
  <c r="CX29" i="5"/>
  <c r="FB43" i="5"/>
  <c r="AR59" i="5"/>
  <c r="CY36" i="5"/>
  <c r="EO32" i="5"/>
  <c r="L38" i="5"/>
  <c r="FK62" i="5"/>
  <c r="J61" i="5"/>
  <c r="FC6" i="5"/>
  <c r="CM61" i="5"/>
  <c r="DP34" i="5"/>
  <c r="ES56" i="5"/>
  <c r="DO14" i="5"/>
  <c r="C47" i="5"/>
  <c r="EN62" i="5"/>
  <c r="FH26" i="5"/>
  <c r="L13" i="5"/>
  <c r="AM9" i="5"/>
  <c r="CY3" i="5"/>
  <c r="FJ64" i="5"/>
  <c r="BQ36" i="5"/>
  <c r="CE63" i="5"/>
  <c r="AS43" i="5"/>
  <c r="FE22" i="5"/>
  <c r="J33" i="5"/>
  <c r="AT15" i="5"/>
  <c r="BG61" i="5"/>
  <c r="BQ54" i="5"/>
  <c r="C50" i="5"/>
  <c r="CR48" i="5"/>
  <c r="FG7" i="5"/>
  <c r="EM31" i="5"/>
  <c r="DC24" i="5"/>
  <c r="CX53" i="5"/>
  <c r="FM58" i="5"/>
  <c r="EW19" i="5"/>
  <c r="BR51" i="5"/>
  <c r="CE56" i="5"/>
  <c r="AH57" i="5"/>
  <c r="BM35" i="5"/>
  <c r="EC61" i="5"/>
  <c r="L46" i="5"/>
  <c r="EJ48" i="5"/>
  <c r="DJ35" i="5"/>
  <c r="BP24" i="5"/>
  <c r="EH44" i="5"/>
  <c r="BT40" i="5"/>
  <c r="ED55" i="5"/>
  <c r="DI58" i="5"/>
  <c r="CI35" i="5"/>
  <c r="FL24" i="5"/>
  <c r="EP19" i="5"/>
  <c r="CG24" i="5"/>
  <c r="DJ49" i="5"/>
  <c r="CP43" i="5"/>
  <c r="AO35" i="5"/>
  <c r="FG54" i="5"/>
  <c r="FN60" i="5"/>
  <c r="DZ52" i="5"/>
  <c r="AM38" i="5"/>
  <c r="BS38" i="5"/>
  <c r="CR38" i="5"/>
  <c r="AY45" i="5"/>
  <c r="BV23" i="5"/>
  <c r="EZ51" i="5"/>
  <c r="BT47" i="5"/>
  <c r="DT35" i="5"/>
  <c r="BM18" i="5"/>
  <c r="DL50" i="5"/>
  <c r="EZ37" i="5"/>
  <c r="BU64" i="5"/>
  <c r="BO23" i="5"/>
  <c r="EE19" i="5"/>
  <c r="FD56" i="5"/>
  <c r="EH23" i="5"/>
  <c r="DB61" i="5"/>
  <c r="CK20" i="5"/>
  <c r="EE31" i="5"/>
  <c r="EK18" i="5"/>
  <c r="CF56" i="5"/>
  <c r="EC52" i="5"/>
  <c r="CR41" i="5"/>
  <c r="AZ6" i="5"/>
  <c r="EE54" i="5"/>
  <c r="FH34" i="5"/>
  <c r="DH53" i="5"/>
  <c r="AX48" i="5"/>
  <c r="I40" i="5"/>
  <c r="CU51" i="5"/>
  <c r="CL18" i="5"/>
  <c r="CO54" i="5"/>
  <c r="Y29" i="5"/>
  <c r="FF58" i="5"/>
  <c r="BZ31" i="5"/>
  <c r="CI61" i="5"/>
  <c r="FP12" i="5"/>
  <c r="AG45" i="5"/>
  <c r="CH42" i="5"/>
  <c r="DT14" i="5"/>
  <c r="CG54" i="5"/>
  <c r="N29" i="5"/>
  <c r="CV15" i="5"/>
  <c r="EN53" i="5"/>
  <c r="CY35" i="5"/>
  <c r="Q53" i="5"/>
  <c r="DW31" i="5"/>
  <c r="AD8" i="5"/>
  <c r="Q61" i="5"/>
  <c r="FA51" i="5"/>
  <c r="FG12" i="5"/>
  <c r="FB57" i="5"/>
  <c r="AW26" i="5"/>
  <c r="BR22" i="5"/>
  <c r="AU50" i="5"/>
  <c r="AU36" i="5"/>
  <c r="CU58" i="5"/>
  <c r="FI42" i="5"/>
  <c r="FB10" i="5"/>
  <c r="CQ49" i="5"/>
  <c r="FS43" i="5"/>
  <c r="AV9" i="5"/>
  <c r="BF27" i="5"/>
  <c r="BN47" i="5"/>
  <c r="I30" i="5"/>
  <c r="AA35" i="5"/>
  <c r="DW18" i="5"/>
  <c r="FT63" i="5"/>
  <c r="EV25" i="5"/>
  <c r="BH8" i="5"/>
  <c r="BL57" i="5"/>
  <c r="DX52" i="5"/>
  <c r="H57" i="5"/>
  <c r="DW57" i="5"/>
  <c r="BY54" i="5"/>
  <c r="G50" i="5"/>
  <c r="FF36" i="5"/>
  <c r="G35" i="5"/>
  <c r="CR33" i="5"/>
  <c r="BP33" i="5"/>
  <c r="FG44" i="5"/>
  <c r="FE54" i="5"/>
  <c r="BT18" i="5"/>
  <c r="Q51" i="5"/>
  <c r="AF18" i="5"/>
  <c r="I57" i="5"/>
  <c r="AT5" i="5"/>
  <c r="FK48" i="5"/>
  <c r="W51" i="5"/>
  <c r="L60" i="5"/>
  <c r="EQ60" i="5"/>
  <c r="Q60" i="5"/>
  <c r="FQ45" i="5"/>
  <c r="BR52" i="5"/>
  <c r="AN30" i="5"/>
  <c r="EM39" i="5"/>
  <c r="FQ46" i="5"/>
  <c r="BR38" i="5"/>
  <c r="DD47" i="5"/>
  <c r="CP26" i="5"/>
  <c r="FC59" i="5"/>
  <c r="CA12" i="5"/>
  <c r="AA63" i="5"/>
  <c r="DH3" i="5"/>
  <c r="FE18" i="5"/>
  <c r="CS44" i="5"/>
  <c r="BU60" i="5"/>
  <c r="BQ23" i="5"/>
  <c r="EU27" i="5"/>
  <c r="AE8" i="5"/>
  <c r="E15" i="5"/>
  <c r="AE9" i="5"/>
  <c r="C29" i="5"/>
  <c r="W34" i="5"/>
  <c r="DO41" i="5"/>
  <c r="BS3" i="5"/>
  <c r="CN49" i="5"/>
  <c r="FH58" i="5"/>
  <c r="E10" i="5"/>
  <c r="DJ57" i="5"/>
  <c r="EE15" i="5"/>
  <c r="AR41" i="5"/>
  <c r="Z49" i="5"/>
  <c r="W39" i="5"/>
  <c r="FK46" i="5"/>
  <c r="K57" i="5"/>
  <c r="ED13" i="5"/>
  <c r="AU40" i="5"/>
  <c r="G52" i="5"/>
  <c r="ER55" i="5"/>
  <c r="S42" i="5"/>
  <c r="L27" i="5"/>
  <c r="CS30" i="5"/>
  <c r="BA18" i="5"/>
  <c r="FR60" i="5"/>
  <c r="CR58" i="5"/>
  <c r="AG47" i="5"/>
  <c r="R40" i="5"/>
  <c r="DH36" i="5"/>
  <c r="C24" i="5"/>
  <c r="FP30" i="5"/>
  <c r="BN48" i="5"/>
  <c r="AM32" i="5"/>
  <c r="AS38" i="5"/>
  <c r="G23" i="5"/>
  <c r="J55" i="5"/>
  <c r="BE43" i="5"/>
  <c r="BG37" i="5"/>
  <c r="BX41" i="5"/>
  <c r="EW45" i="5"/>
  <c r="AL60" i="5"/>
  <c r="CZ45" i="5"/>
  <c r="FD13" i="5"/>
  <c r="ER43" i="5"/>
  <c r="X27" i="5"/>
  <c r="DR56" i="5"/>
  <c r="CM62" i="5"/>
  <c r="FP22" i="5"/>
  <c r="AA8" i="5"/>
  <c r="V45" i="5"/>
  <c r="BB20" i="5"/>
  <c r="Q16" i="5"/>
  <c r="D59" i="5"/>
  <c r="CG37" i="5"/>
  <c r="DV51" i="5"/>
  <c r="FD9" i="5"/>
  <c r="BG25" i="5"/>
  <c r="AP10" i="5"/>
  <c r="BZ20" i="5"/>
  <c r="CW39" i="5"/>
  <c r="D60" i="5"/>
  <c r="DO58" i="5"/>
  <c r="FJ61" i="5"/>
  <c r="AM61" i="5"/>
  <c r="FP28" i="5"/>
  <c r="BW25" i="5"/>
  <c r="FN3" i="5"/>
  <c r="FL57" i="5"/>
  <c r="DY59" i="5"/>
  <c r="FS25" i="5"/>
  <c r="BA54" i="5"/>
  <c r="AN33" i="5"/>
  <c r="DY32" i="5"/>
  <c r="AA11" i="5"/>
  <c r="ER34" i="5"/>
  <c r="CJ16" i="5"/>
  <c r="EK12" i="5"/>
  <c r="CF54" i="5"/>
  <c r="AD26" i="5"/>
  <c r="W26" i="5"/>
  <c r="EE62" i="5"/>
  <c r="N30" i="5"/>
  <c r="CO57" i="5"/>
  <c r="BZ27" i="5"/>
  <c r="BJ16" i="5"/>
  <c r="CO59" i="5"/>
  <c r="FM34" i="5"/>
  <c r="ES43" i="5"/>
  <c r="CQ33" i="5"/>
  <c r="H48" i="5"/>
  <c r="DT57" i="5"/>
  <c r="AJ9" i="5"/>
  <c r="BM57" i="5"/>
  <c r="Y40" i="5"/>
  <c r="EM27" i="5"/>
  <c r="N32" i="5"/>
  <c r="EH54" i="5"/>
  <c r="DU31" i="5"/>
  <c r="U37" i="5"/>
  <c r="BT37" i="5"/>
  <c r="CS20" i="5"/>
  <c r="DI55" i="5"/>
  <c r="DL22" i="5"/>
  <c r="BB6" i="5"/>
  <c r="AO11" i="5"/>
  <c r="CB7" i="5"/>
  <c r="W20" i="5"/>
  <c r="DQ22" i="5"/>
  <c r="I47" i="5"/>
  <c r="EL13" i="5"/>
  <c r="BL13" i="5"/>
  <c r="BZ44" i="5"/>
  <c r="Z51" i="5"/>
  <c r="EA58" i="5"/>
  <c r="BQ8" i="5"/>
  <c r="P3" i="5"/>
  <c r="CV56" i="5"/>
  <c r="AR29" i="5"/>
  <c r="CQ43" i="5"/>
  <c r="BJ26" i="5"/>
  <c r="CN55" i="5"/>
  <c r="BF62" i="5"/>
  <c r="DT20" i="5"/>
  <c r="BY19" i="5"/>
  <c r="T16" i="5"/>
  <c r="G43" i="5"/>
  <c r="BJ60" i="5"/>
  <c r="BP26" i="5"/>
  <c r="CI9" i="5"/>
  <c r="ES50" i="5"/>
  <c r="DL49" i="5"/>
  <c r="BW47" i="5"/>
  <c r="FI4" i="5"/>
  <c r="CP56" i="5"/>
  <c r="BZ30" i="5"/>
  <c r="DS63" i="5"/>
  <c r="X49" i="5"/>
  <c r="CR4" i="5"/>
  <c r="DJ14" i="5"/>
  <c r="DX56" i="5"/>
  <c r="EY45" i="5"/>
  <c r="CF25" i="5"/>
  <c r="BB60" i="5"/>
  <c r="DE8" i="5"/>
  <c r="Q22" i="5"/>
  <c r="CP8" i="5"/>
  <c r="BY38" i="5"/>
  <c r="AI19" i="5"/>
  <c r="FK52" i="5"/>
  <c r="M31" i="5"/>
  <c r="D40" i="5"/>
  <c r="FN31" i="5"/>
  <c r="EL45" i="5"/>
  <c r="EC39" i="5"/>
  <c r="DJ28" i="5"/>
  <c r="DY49" i="5"/>
  <c r="ET7" i="5"/>
  <c r="DA32" i="5"/>
  <c r="H42" i="5"/>
  <c r="I56" i="5"/>
  <c r="FP61" i="5"/>
  <c r="CW33" i="5"/>
  <c r="DW11" i="5"/>
  <c r="AO33" i="5"/>
  <c r="DX59" i="5"/>
  <c r="FT10" i="5"/>
  <c r="BY20" i="5"/>
  <c r="H54" i="5"/>
  <c r="J40" i="5"/>
  <c r="FS52" i="5"/>
  <c r="DC62" i="5"/>
  <c r="FM44" i="5"/>
  <c r="AZ27" i="5"/>
  <c r="FT37" i="5"/>
  <c r="C19" i="5"/>
  <c r="T54" i="5"/>
  <c r="I29" i="5"/>
  <c r="T20" i="5"/>
  <c r="BS15" i="5"/>
  <c r="FI9" i="5"/>
  <c r="EJ59" i="5"/>
  <c r="FS48" i="5"/>
  <c r="FB9" i="5"/>
  <c r="X37" i="5"/>
  <c r="AM4" i="5"/>
  <c r="FT59" i="5"/>
  <c r="BS25" i="5"/>
  <c r="CG50" i="5"/>
  <c r="CD43" i="5"/>
  <c r="EG64" i="5"/>
  <c r="EP63" i="5"/>
  <c r="DM46" i="5"/>
  <c r="CU52" i="5"/>
  <c r="FR34" i="5"/>
  <c r="EL51" i="5"/>
  <c r="BR36" i="5"/>
  <c r="H32" i="5"/>
  <c r="EQ42" i="5"/>
  <c r="EY21" i="5"/>
  <c r="FI6" i="5"/>
  <c r="EI59" i="5"/>
  <c r="EJ17" i="5"/>
  <c r="CD29" i="5"/>
  <c r="BI55" i="5"/>
  <c r="DS62" i="5"/>
  <c r="BF54" i="5"/>
  <c r="CO43" i="5"/>
  <c r="ET63" i="5"/>
  <c r="K31" i="5"/>
  <c r="BI45" i="5"/>
  <c r="S12" i="5"/>
  <c r="AJ55" i="5"/>
  <c r="DS23" i="5"/>
  <c r="FF16" i="5"/>
  <c r="DE4" i="5"/>
  <c r="DF28" i="5"/>
  <c r="CG31" i="5"/>
  <c r="AM12" i="5"/>
  <c r="BV13" i="5"/>
  <c r="AN4" i="5"/>
  <c r="F12" i="5"/>
  <c r="AW23" i="5"/>
  <c r="Z35" i="5"/>
  <c r="AC27" i="5"/>
  <c r="FE32" i="5"/>
  <c r="BQ10" i="5"/>
  <c r="EE64" i="5"/>
  <c r="E16" i="5"/>
  <c r="EM42" i="5"/>
  <c r="EQ11" i="5"/>
  <c r="DP62" i="5"/>
  <c r="EZ63" i="5"/>
  <c r="V24" i="5"/>
  <c r="DB36" i="5"/>
  <c r="BL61" i="5"/>
  <c r="BN57" i="5"/>
  <c r="DH33" i="5"/>
  <c r="CQ19" i="5"/>
  <c r="CN58" i="5"/>
  <c r="FQ62" i="5"/>
  <c r="O15" i="5"/>
  <c r="EU26" i="5"/>
  <c r="AY61" i="5"/>
  <c r="FG5" i="5"/>
  <c r="FT40" i="5"/>
  <c r="W61" i="5"/>
  <c r="DU37" i="5"/>
  <c r="AG15" i="5"/>
  <c r="X61" i="5"/>
  <c r="FM12" i="5"/>
  <c r="EY29" i="5"/>
  <c r="AH62" i="5"/>
  <c r="CL20" i="5"/>
  <c r="Z16" i="5"/>
  <c r="B18" i="5"/>
  <c r="CT61" i="5"/>
  <c r="BN61" i="5"/>
  <c r="CO55" i="5"/>
  <c r="FB26" i="5"/>
  <c r="CP64" i="5"/>
  <c r="FJ4" i="5"/>
  <c r="EL56" i="5"/>
  <c r="BB56" i="5"/>
  <c r="DL60" i="5"/>
  <c r="DH10" i="5"/>
  <c r="AY13" i="5"/>
  <c r="FD61" i="5"/>
  <c r="BN58" i="5"/>
  <c r="EX7" i="5"/>
  <c r="AR48" i="5"/>
  <c r="FF14" i="5"/>
  <c r="EO8" i="5"/>
  <c r="AH29" i="5"/>
  <c r="EA35" i="5"/>
  <c r="DV36" i="5"/>
  <c r="BH4" i="5"/>
  <c r="DY28" i="5"/>
  <c r="FB15" i="5"/>
  <c r="FR36" i="5"/>
  <c r="EF21" i="5"/>
  <c r="AJ54" i="5"/>
  <c r="DY12" i="5"/>
  <c r="AU20" i="5"/>
  <c r="R48" i="5"/>
  <c r="BZ47" i="5"/>
  <c r="CO34" i="5"/>
  <c r="DO46" i="5"/>
  <c r="FH49" i="5"/>
  <c r="P21" i="5"/>
  <c r="B3" i="5"/>
  <c r="AP28" i="5"/>
  <c r="FM14" i="5"/>
  <c r="CI32" i="5"/>
  <c r="BR11" i="5"/>
  <c r="CZ43" i="5"/>
  <c r="CJ30" i="5"/>
  <c r="DO6" i="5"/>
  <c r="AT9" i="5"/>
  <c r="AF19" i="5"/>
  <c r="EL15" i="5"/>
  <c r="CM13" i="5"/>
  <c r="C56" i="5"/>
  <c r="H40" i="5"/>
  <c r="BV46" i="5"/>
  <c r="DT59" i="5"/>
  <c r="H38" i="5"/>
  <c r="BY3" i="5"/>
  <c r="P10" i="5"/>
  <c r="FQ51" i="5"/>
  <c r="BA10" i="5"/>
  <c r="AK43" i="5"/>
  <c r="DF21" i="5"/>
  <c r="EA33" i="5"/>
  <c r="DR12" i="5"/>
  <c r="CW61" i="5"/>
  <c r="AJ59" i="5"/>
  <c r="BN44" i="5"/>
  <c r="K39" i="5"/>
  <c r="DB51" i="5"/>
  <c r="AS25" i="5"/>
  <c r="FL56" i="5"/>
  <c r="CQ20" i="5"/>
  <c r="BM30" i="5"/>
  <c r="S56" i="5"/>
  <c r="CJ35" i="5"/>
  <c r="DP6" i="5"/>
  <c r="AH17" i="5"/>
  <c r="CM60" i="5"/>
  <c r="AS6" i="5"/>
  <c r="BP51" i="5"/>
  <c r="EY53" i="5"/>
  <c r="EF29" i="5"/>
  <c r="EJ57" i="5"/>
  <c r="BN20" i="5"/>
  <c r="EE5" i="5"/>
  <c r="EG24" i="5"/>
  <c r="ED28" i="5"/>
  <c r="E19" i="5"/>
  <c r="CF62" i="5"/>
  <c r="C22" i="5"/>
  <c r="AZ47" i="5"/>
  <c r="FE59" i="5"/>
  <c r="BB37" i="5"/>
  <c r="BJ35" i="5"/>
  <c r="CH64" i="5"/>
  <c r="DD58" i="5"/>
  <c r="EG15" i="5"/>
  <c r="CC47" i="5"/>
  <c r="CQ11" i="5"/>
  <c r="BB49" i="5"/>
  <c r="CE19" i="5"/>
  <c r="FD54" i="5"/>
  <c r="M3" i="5"/>
  <c r="FK60" i="5"/>
  <c r="FT16" i="5"/>
  <c r="CD21" i="5"/>
  <c r="AU44" i="5"/>
  <c r="EW54" i="5"/>
  <c r="EG22" i="5"/>
  <c r="BX11" i="5"/>
  <c r="AD6" i="5"/>
  <c r="N53" i="5"/>
  <c r="AT42" i="5"/>
  <c r="BQ61" i="5"/>
  <c r="BI43" i="5"/>
  <c r="DA63" i="5"/>
  <c r="DX32" i="5"/>
  <c r="CF55" i="5"/>
  <c r="G16" i="5"/>
  <c r="FS63" i="5"/>
  <c r="FQ60" i="5"/>
  <c r="CS35" i="5"/>
  <c r="AX45" i="5"/>
  <c r="DB58" i="5"/>
  <c r="BP18" i="5"/>
  <c r="AV63" i="5"/>
  <c r="EH52" i="5"/>
  <c r="CE46" i="5"/>
  <c r="EP52" i="5"/>
  <c r="AG39" i="5"/>
  <c r="AC25" i="5"/>
  <c r="AC5" i="5"/>
  <c r="EB55" i="5"/>
  <c r="CH37" i="5"/>
  <c r="FT41" i="5"/>
  <c r="I11" i="5"/>
  <c r="DT41" i="5"/>
  <c r="Q55" i="5"/>
  <c r="CV62" i="5"/>
  <c r="FG43" i="5"/>
  <c r="CO30" i="5"/>
  <c r="DJ16" i="5"/>
  <c r="I19" i="5"/>
  <c r="EF9" i="5"/>
  <c r="EN50" i="5"/>
  <c r="AE36" i="5"/>
  <c r="DO38" i="5"/>
  <c r="BA17" i="5"/>
  <c r="CY38" i="5"/>
  <c r="FE34" i="5"/>
  <c r="AX55" i="5"/>
  <c r="C25" i="5"/>
  <c r="DM7" i="5"/>
  <c r="DJ56" i="5"/>
  <c r="EX37" i="5"/>
  <c r="DF40" i="5"/>
  <c r="AO7" i="5"/>
  <c r="BM15" i="5"/>
  <c r="AD32" i="5"/>
  <c r="BK27" i="5"/>
  <c r="BU29" i="5"/>
  <c r="AR5" i="5"/>
  <c r="DT47" i="5"/>
  <c r="C32" i="5"/>
  <c r="CY54" i="5"/>
  <c r="AU42" i="5"/>
  <c r="FQ12" i="5"/>
  <c r="DG55" i="5"/>
  <c r="M19" i="5"/>
  <c r="EU50" i="5"/>
  <c r="C8" i="5"/>
  <c r="BI56" i="5"/>
  <c r="Q7" i="5"/>
  <c r="EM11" i="5"/>
  <c r="EU33" i="5"/>
  <c r="AD19" i="5"/>
  <c r="EY37" i="5"/>
  <c r="CS54" i="5"/>
  <c r="CF57" i="5"/>
  <c r="AI3" i="5"/>
  <c r="AD17" i="5"/>
  <c r="FF10" i="5"/>
  <c r="G11" i="5"/>
  <c r="BO33" i="5"/>
  <c r="CN34" i="5"/>
  <c r="CN43" i="5"/>
  <c r="FC42" i="5"/>
  <c r="FP55" i="5"/>
  <c r="CY47" i="5"/>
  <c r="BQ37" i="5"/>
  <c r="CH23" i="5"/>
  <c r="DZ53" i="5"/>
  <c r="FE57" i="5"/>
  <c r="EI35" i="5"/>
  <c r="Z61" i="5"/>
  <c r="BW52" i="5"/>
  <c r="EI45" i="5"/>
  <c r="FK61" i="5"/>
  <c r="V46" i="5"/>
  <c r="BE34" i="5"/>
  <c r="BZ17" i="5"/>
  <c r="Y5" i="5"/>
  <c r="FL58" i="5"/>
  <c r="AB36" i="5"/>
  <c r="DD43" i="5"/>
  <c r="AC62" i="5"/>
  <c r="FD60" i="5"/>
  <c r="BQ15" i="5"/>
  <c r="EW30" i="5"/>
  <c r="BJ64" i="5"/>
  <c r="BL63" i="5"/>
  <c r="Q57" i="5"/>
  <c r="DB62" i="5"/>
  <c r="BA7" i="5"/>
  <c r="H6" i="5"/>
  <c r="J8" i="5"/>
  <c r="FE49" i="5"/>
  <c r="Y6" i="5"/>
  <c r="DA23" i="5"/>
  <c r="EM48" i="5"/>
  <c r="T18" i="5"/>
  <c r="CK63" i="5"/>
  <c r="DU51" i="5"/>
  <c r="FP64" i="5"/>
  <c r="CC44" i="5"/>
  <c r="U10" i="5"/>
  <c r="AB49" i="5"/>
  <c r="BB34" i="5"/>
  <c r="CZ20" i="5"/>
  <c r="AO57" i="5"/>
  <c r="FJ19" i="5"/>
  <c r="AV47" i="5"/>
  <c r="AO12" i="5"/>
  <c r="FE45" i="5"/>
  <c r="AA55" i="5"/>
  <c r="CD6" i="5"/>
  <c r="DI57" i="5"/>
  <c r="BP53" i="5"/>
  <c r="AZ18" i="5"/>
  <c r="BH53" i="5"/>
  <c r="EP34" i="5"/>
  <c r="U43" i="5"/>
  <c r="AR22" i="5"/>
  <c r="DG31" i="5"/>
  <c r="BJ20" i="5"/>
  <c r="DU27" i="5"/>
  <c r="FP14" i="5"/>
  <c r="BB24" i="5"/>
  <c r="FA11" i="5"/>
  <c r="DO13" i="5"/>
  <c r="BS54" i="5"/>
  <c r="AF35" i="5"/>
  <c r="BU35" i="5"/>
  <c r="FK41" i="5"/>
  <c r="BB26" i="5"/>
  <c r="AL30" i="5"/>
  <c r="DY35" i="5"/>
  <c r="FE60" i="5"/>
  <c r="BZ13" i="5"/>
  <c r="ES10" i="5"/>
  <c r="X46" i="5"/>
  <c r="FK55" i="5"/>
  <c r="DU39" i="5"/>
  <c r="FK42" i="5"/>
  <c r="DE15" i="5"/>
  <c r="DV3" i="5"/>
  <c r="CG25" i="5"/>
  <c r="AX19" i="5"/>
  <c r="BE30" i="5"/>
  <c r="Q17" i="5"/>
  <c r="DA31" i="5"/>
  <c r="BK10" i="5"/>
  <c r="EM30" i="5"/>
  <c r="EW62" i="5"/>
  <c r="DK32" i="5"/>
  <c r="AS28" i="5"/>
  <c r="AA26" i="5"/>
  <c r="J42" i="5"/>
  <c r="BF20" i="5"/>
  <c r="FP33" i="5"/>
  <c r="BC10" i="5"/>
  <c r="EU5" i="5"/>
  <c r="L9" i="5"/>
  <c r="CI41" i="5"/>
  <c r="CH20" i="5"/>
  <c r="U62" i="5"/>
  <c r="CV54" i="5"/>
  <c r="DT22" i="5"/>
  <c r="C49" i="5"/>
  <c r="BZ23" i="5"/>
  <c r="AA30" i="5"/>
  <c r="BA56" i="5"/>
  <c r="DR27" i="5"/>
  <c r="FN61" i="5"/>
  <c r="AV26" i="5"/>
  <c r="AJ48" i="5"/>
  <c r="FB31" i="5"/>
  <c r="AV12" i="5"/>
  <c r="Y42" i="5"/>
  <c r="CE53" i="5"/>
  <c r="FH25" i="5"/>
  <c r="V40" i="5"/>
  <c r="EO31" i="5"/>
  <c r="CO48" i="5"/>
  <c r="AS12" i="5"/>
  <c r="EH47" i="5"/>
  <c r="D16" i="5"/>
  <c r="AW56" i="5"/>
  <c r="DD46" i="5"/>
  <c r="FE27" i="5"/>
  <c r="EK20" i="5"/>
  <c r="BU37" i="5"/>
  <c r="EJ45" i="5"/>
  <c r="BQ55" i="5"/>
  <c r="X23" i="5"/>
  <c r="AA46" i="5"/>
  <c r="AP46" i="5"/>
  <c r="DC36" i="5"/>
  <c r="P39" i="5"/>
  <c r="S37" i="5"/>
  <c r="FE46" i="5"/>
  <c r="DJ20" i="5"/>
  <c r="CH52" i="5"/>
  <c r="EN42" i="5"/>
  <c r="FS7" i="5"/>
  <c r="CE31" i="5"/>
  <c r="DX24" i="5"/>
  <c r="CM48" i="5"/>
  <c r="DO28" i="5"/>
  <c r="BN53" i="5"/>
  <c r="BR28" i="5"/>
  <c r="AO50" i="5"/>
  <c r="CJ57" i="5"/>
  <c r="EO54" i="5"/>
  <c r="AQ33" i="5"/>
  <c r="AK10" i="5"/>
  <c r="Z37" i="5"/>
  <c r="AP32" i="5"/>
  <c r="FB64" i="5"/>
  <c r="DX4" i="5"/>
  <c r="O16" i="5"/>
  <c r="DP11" i="5"/>
  <c r="BI62" i="5"/>
  <c r="FS23" i="5"/>
  <c r="FL13" i="5"/>
  <c r="BU3" i="5"/>
  <c r="CR10" i="5"/>
  <c r="FM26" i="5"/>
  <c r="DG62" i="5"/>
  <c r="CG29" i="5"/>
  <c r="CZ40" i="5"/>
  <c r="DD21" i="5"/>
  <c r="AR36" i="5"/>
  <c r="EW52" i="5"/>
  <c r="BJ12" i="5"/>
  <c r="BW60" i="5"/>
  <c r="DE10" i="5"/>
  <c r="I37" i="5"/>
  <c r="DH31" i="5"/>
  <c r="CO35" i="5"/>
  <c r="L61" i="5"/>
  <c r="AS21" i="5"/>
  <c r="CZ55" i="5"/>
  <c r="BK3" i="5"/>
  <c r="FB8" i="5"/>
  <c r="BZ7" i="5"/>
  <c r="H17" i="5"/>
  <c r="BU52" i="5"/>
  <c r="Y41" i="5"/>
  <c r="DJ60" i="5"/>
  <c r="S49" i="5"/>
  <c r="BI60" i="5"/>
  <c r="W60" i="5"/>
  <c r="DC64" i="5"/>
  <c r="CZ27" i="5"/>
  <c r="AX6" i="5"/>
  <c r="EU37" i="5"/>
  <c r="EO64" i="5"/>
  <c r="AM42" i="5"/>
  <c r="DG51" i="5"/>
  <c r="FB56" i="5"/>
  <c r="O25" i="5"/>
  <c r="EC32" i="5"/>
  <c r="BW21" i="5"/>
  <c r="EX39" i="5"/>
  <c r="CZ61" i="5"/>
  <c r="R31" i="5"/>
  <c r="DV9" i="5"/>
  <c r="H3" i="5"/>
  <c r="AU27" i="5"/>
  <c r="CS58" i="5"/>
  <c r="BI44" i="5"/>
  <c r="DV58" i="5"/>
  <c r="BE31" i="5"/>
  <c r="Y26" i="5"/>
  <c r="AE38" i="5"/>
  <c r="EU58" i="5"/>
  <c r="X40" i="5"/>
  <c r="FC31" i="5"/>
  <c r="DY56" i="5"/>
  <c r="K23" i="5"/>
  <c r="R9" i="5"/>
  <c r="EY10" i="5"/>
  <c r="AA16" i="5"/>
  <c r="BH29" i="5"/>
  <c r="DU61" i="5"/>
  <c r="FD49" i="5"/>
  <c r="DC48" i="5"/>
  <c r="DM38" i="5"/>
  <c r="FG31" i="5"/>
  <c r="K7" i="5"/>
  <c r="CZ21" i="5"/>
  <c r="BO35" i="5"/>
  <c r="CM4" i="5"/>
  <c r="EI13" i="5"/>
  <c r="CM12" i="5"/>
  <c r="EC30" i="5"/>
  <c r="AM54" i="5"/>
  <c r="CD58" i="5"/>
  <c r="DO16" i="5"/>
  <c r="CC10" i="5"/>
  <c r="FL29" i="5"/>
  <c r="BU32" i="5"/>
  <c r="EW11" i="5"/>
  <c r="CR14" i="5"/>
  <c r="BB32" i="5"/>
  <c r="CF29" i="5"/>
  <c r="O13" i="5"/>
  <c r="FN36" i="5"/>
  <c r="DL51" i="5"/>
  <c r="DJ33" i="5"/>
  <c r="DM44" i="5"/>
  <c r="G4" i="5"/>
  <c r="AS16" i="5"/>
  <c r="CU14" i="5"/>
  <c r="BI51" i="5"/>
  <c r="K45" i="5"/>
  <c r="U26" i="5"/>
  <c r="AQ48" i="5"/>
  <c r="BU40" i="5"/>
  <c r="EI24" i="5"/>
  <c r="AB55" i="5"/>
  <c r="AN56" i="5"/>
  <c r="CU11" i="5"/>
  <c r="G59" i="5"/>
  <c r="CK52" i="5"/>
  <c r="FL52" i="5"/>
  <c r="EJ33" i="5"/>
  <c r="F4" i="5"/>
  <c r="W19" i="5"/>
  <c r="CP12" i="5"/>
  <c r="DG4" i="5"/>
  <c r="CO56" i="5"/>
  <c r="BF48" i="5"/>
  <c r="AU64" i="5"/>
  <c r="DX55" i="5"/>
  <c r="FR41" i="5"/>
  <c r="AD43" i="5"/>
  <c r="AD27" i="5"/>
  <c r="EH25" i="5"/>
  <c r="DF47" i="5"/>
  <c r="FG37" i="5"/>
  <c r="BO22" i="5"/>
  <c r="BG22" i="5"/>
  <c r="BE12" i="5"/>
  <c r="FT36" i="5"/>
  <c r="AN22" i="5"/>
  <c r="FD55" i="5"/>
  <c r="BX17" i="5"/>
  <c r="FG47" i="5"/>
  <c r="AW3" i="5"/>
  <c r="EM62" i="5"/>
  <c r="EN61" i="5"/>
  <c r="EX45" i="5"/>
  <c r="DZ36" i="5"/>
  <c r="EQ47" i="5"/>
  <c r="DH52" i="5"/>
  <c r="DB32" i="5"/>
  <c r="DK4" i="5"/>
  <c r="FT44" i="5"/>
  <c r="DQ20" i="5"/>
  <c r="AA60" i="5"/>
  <c r="AT32" i="5"/>
  <c r="FL36" i="5"/>
  <c r="C6" i="5"/>
  <c r="BS6" i="5"/>
  <c r="FC43" i="5"/>
  <c r="CX39" i="5"/>
  <c r="M57" i="5"/>
  <c r="DU60" i="5"/>
  <c r="BS30" i="5"/>
  <c r="DS17" i="5"/>
  <c r="AY53" i="5"/>
  <c r="AO37" i="5"/>
  <c r="EK25" i="5"/>
  <c r="DG59" i="5"/>
  <c r="CS21" i="5"/>
  <c r="BH43" i="5"/>
  <c r="BR32" i="5"/>
  <c r="BP35" i="5"/>
  <c r="DR64" i="5"/>
  <c r="EY33" i="5"/>
  <c r="EI53" i="5"/>
  <c r="AB58" i="5"/>
  <c r="AB27" i="5"/>
  <c r="FS18" i="5"/>
  <c r="BP50" i="5"/>
  <c r="EQ8" i="5"/>
  <c r="CA13" i="5"/>
  <c r="FS33" i="5"/>
  <c r="DL44" i="5"/>
  <c r="AC11" i="5"/>
  <c r="FL48" i="5"/>
  <c r="BG55" i="5"/>
  <c r="DF19" i="5"/>
  <c r="DF23" i="5"/>
  <c r="EP35" i="5"/>
  <c r="EX50" i="5"/>
  <c r="AM39" i="5"/>
  <c r="CK58" i="5"/>
  <c r="H44" i="5"/>
  <c r="FC41" i="5"/>
  <c r="FN46" i="5"/>
  <c r="BS7" i="5"/>
  <c r="FO17" i="5"/>
  <c r="K49" i="5"/>
  <c r="DZ42" i="5"/>
  <c r="EZ17" i="5"/>
  <c r="G27" i="5"/>
  <c r="FB59" i="5"/>
  <c r="X62" i="5"/>
  <c r="FC30" i="5"/>
  <c r="BU53" i="5"/>
  <c r="CV12" i="5"/>
  <c r="EE51" i="5"/>
  <c r="FA53" i="5"/>
  <c r="T64" i="5"/>
  <c r="FQ8" i="5"/>
  <c r="AD42" i="5"/>
  <c r="BI13" i="5"/>
  <c r="BO55" i="5"/>
  <c r="P53" i="5"/>
  <c r="BG42" i="5"/>
  <c r="FO30" i="5"/>
  <c r="EW58" i="5"/>
  <c r="DJ3" i="5"/>
  <c r="DW49" i="5"/>
  <c r="DB8" i="5"/>
  <c r="AW17" i="5"/>
  <c r="BF34" i="5"/>
  <c r="FQ36" i="5"/>
  <c r="CY12" i="5"/>
  <c r="DU21" i="5"/>
  <c r="DQ33" i="5"/>
  <c r="BZ48" i="5"/>
  <c r="AV21" i="5"/>
  <c r="AK63" i="5"/>
  <c r="DM24" i="5"/>
  <c r="CA16" i="5"/>
  <c r="DJ37" i="5"/>
  <c r="DE38" i="5"/>
  <c r="D20" i="5"/>
  <c r="DI56" i="5"/>
  <c r="CK17" i="5"/>
  <c r="CI19" i="5"/>
  <c r="K48" i="5"/>
  <c r="DZ43" i="5"/>
  <c r="AH34" i="5"/>
  <c r="V57" i="5"/>
  <c r="CS27" i="5"/>
  <c r="CT11" i="5"/>
  <c r="AV5" i="5"/>
  <c r="CC41" i="5"/>
  <c r="AQ34" i="5"/>
  <c r="DA43" i="5"/>
  <c r="CH24" i="5"/>
  <c r="BY15" i="5"/>
  <c r="DF43" i="5"/>
  <c r="BO9" i="5"/>
  <c r="BK30" i="5"/>
  <c r="DP25" i="5"/>
  <c r="ER31" i="5"/>
  <c r="BV60" i="5"/>
  <c r="EK32" i="5"/>
  <c r="AZ35" i="5"/>
  <c r="DF60" i="5"/>
  <c r="Y24" i="5"/>
  <c r="DE51" i="5"/>
  <c r="DM40" i="5"/>
  <c r="DO32" i="5"/>
  <c r="CL64" i="5"/>
  <c r="DE58" i="5"/>
  <c r="DP46" i="5"/>
  <c r="CH25" i="5"/>
  <c r="DL42" i="5"/>
  <c r="G30" i="5"/>
  <c r="FE58" i="5"/>
  <c r="BE33" i="5"/>
  <c r="BW8" i="5"/>
  <c r="BC12" i="5"/>
  <c r="CK11" i="5"/>
  <c r="EB20" i="5"/>
  <c r="DX51" i="5"/>
  <c r="FI37" i="5"/>
  <c r="FD64" i="5"/>
  <c r="Q63" i="5"/>
  <c r="AL63" i="5"/>
  <c r="AZ37" i="5"/>
  <c r="BK46" i="5"/>
  <c r="BO51" i="5"/>
  <c r="Y56" i="5"/>
  <c r="Y45" i="5"/>
  <c r="DZ18" i="5"/>
  <c r="DC13" i="5"/>
  <c r="BX26" i="5"/>
  <c r="W53" i="5"/>
  <c r="ED60" i="5"/>
  <c r="DG48" i="5"/>
  <c r="CY24" i="5"/>
  <c r="CV52" i="5"/>
  <c r="DK33" i="5"/>
  <c r="AT14" i="5"/>
  <c r="CH8" i="5"/>
  <c r="FC50" i="5"/>
  <c r="AJ50" i="5"/>
  <c r="AI36" i="5"/>
  <c r="EC57" i="5"/>
  <c r="BS37" i="5"/>
  <c r="O40" i="5"/>
  <c r="FS4" i="5"/>
  <c r="FP36" i="5"/>
  <c r="DA40" i="5"/>
  <c r="O55" i="5"/>
  <c r="AM49" i="5"/>
  <c r="FR21" i="5"/>
  <c r="AR25" i="5"/>
  <c r="AL31" i="5"/>
  <c r="AR27" i="5"/>
  <c r="ET35" i="5"/>
  <c r="AQ64" i="5"/>
  <c r="BZ35" i="5"/>
  <c r="AS10" i="5"/>
  <c r="DE20" i="5"/>
  <c r="ES11" i="5"/>
  <c r="CB46" i="5"/>
  <c r="E3" i="5"/>
  <c r="DS46" i="5"/>
  <c r="EX61" i="5"/>
  <c r="EO22" i="5"/>
  <c r="FQ58" i="5"/>
  <c r="BR39" i="5"/>
  <c r="EI17" i="5"/>
  <c r="B13" i="5"/>
  <c r="BQ52" i="5"/>
  <c r="BX62" i="5"/>
  <c r="CQ37" i="5"/>
  <c r="DA56" i="5"/>
  <c r="AC3" i="5"/>
  <c r="CS12" i="5"/>
  <c r="AA10" i="5"/>
  <c r="BM44" i="5"/>
  <c r="EI26" i="5"/>
  <c r="L33" i="5"/>
  <c r="CN24" i="5"/>
  <c r="AP48" i="5"/>
  <c r="AW33" i="5"/>
  <c r="AQ45" i="5"/>
  <c r="AR63" i="5"/>
  <c r="DU8" i="5"/>
  <c r="EO49" i="5"/>
  <c r="CM31" i="5"/>
  <c r="FQ47" i="5"/>
  <c r="D31" i="5"/>
  <c r="EU3" i="5"/>
  <c r="J7" i="5"/>
  <c r="FC8" i="5"/>
  <c r="BM16" i="5"/>
  <c r="BS42" i="5"/>
  <c r="EC18" i="5"/>
  <c r="BL55" i="5"/>
  <c r="BN15" i="5"/>
  <c r="FF59" i="5"/>
  <c r="AB23" i="5"/>
  <c r="EV53" i="5"/>
  <c r="FP11" i="5"/>
  <c r="CX60" i="5"/>
  <c r="FP50" i="5"/>
  <c r="BL53" i="5"/>
  <c r="I43" i="5"/>
  <c r="Q49" i="5"/>
  <c r="AR7" i="5"/>
  <c r="FG15" i="5"/>
  <c r="U32" i="5"/>
  <c r="EA31" i="5"/>
  <c r="FG34" i="5"/>
  <c r="L55" i="5"/>
  <c r="BC57" i="5"/>
  <c r="CV31" i="5"/>
  <c r="CQ9" i="5"/>
  <c r="FD35" i="5"/>
  <c r="CU53" i="5"/>
  <c r="AA25" i="5"/>
  <c r="CU42" i="5"/>
  <c r="DL56" i="5"/>
  <c r="DB9" i="5"/>
  <c r="DW5" i="5"/>
  <c r="BJ49" i="5"/>
  <c r="AI20" i="5"/>
  <c r="CW53" i="5"/>
  <c r="BM20" i="5"/>
  <c r="EC36" i="5"/>
  <c r="EI52" i="5"/>
  <c r="FL59" i="5"/>
  <c r="CO4" i="5"/>
  <c r="EJ10" i="5"/>
  <c r="EZ47" i="5"/>
  <c r="DY46" i="5"/>
  <c r="EF18" i="5"/>
  <c r="FO52" i="5"/>
  <c r="L5" i="5"/>
  <c r="AT52" i="5"/>
  <c r="U24" i="5"/>
  <c r="EJ64" i="5"/>
  <c r="DG56" i="5"/>
  <c r="BX33" i="5"/>
  <c r="EI34" i="5"/>
  <c r="AF51" i="5"/>
  <c r="BK41" i="5"/>
  <c r="CT17" i="5"/>
  <c r="AE18" i="5"/>
  <c r="FE17" i="5"/>
  <c r="EJ49" i="5"/>
  <c r="AT23" i="5"/>
  <c r="DX11" i="5"/>
  <c r="FK39" i="5"/>
  <c r="FT58" i="5"/>
  <c r="CD62" i="5"/>
  <c r="AH20" i="5"/>
  <c r="BV62" i="5"/>
  <c r="AA24" i="5"/>
  <c r="P6" i="5"/>
  <c r="CC27" i="5"/>
  <c r="DT64" i="5"/>
  <c r="EE49" i="5"/>
  <c r="EE52" i="5"/>
  <c r="CM17" i="5"/>
  <c r="FT48" i="5"/>
  <c r="AO3" i="5"/>
  <c r="DS54" i="5"/>
  <c r="O51" i="5"/>
  <c r="BG34" i="5"/>
  <c r="BN9" i="5"/>
  <c r="FA20" i="5"/>
  <c r="CP35" i="5"/>
  <c r="BI26" i="5"/>
  <c r="G60" i="5"/>
  <c r="B31" i="5"/>
  <c r="BW10" i="5"/>
  <c r="Y32" i="5"/>
  <c r="EG48" i="5"/>
  <c r="AZ42" i="5"/>
  <c r="AS24" i="5"/>
  <c r="H43" i="5"/>
  <c r="DD26" i="5"/>
  <c r="EC41" i="5"/>
  <c r="EA43" i="5"/>
  <c r="EU64" i="5"/>
  <c r="CA21" i="5"/>
  <c r="CF49" i="5"/>
  <c r="X5" i="5"/>
  <c r="FO40" i="5"/>
  <c r="CD44" i="5"/>
  <c r="DC40" i="5"/>
  <c r="CE50" i="5"/>
  <c r="EG31" i="5"/>
  <c r="DM51" i="5"/>
  <c r="I58" i="5"/>
  <c r="FC44" i="5"/>
  <c r="CN54" i="5"/>
  <c r="AT30" i="5"/>
  <c r="CQ62" i="5"/>
  <c r="FO42" i="5"/>
  <c r="EG57" i="5"/>
  <c r="AN55" i="5"/>
  <c r="CW40" i="5"/>
  <c r="CH11" i="5"/>
  <c r="BV43" i="5"/>
  <c r="FD33" i="5"/>
  <c r="CR63" i="5"/>
  <c r="R49" i="5"/>
  <c r="FT38" i="5"/>
  <c r="CT55" i="5"/>
  <c r="CC64" i="5"/>
  <c r="BL28" i="5"/>
  <c r="EH37" i="5"/>
  <c r="EG60" i="5"/>
  <c r="DP21" i="5"/>
  <c r="BH62" i="5"/>
  <c r="AK62" i="5"/>
  <c r="I21" i="5"/>
  <c r="CK55" i="5"/>
  <c r="CW63" i="5"/>
  <c r="EK36" i="5"/>
  <c r="BR48" i="5"/>
  <c r="AU48" i="5"/>
  <c r="CO5" i="5"/>
  <c r="CH9" i="5"/>
  <c r="AK15" i="5"/>
  <c r="AU32" i="5"/>
  <c r="CH4" i="5"/>
  <c r="U56" i="5"/>
  <c r="BS46" i="5"/>
  <c r="AP62" i="5"/>
  <c r="ET32" i="5"/>
  <c r="EN22" i="5"/>
  <c r="BN14" i="5"/>
  <c r="CD57" i="5"/>
  <c r="EP6" i="5"/>
  <c r="DF46" i="5"/>
  <c r="S51" i="5"/>
  <c r="M50" i="5"/>
  <c r="BN60" i="5"/>
  <c r="CG21" i="5"/>
  <c r="CQ12" i="5"/>
  <c r="EJ40" i="5"/>
  <c r="AT64" i="5"/>
  <c r="FD45" i="5"/>
  <c r="BJ54" i="5"/>
  <c r="AC36" i="5"/>
  <c r="DD12" i="5"/>
  <c r="CA3" i="5"/>
  <c r="CE60" i="5"/>
  <c r="CY8" i="5"/>
  <c r="P43" i="5"/>
  <c r="CB29" i="5"/>
  <c r="EY34" i="5"/>
  <c r="ER24" i="5"/>
  <c r="EZ22" i="5"/>
  <c r="CV4" i="5"/>
  <c r="DT63" i="5"/>
  <c r="AC19" i="5"/>
  <c r="BU11" i="5"/>
  <c r="AJ47" i="5"/>
  <c r="BW62" i="5"/>
  <c r="EW26" i="5"/>
  <c r="FQ43" i="5"/>
  <c r="BV45" i="5"/>
  <c r="AG53" i="5"/>
  <c r="CH45" i="5"/>
  <c r="BS63" i="5"/>
  <c r="CQ3" i="5"/>
  <c r="DL46" i="5"/>
  <c r="G55" i="5"/>
  <c r="CD41" i="5"/>
  <c r="DO60" i="5"/>
  <c r="CO20" i="5"/>
  <c r="BR41" i="5"/>
  <c r="BV64" i="5"/>
  <c r="FL45" i="5"/>
  <c r="FJ40" i="5"/>
  <c r="CG17" i="5"/>
  <c r="AS30" i="5"/>
  <c r="BA57" i="5"/>
  <c r="FD17" i="5"/>
  <c r="I50" i="5"/>
  <c r="J58" i="5"/>
  <c r="X9" i="5"/>
  <c r="DL62" i="5"/>
  <c r="P35" i="5"/>
  <c r="DM29" i="5"/>
  <c r="FL12" i="5"/>
  <c r="EY64" i="5"/>
  <c r="AQ28" i="5"/>
  <c r="ET57" i="5"/>
  <c r="D4" i="5"/>
  <c r="B6" i="5"/>
  <c r="EW27" i="5"/>
  <c r="EW60" i="5"/>
  <c r="CR37" i="5"/>
  <c r="FM51" i="5"/>
  <c r="CY31" i="5"/>
  <c r="R44" i="5"/>
  <c r="G61" i="5"/>
  <c r="K16" i="5"/>
  <c r="FO54" i="5"/>
  <c r="DD30" i="5"/>
  <c r="AS44" i="5"/>
  <c r="AE43" i="5"/>
  <c r="BP10" i="5"/>
  <c r="BT58" i="5"/>
  <c r="CD39" i="5"/>
  <c r="CN45" i="5"/>
  <c r="DX58" i="5"/>
  <c r="DN37" i="5"/>
  <c r="CX45" i="5"/>
  <c r="DB13" i="5"/>
  <c r="AG29" i="5"/>
  <c r="CA29" i="5"/>
  <c r="H34" i="5"/>
  <c r="CB21" i="5"/>
  <c r="FE55" i="5"/>
  <c r="AN10" i="5"/>
  <c r="FP10" i="5"/>
  <c r="DO7" i="5"/>
  <c r="CR54" i="5"/>
  <c r="DB45" i="5"/>
  <c r="BZ40" i="5"/>
  <c r="BG4" i="5"/>
  <c r="AC48" i="5"/>
  <c r="CI54" i="5"/>
  <c r="EC37" i="5"/>
  <c r="FM57" i="5"/>
  <c r="AB61" i="5"/>
  <c r="AX23" i="5"/>
  <c r="FM60" i="5"/>
  <c r="AB38" i="5"/>
  <c r="EW63" i="5"/>
  <c r="CO8" i="5"/>
  <c r="FC63" i="5"/>
  <c r="CF12" i="5"/>
  <c r="EM55" i="5"/>
  <c r="EO11" i="5"/>
  <c r="L52" i="5"/>
  <c r="BY27" i="5"/>
  <c r="DL39" i="5"/>
  <c r="Q10" i="5"/>
  <c r="AG62" i="5"/>
  <c r="DC50" i="5"/>
  <c r="DT25" i="5"/>
  <c r="AG5" i="5"/>
  <c r="BB62" i="5"/>
  <c r="DI42" i="5"/>
  <c r="O50" i="5"/>
  <c r="O31" i="5"/>
  <c r="AN26" i="5"/>
  <c r="BB10" i="5"/>
  <c r="AN60" i="5"/>
  <c r="CV45" i="5"/>
  <c r="DN39" i="5"/>
  <c r="BQ49" i="5"/>
  <c r="AY6" i="5"/>
  <c r="AM58" i="5"/>
  <c r="DQ38" i="5"/>
  <c r="BI40" i="5"/>
  <c r="FH28" i="5"/>
  <c r="BH19" i="5"/>
  <c r="BR42" i="5"/>
  <c r="BM29" i="5"/>
  <c r="Y30" i="5"/>
  <c r="FL42" i="5"/>
  <c r="BG54" i="5"/>
  <c r="BH60" i="5"/>
  <c r="AS35" i="5"/>
  <c r="BD29" i="5"/>
  <c r="CJ51" i="5"/>
  <c r="FO18" i="5"/>
  <c r="AH24" i="5"/>
  <c r="AJ44" i="5"/>
  <c r="CT10" i="5"/>
  <c r="AA19" i="5"/>
  <c r="FJ56" i="5"/>
  <c r="ET20" i="5"/>
  <c r="AS60" i="5"/>
  <c r="CU16" i="5"/>
  <c r="EM33" i="5"/>
  <c r="EP4" i="5"/>
  <c r="AS3" i="5"/>
  <c r="FH5" i="5"/>
  <c r="CJ29" i="5"/>
  <c r="AU22" i="5"/>
  <c r="EP7" i="5"/>
  <c r="BF51" i="5"/>
  <c r="CQ18" i="5"/>
  <c r="CI23" i="5"/>
  <c r="CJ60" i="5"/>
  <c r="EG58" i="5"/>
  <c r="ER38" i="5"/>
  <c r="CV25" i="5"/>
  <c r="O28" i="5"/>
  <c r="AM56" i="5"/>
  <c r="DB48" i="5"/>
  <c r="H22" i="5"/>
  <c r="FK59" i="5"/>
  <c r="CQ30" i="5"/>
  <c r="BS39" i="5"/>
  <c r="CO53" i="5"/>
  <c r="BQ29" i="5"/>
  <c r="ET16" i="5"/>
  <c r="BQ12" i="5"/>
  <c r="DK17" i="5"/>
  <c r="L57" i="5"/>
  <c r="AF33" i="5"/>
  <c r="AN57" i="5"/>
  <c r="EY51" i="5"/>
  <c r="FG62" i="5"/>
  <c r="BX20" i="5"/>
  <c r="DI9" i="5"/>
  <c r="EX32" i="5"/>
  <c r="CP29" i="5"/>
  <c r="DN63" i="5"/>
  <c r="CY15" i="5"/>
  <c r="EZ54" i="5"/>
  <c r="FM53" i="5"/>
  <c r="FT54" i="5"/>
  <c r="EY62" i="5"/>
  <c r="AY40" i="5"/>
  <c r="CK6" i="5"/>
  <c r="DJ38" i="5"/>
  <c r="CQ22" i="5"/>
  <c r="C26" i="5"/>
  <c r="AG18" i="5"/>
  <c r="CT26" i="5"/>
  <c r="E47" i="5"/>
  <c r="AA47" i="5"/>
  <c r="FC16" i="5"/>
  <c r="FS44" i="5"/>
  <c r="EE10" i="5"/>
  <c r="Z63" i="5"/>
  <c r="ER63" i="5"/>
  <c r="BH63" i="5"/>
  <c r="DG3" i="5"/>
  <c r="EA28" i="5"/>
  <c r="DI32" i="5"/>
  <c r="FS6" i="5"/>
  <c r="EU4" i="5"/>
  <c r="CA62" i="5"/>
  <c r="AX49" i="5"/>
  <c r="AR50" i="5"/>
  <c r="EG27" i="5"/>
  <c r="CF20" i="5"/>
  <c r="EB26" i="5"/>
  <c r="BI14" i="5"/>
  <c r="S20" i="5"/>
  <c r="AE34" i="5"/>
  <c r="X19" i="5"/>
  <c r="AV16" i="5"/>
  <c r="BI19" i="5"/>
  <c r="FJ51" i="5"/>
  <c r="R27" i="5"/>
  <c r="DH43" i="5"/>
  <c r="EK27" i="5"/>
  <c r="CX21" i="5"/>
  <c r="BI38" i="5"/>
  <c r="CR25" i="5"/>
  <c r="CH54" i="5"/>
  <c r="CN32" i="5"/>
  <c r="EB10" i="5"/>
  <c r="FE50" i="5"/>
  <c r="DI14" i="5"/>
  <c r="EZ57" i="5"/>
  <c r="FI12" i="5"/>
  <c r="FH9" i="5"/>
  <c r="BF9" i="5"/>
  <c r="EM47" i="5"/>
  <c r="ET13" i="5"/>
  <c r="BE15" i="5"/>
  <c r="BF28" i="5"/>
  <c r="BA47" i="5"/>
  <c r="T22" i="5"/>
  <c r="FQ23" i="5"/>
  <c r="I24" i="5"/>
  <c r="CX20" i="5"/>
  <c r="DU23" i="5"/>
  <c r="AY35" i="5"/>
  <c r="EY38" i="5"/>
  <c r="FS8" i="5"/>
  <c r="Z64" i="5"/>
  <c r="FQ26" i="5"/>
  <c r="DW7" i="5"/>
  <c r="FP58" i="5"/>
  <c r="EK24" i="5"/>
  <c r="EK47" i="5"/>
  <c r="U4" i="5"/>
  <c r="FO57" i="5"/>
  <c r="DF6" i="5"/>
  <c r="DM62" i="5"/>
  <c r="AV37" i="5"/>
  <c r="DP15" i="5"/>
  <c r="DX31" i="5"/>
  <c r="CX10" i="5"/>
  <c r="ES41" i="5"/>
  <c r="ES12" i="5"/>
  <c r="AR19" i="5"/>
  <c r="DD22" i="5"/>
  <c r="DP12" i="5"/>
  <c r="CM5" i="5"/>
  <c r="AI45" i="5"/>
  <c r="I23" i="5"/>
  <c r="ED3" i="5"/>
  <c r="CQ10" i="5"/>
  <c r="AQ17" i="5"/>
  <c r="BE4" i="5"/>
  <c r="AA43" i="5"/>
  <c r="FN39" i="5"/>
  <c r="ER44" i="5"/>
  <c r="AR21" i="5"/>
  <c r="FM36" i="5"/>
  <c r="AR23" i="5"/>
  <c r="FI27" i="5"/>
  <c r="F7" i="5"/>
  <c r="EW3" i="5"/>
  <c r="EH41" i="5"/>
  <c r="EV6" i="5"/>
  <c r="AN62" i="5"/>
  <c r="CL57" i="5"/>
  <c r="N50" i="5"/>
  <c r="EL18" i="5"/>
  <c r="DO36" i="5"/>
  <c r="AK6" i="5"/>
  <c r="BG26" i="5"/>
  <c r="BU47" i="5"/>
  <c r="EY20" i="5"/>
  <c r="CO51" i="5"/>
  <c r="CA25" i="5"/>
  <c r="DD62" i="5"/>
  <c r="FH31" i="5"/>
  <c r="AN63" i="5"/>
  <c r="DX62" i="5"/>
  <c r="FE7" i="5"/>
  <c r="BY12" i="5"/>
  <c r="EC63" i="5"/>
  <c r="Q24" i="5"/>
  <c r="CL54" i="5"/>
  <c r="EH60" i="5"/>
  <c r="BX24" i="5"/>
  <c r="DV62" i="5"/>
  <c r="DR8" i="5"/>
  <c r="EP60" i="5"/>
  <c r="BZ24" i="5"/>
  <c r="T57" i="5"/>
  <c r="EG16" i="5"/>
  <c r="BO59" i="5"/>
  <c r="H36" i="5"/>
  <c r="FE13" i="5"/>
  <c r="N26" i="5"/>
  <c r="L36" i="5"/>
  <c r="EO40" i="5"/>
  <c r="BC64" i="5"/>
  <c r="Z5" i="5"/>
  <c r="EM24" i="5"/>
  <c r="CX51" i="5"/>
  <c r="BN55" i="5"/>
  <c r="EE21" i="5"/>
  <c r="M25" i="5"/>
  <c r="EY9" i="5"/>
  <c r="Q62" i="5"/>
  <c r="AY10" i="5"/>
  <c r="ER40" i="5"/>
  <c r="DD31" i="5"/>
  <c r="ES51" i="5"/>
  <c r="DC26" i="5"/>
  <c r="BT7" i="5"/>
  <c r="BG23" i="5"/>
  <c r="ED33" i="5"/>
  <c r="BG20" i="5"/>
  <c r="DA46" i="5"/>
  <c r="EV18" i="5"/>
  <c r="FF49" i="5"/>
  <c r="EY49" i="5"/>
  <c r="EV49" i="5"/>
  <c r="DW62" i="5"/>
  <c r="BH26" i="5"/>
  <c r="BK31" i="5"/>
  <c r="BC62" i="5"/>
  <c r="FH13" i="5"/>
  <c r="FH50" i="5"/>
  <c r="AX25" i="5"/>
  <c r="BL35" i="5"/>
  <c r="AV50" i="5"/>
  <c r="AJ7" i="5"/>
  <c r="R62" i="5"/>
  <c r="AO20" i="5"/>
  <c r="EX47" i="5"/>
  <c r="AC14" i="5"/>
  <c r="EH33" i="5"/>
  <c r="FM43" i="5"/>
  <c r="CN11" i="5"/>
  <c r="CN4" i="5"/>
  <c r="V34" i="5"/>
  <c r="B29" i="5"/>
  <c r="DM20" i="5"/>
  <c r="J4" i="5"/>
  <c r="CG3" i="5"/>
  <c r="DG5" i="5"/>
  <c r="FD31" i="5"/>
  <c r="CP63" i="5"/>
  <c r="CB6" i="5"/>
  <c r="AO14" i="5"/>
  <c r="BH21" i="5"/>
  <c r="DO31" i="5"/>
  <c r="T37" i="5"/>
  <c r="CV40" i="5"/>
  <c r="FK20" i="5"/>
  <c r="BW55" i="5"/>
  <c r="AG55" i="5"/>
  <c r="BD42" i="5"/>
  <c r="BK19" i="5"/>
  <c r="AQ40" i="5"/>
  <c r="E14" i="5"/>
  <c r="DV16" i="5"/>
  <c r="M29" i="5"/>
  <c r="M10" i="5"/>
  <c r="Y3" i="5"/>
  <c r="DX46" i="5"/>
  <c r="EM64" i="5"/>
  <c r="EM37" i="5"/>
  <c r="FD44" i="5"/>
  <c r="Z42" i="5"/>
  <c r="AR24" i="5"/>
  <c r="EO37" i="5"/>
  <c r="EJ52" i="5"/>
  <c r="CC8" i="5"/>
  <c r="EU48" i="5"/>
  <c r="CY52" i="5"/>
  <c r="DY6" i="5"/>
  <c r="DV50" i="5"/>
  <c r="AF62" i="5"/>
  <c r="FH12" i="5"/>
  <c r="S45" i="5"/>
  <c r="FI62" i="5"/>
  <c r="FA26" i="5"/>
  <c r="F9" i="5"/>
  <c r="P57" i="5"/>
  <c r="CU60" i="5"/>
  <c r="I28" i="5"/>
  <c r="CZ42" i="5"/>
  <c r="AY59" i="5"/>
  <c r="ES62" i="5"/>
  <c r="CK53" i="5"/>
  <c r="CJ34" i="5"/>
  <c r="ED22" i="5"/>
  <c r="DW34" i="5"/>
  <c r="DF55" i="5"/>
  <c r="G21" i="5"/>
  <c r="Y20" i="5"/>
  <c r="DO37" i="5"/>
  <c r="EZ31" i="5"/>
  <c r="D25" i="5"/>
  <c r="AF55" i="5"/>
  <c r="BK8" i="5"/>
  <c r="O61" i="5"/>
  <c r="FB27" i="5"/>
  <c r="DS5" i="5"/>
  <c r="DT33" i="5"/>
  <c r="BU26" i="5"/>
  <c r="M9" i="5"/>
  <c r="AL56" i="5"/>
  <c r="DV24" i="5"/>
  <c r="ES57" i="5"/>
  <c r="BJ3" i="5"/>
  <c r="BO42" i="5"/>
  <c r="BS31" i="5"/>
  <c r="BL17" i="5"/>
  <c r="ES32" i="5"/>
  <c r="CU7" i="5"/>
  <c r="BT56" i="5"/>
  <c r="W25" i="5"/>
  <c r="BX63" i="5"/>
  <c r="DC49" i="5"/>
  <c r="EN46" i="5"/>
  <c r="FL3" i="5"/>
  <c r="W24" i="5"/>
  <c r="BF46" i="5"/>
  <c r="CC37" i="5"/>
  <c r="I51" i="5"/>
  <c r="DG46" i="5"/>
  <c r="CG43" i="5"/>
  <c r="Y64" i="5"/>
  <c r="AH37" i="5"/>
  <c r="BE24" i="5"/>
  <c r="EE11" i="5"/>
  <c r="BZ46" i="5"/>
  <c r="EG3" i="5"/>
  <c r="CZ17" i="5"/>
  <c r="AB20" i="5"/>
  <c r="CO16" i="5"/>
  <c r="AY19" i="5"/>
  <c r="DK44" i="5"/>
  <c r="N22" i="5"/>
  <c r="H8" i="5"/>
  <c r="DG47" i="5"/>
  <c r="DW53" i="5"/>
  <c r="BA19" i="5"/>
  <c r="V52" i="5"/>
  <c r="DP45" i="5"/>
  <c r="BS9" i="5"/>
  <c r="DT61" i="5"/>
  <c r="AT12" i="5"/>
  <c r="CU45" i="5"/>
  <c r="DL26" i="5"/>
  <c r="BS29" i="5"/>
  <c r="FA27" i="5"/>
  <c r="Q45" i="5"/>
  <c r="AH27" i="5"/>
  <c r="FJ57" i="5"/>
  <c r="U44" i="5"/>
  <c r="DA26" i="5"/>
  <c r="BQ41" i="5"/>
  <c r="DH46" i="5"/>
  <c r="FP6" i="5"/>
  <c r="FR9" i="5"/>
  <c r="CB19" i="5"/>
  <c r="AG3" i="5"/>
  <c r="DM19" i="5"/>
  <c r="DT52" i="5"/>
  <c r="BX57" i="5"/>
  <c r="CX28" i="5"/>
  <c r="AK28" i="5"/>
  <c r="BV58" i="5"/>
  <c r="CN28" i="5"/>
  <c r="CY22" i="5"/>
  <c r="DF12" i="5"/>
  <c r="U42" i="5"/>
  <c r="DL13" i="5"/>
  <c r="BZ56" i="5"/>
  <c r="BQ46" i="5"/>
  <c r="FF3" i="5"/>
  <c r="EQ50" i="5"/>
  <c r="BX31" i="5"/>
  <c r="CQ32" i="5"/>
  <c r="CI8" i="5"/>
  <c r="BQ63" i="5"/>
  <c r="FH20" i="5"/>
  <c r="BN62" i="5"/>
  <c r="AR42" i="5"/>
  <c r="M39" i="5"/>
  <c r="AZ23" i="5"/>
  <c r="EV45" i="5"/>
  <c r="CT23" i="5"/>
  <c r="AP40" i="5"/>
  <c r="DK61" i="5"/>
  <c r="CH19" i="5"/>
  <c r="CC40" i="5"/>
  <c r="D48" i="5"/>
  <c r="BV5" i="5"/>
  <c r="CJ48" i="5"/>
  <c r="AN40" i="5"/>
  <c r="DT60" i="5"/>
  <c r="EA46" i="5"/>
  <c r="K63" i="5"/>
  <c r="BH42" i="5"/>
  <c r="AI9" i="5"/>
  <c r="DG30" i="5"/>
  <c r="BG62" i="5"/>
  <c r="BK4" i="5"/>
  <c r="BQ57" i="5"/>
  <c r="FL64" i="5"/>
  <c r="CP51" i="5"/>
  <c r="DZ9" i="5"/>
  <c r="CF37" i="5"/>
  <c r="FC4" i="5"/>
  <c r="CO21" i="5"/>
  <c r="FF46" i="5"/>
  <c r="AQ29" i="5"/>
  <c r="DP36" i="5"/>
  <c r="DV64" i="5"/>
  <c r="EV28" i="5"/>
  <c r="H53" i="5"/>
  <c r="EY31" i="5"/>
  <c r="EW41" i="5"/>
  <c r="BM47" i="5"/>
  <c r="BG12" i="5"/>
  <c r="BR3" i="5"/>
  <c r="AH46" i="5"/>
  <c r="S41" i="5"/>
  <c r="J34" i="5"/>
  <c r="I34" i="5"/>
  <c r="DE39" i="5"/>
  <c r="FK6" i="5"/>
  <c r="EN63" i="5"/>
  <c r="CA33" i="5"/>
  <c r="DA44" i="5"/>
  <c r="DA7" i="5"/>
  <c r="N48" i="5"/>
  <c r="DO29" i="5"/>
  <c r="BC19" i="5"/>
  <c r="AL33" i="5"/>
  <c r="FB16" i="5"/>
  <c r="FB63" i="5"/>
  <c r="BT9" i="5"/>
  <c r="AJ61" i="5"/>
  <c r="CP53" i="5"/>
  <c r="AU60" i="5"/>
  <c r="BS19" i="5"/>
  <c r="AE60" i="5"/>
  <c r="L25" i="5"/>
  <c r="FH23" i="5"/>
  <c r="DR19" i="5"/>
  <c r="CY45" i="5"/>
  <c r="FR56" i="5"/>
  <c r="ES58" i="5"/>
  <c r="AA21" i="5"/>
  <c r="AE23" i="5"/>
  <c r="CV13" i="5"/>
  <c r="DI52" i="5"/>
  <c r="AV28" i="5"/>
  <c r="BJ58" i="5"/>
  <c r="AY21" i="5"/>
  <c r="FG28" i="5"/>
  <c r="EH55" i="5"/>
  <c r="EJ5" i="5"/>
  <c r="BO15" i="5"/>
  <c r="H45" i="5"/>
  <c r="BP27" i="5"/>
  <c r="FE3" i="5"/>
  <c r="AJ57" i="5"/>
  <c r="FQ55" i="5"/>
  <c r="AW49" i="5"/>
  <c r="BD27" i="5"/>
  <c r="FB39" i="5"/>
  <c r="FO27" i="5"/>
  <c r="DN4" i="5"/>
  <c r="DN9" i="5"/>
  <c r="FO61" i="5"/>
  <c r="FA44" i="5"/>
  <c r="DG53" i="5"/>
  <c r="FQ54" i="5"/>
  <c r="AL41" i="5"/>
  <c r="BJ29" i="5"/>
  <c r="BF8" i="5"/>
  <c r="CW23" i="5"/>
  <c r="BJ47" i="5"/>
  <c r="FN32" i="5"/>
  <c r="DM64" i="5"/>
  <c r="FN48" i="5"/>
  <c r="DM53" i="5"/>
  <c r="DD19" i="5"/>
  <c r="DT24" i="5"/>
  <c r="AQ30" i="5"/>
  <c r="T23" i="5"/>
  <c r="DJ27" i="5"/>
  <c r="AD4" i="5"/>
  <c r="FA5" i="5"/>
  <c r="FL40" i="5"/>
  <c r="CK32" i="5"/>
  <c r="DW58" i="5"/>
  <c r="EI23" i="5"/>
  <c r="FB55" i="5"/>
  <c r="BS43" i="5"/>
  <c r="CO23" i="5"/>
  <c r="CN50" i="5"/>
  <c r="BP55" i="5"/>
  <c r="P62" i="5"/>
  <c r="CD51" i="5"/>
  <c r="CX27" i="5"/>
  <c r="CI6" i="5"/>
  <c r="DT17" i="5"/>
  <c r="DV48" i="5"/>
  <c r="X63" i="5"/>
  <c r="CT45" i="5"/>
  <c r="BY48" i="5"/>
  <c r="DP27" i="5"/>
  <c r="BY52" i="5"/>
  <c r="BT54" i="5"/>
  <c r="DG26" i="5"/>
  <c r="AG28" i="5"/>
  <c r="CZ56" i="5"/>
  <c r="FT32" i="5"/>
  <c r="AS9" i="5"/>
  <c r="B12" i="5"/>
  <c r="CF46" i="5"/>
  <c r="BV49" i="5"/>
  <c r="DJ47" i="5"/>
  <c r="F26" i="5"/>
  <c r="BB57" i="5"/>
  <c r="H47" i="5"/>
  <c r="DS53" i="5"/>
  <c r="BV26" i="5"/>
  <c r="CH5" i="5"/>
  <c r="FG22" i="5"/>
  <c r="EO6" i="5"/>
  <c r="EJ42" i="5"/>
  <c r="FO44" i="5"/>
  <c r="AL5" i="5"/>
  <c r="I35" i="5"/>
  <c r="EH43" i="5"/>
  <c r="L8" i="5"/>
  <c r="EC17" i="5"/>
  <c r="EB31" i="5"/>
  <c r="EO62" i="5"/>
  <c r="AB64" i="5"/>
  <c r="BL46" i="5"/>
  <c r="FC18" i="5"/>
  <c r="FE56" i="5"/>
  <c r="Y14" i="5"/>
  <c r="EN60" i="5"/>
  <c r="AX30" i="5"/>
  <c r="DW6" i="5"/>
  <c r="CY25" i="5"/>
  <c r="BF5" i="5"/>
  <c r="FA54" i="5"/>
  <c r="BH64" i="5"/>
  <c r="AO30" i="5"/>
  <c r="DU17" i="5"/>
  <c r="BN3" i="5"/>
  <c r="BC48" i="5"/>
  <c r="FG26" i="5"/>
  <c r="BS64" i="5"/>
  <c r="FE48" i="5"/>
  <c r="AH56" i="5"/>
  <c r="CE17" i="5"/>
  <c r="BF59" i="5"/>
  <c r="FM63" i="5"/>
  <c r="EO45" i="5"/>
  <c r="BF60" i="5"/>
  <c r="CK48" i="5"/>
  <c r="BV19" i="5"/>
  <c r="DY55" i="5"/>
  <c r="BU13" i="5"/>
  <c r="CQ48" i="5"/>
  <c r="DE42" i="5"/>
  <c r="DD15" i="5"/>
  <c r="EM26" i="5"/>
  <c r="EN31" i="5"/>
  <c r="I63" i="5"/>
  <c r="K43" i="5"/>
  <c r="DM57" i="5"/>
  <c r="BK50" i="5"/>
  <c r="BN39" i="5"/>
  <c r="DC30" i="5"/>
  <c r="FF19" i="5"/>
  <c r="CE5" i="5"/>
  <c r="BU27" i="5"/>
  <c r="CX35" i="5"/>
  <c r="DM9" i="5"/>
  <c r="AY14" i="5"/>
  <c r="BE7" i="5"/>
  <c r="CS50" i="5"/>
  <c r="BP36" i="5"/>
  <c r="EB34" i="5"/>
  <c r="CA37" i="5"/>
  <c r="CZ54" i="5"/>
  <c r="EZ32" i="5"/>
  <c r="BK25" i="5"/>
  <c r="DC35" i="5"/>
  <c r="AD59" i="5"/>
  <c r="EX42" i="5"/>
  <c r="CK47" i="5"/>
  <c r="X57" i="5"/>
  <c r="X28" i="5"/>
  <c r="FS21" i="5"/>
  <c r="AQ11" i="5"/>
  <c r="FG53" i="5"/>
  <c r="AV59" i="5"/>
  <c r="DI36" i="5"/>
  <c r="W58" i="5"/>
  <c r="CI15" i="5"/>
  <c r="ET49" i="5"/>
  <c r="CC56" i="5"/>
  <c r="ED18" i="5"/>
  <c r="BF61" i="5"/>
  <c r="L42" i="5"/>
  <c r="Q37" i="5"/>
  <c r="EG17" i="5"/>
  <c r="DL47" i="5"/>
  <c r="EX4" i="5"/>
  <c r="AH42" i="5"/>
  <c r="T62" i="5"/>
  <c r="DY14" i="5"/>
  <c r="AU54" i="5"/>
  <c r="AX63" i="5"/>
  <c r="FK33" i="5"/>
  <c r="EP56" i="5"/>
  <c r="DK35" i="5"/>
  <c r="BD6" i="5"/>
  <c r="EL26" i="5"/>
  <c r="BY61" i="5"/>
  <c r="C9" i="5"/>
  <c r="Q52" i="5"/>
  <c r="R59" i="5"/>
  <c r="V62" i="5"/>
  <c r="BB36" i="5"/>
  <c r="AG20" i="5"/>
  <c r="D42" i="5"/>
  <c r="BZ9" i="5"/>
  <c r="FT51" i="5"/>
  <c r="DE31" i="5"/>
  <c r="CU41" i="5"/>
  <c r="BQ45" i="5"/>
  <c r="BL38" i="5"/>
  <c r="T12" i="5"/>
  <c r="FH56" i="5"/>
  <c r="CC20" i="5"/>
  <c r="EJ41" i="5"/>
  <c r="EE57" i="5"/>
  <c r="CY16" i="5"/>
  <c r="CO14" i="5"/>
  <c r="DS9" i="5"/>
  <c r="EV22" i="5"/>
  <c r="BC45" i="5"/>
  <c r="CX61" i="5"/>
  <c r="EK50" i="5"/>
  <c r="O12" i="5"/>
  <c r="CU5" i="5"/>
  <c r="CZ33" i="5"/>
  <c r="AA53" i="5"/>
  <c r="EA59" i="5"/>
  <c r="EC49" i="5"/>
  <c r="AO40" i="5"/>
  <c r="BR40" i="5"/>
  <c r="EQ5" i="5"/>
  <c r="EA21" i="5"/>
  <c r="DL45" i="5"/>
  <c r="CE9" i="5"/>
  <c r="EA62" i="5"/>
  <c r="AV17" i="5"/>
  <c r="FI64" i="5"/>
  <c r="Z41" i="5"/>
  <c r="FC60" i="5"/>
  <c r="V21" i="5"/>
  <c r="AB32" i="5"/>
  <c r="DU36" i="5"/>
  <c r="DN24" i="5"/>
  <c r="T19" i="5"/>
  <c r="CI37" i="5"/>
  <c r="BE18" i="5"/>
  <c r="P28" i="5"/>
  <c r="BS24" i="5"/>
  <c r="DU63" i="5"/>
  <c r="CK16" i="5"/>
  <c r="BG19" i="5"/>
  <c r="D63" i="5"/>
  <c r="EQ34" i="5"/>
  <c r="CL10" i="5"/>
  <c r="D43" i="5"/>
  <c r="DV25" i="5"/>
  <c r="EW53" i="5"/>
  <c r="C4" i="5"/>
  <c r="CO39" i="5"/>
  <c r="DX39" i="5"/>
  <c r="BA44" i="5"/>
  <c r="CE7" i="5"/>
  <c r="AY7" i="5"/>
  <c r="DX36" i="5"/>
  <c r="BF7" i="5"/>
  <c r="CG60" i="5"/>
  <c r="DG20" i="5"/>
  <c r="CQ29" i="5"/>
  <c r="L21" i="5"/>
  <c r="H10" i="5"/>
  <c r="BN34" i="5"/>
  <c r="DC41" i="5"/>
  <c r="BE61" i="5"/>
  <c r="X52" i="5"/>
  <c r="EV9" i="5"/>
  <c r="BK38" i="5"/>
  <c r="BK6" i="5"/>
  <c r="AK3" i="5"/>
  <c r="DR46" i="5"/>
  <c r="R19" i="5"/>
  <c r="AV61" i="5"/>
  <c r="BE39" i="5"/>
  <c r="AQ35" i="5"/>
  <c r="CA64" i="5"/>
  <c r="AG11" i="5"/>
  <c r="CM22" i="5"/>
  <c r="Y43" i="5"/>
  <c r="DC58" i="5"/>
  <c r="CG39" i="5"/>
  <c r="EU45" i="5"/>
  <c r="M30" i="5"/>
  <c r="CO42" i="5"/>
  <c r="AT18" i="5"/>
  <c r="CI38" i="5"/>
  <c r="EO4" i="5"/>
  <c r="DT51" i="5"/>
  <c r="CC54" i="5"/>
  <c r="BC33" i="5"/>
  <c r="EX18" i="5"/>
  <c r="FP37" i="5"/>
  <c r="DA51" i="5"/>
  <c r="EK62" i="5"/>
  <c r="CG10" i="5"/>
  <c r="BS28" i="5"/>
  <c r="AQ8" i="5"/>
  <c r="EM5" i="5"/>
  <c r="FT39" i="5"/>
  <c r="DZ6" i="5"/>
  <c r="CJ18" i="5"/>
  <c r="AD64" i="5"/>
  <c r="X26" i="5"/>
  <c r="ER13" i="5"/>
  <c r="DF50" i="5"/>
  <c r="DV33" i="5"/>
  <c r="DS4" i="5"/>
  <c r="AX14" i="5"/>
  <c r="DO51" i="5"/>
  <c r="CB31" i="5"/>
  <c r="C64" i="5"/>
  <c r="S36" i="5"/>
  <c r="BO12" i="5"/>
  <c r="G54" i="5"/>
  <c r="CC63" i="5"/>
  <c r="AS23" i="5"/>
  <c r="CZ36" i="5"/>
  <c r="FM10" i="5"/>
  <c r="B21" i="5"/>
  <c r="BT5" i="5"/>
  <c r="DX3" i="5"/>
  <c r="DI37" i="5"/>
  <c r="AP43" i="5"/>
  <c r="FR27" i="5"/>
  <c r="FG42" i="5"/>
  <c r="AF46" i="5"/>
  <c r="CT59" i="5"/>
  <c r="DZ63" i="5"/>
  <c r="BN42" i="5"/>
  <c r="AI11" i="5"/>
  <c r="H37" i="5"/>
  <c r="EB39" i="5"/>
  <c r="DL29" i="5"/>
  <c r="DR54" i="5"/>
  <c r="FF64" i="5"/>
  <c r="EX8" i="5"/>
  <c r="DP64" i="5"/>
  <c r="DM60" i="5"/>
  <c r="BS61" i="5"/>
  <c r="BF52" i="5"/>
  <c r="FP23" i="5"/>
  <c r="FJ54" i="5"/>
  <c r="DK3" i="5"/>
  <c r="I42" i="5"/>
  <c r="BJ52" i="5"/>
  <c r="ED16" i="5"/>
  <c r="CS41" i="5"/>
  <c r="CH30" i="5"/>
  <c r="DR10" i="5"/>
  <c r="BL18" i="5"/>
  <c r="BK15" i="5"/>
  <c r="J50" i="5"/>
  <c r="DR16" i="5"/>
  <c r="EC20" i="5"/>
  <c r="EK3" i="5"/>
  <c r="CZ18" i="5"/>
  <c r="EE55" i="5"/>
  <c r="BT63" i="5"/>
  <c r="CF27" i="5"/>
  <c r="M34" i="5"/>
  <c r="FT53" i="5"/>
  <c r="AG34" i="5"/>
  <c r="BD10" i="5"/>
  <c r="EE4" i="5"/>
  <c r="BN52" i="5"/>
  <c r="CM59" i="5"/>
  <c r="BC15" i="5"/>
  <c r="DP49" i="5"/>
  <c r="DP56" i="5"/>
  <c r="BY22" i="5"/>
  <c r="BO14" i="5"/>
  <c r="BD12" i="5"/>
  <c r="ET62" i="5"/>
  <c r="Z58" i="5"/>
  <c r="EH56" i="5"/>
  <c r="EO18" i="5"/>
  <c r="CQ28" i="5"/>
  <c r="EA9" i="5"/>
  <c r="AE14" i="5"/>
  <c r="DK48" i="5"/>
  <c r="CA4" i="5"/>
  <c r="BZ5" i="5"/>
  <c r="EJ37" i="5"/>
  <c r="AX32" i="5"/>
  <c r="EA4" i="5"/>
  <c r="CX42" i="5"/>
  <c r="CT36" i="5"/>
  <c r="BM51" i="5"/>
  <c r="BT33" i="5"/>
  <c r="S33" i="5"/>
  <c r="FS39" i="5"/>
  <c r="DA53" i="5"/>
  <c r="EL30" i="5"/>
  <c r="CV29" i="5"/>
  <c r="AO49" i="5"/>
  <c r="T45" i="5"/>
  <c r="FH37" i="5"/>
  <c r="AV54" i="5"/>
  <c r="AZ48" i="5"/>
  <c r="FH63" i="5"/>
  <c r="EL37" i="5"/>
  <c r="AW61" i="5"/>
  <c r="DE28" i="5"/>
  <c r="AV29" i="5"/>
  <c r="BU46" i="5"/>
  <c r="BP32" i="5"/>
  <c r="DD5" i="5"/>
  <c r="G51" i="5"/>
  <c r="DK55" i="5"/>
  <c r="EB41" i="5"/>
  <c r="W5" i="5"/>
  <c r="FH42" i="5"/>
  <c r="EJ12" i="5"/>
  <c r="FP62" i="5"/>
  <c r="BW48" i="5"/>
  <c r="FO34" i="5"/>
  <c r="DR40" i="5"/>
  <c r="DR44" i="5"/>
  <c r="AM8" i="5"/>
  <c r="AL48" i="5"/>
  <c r="AT34" i="5"/>
  <c r="BQ7" i="5"/>
  <c r="BQ16" i="5"/>
  <c r="G18" i="5"/>
  <c r="H31" i="5"/>
  <c r="DA45" i="5"/>
  <c r="BU23" i="5"/>
  <c r="CU63" i="5"/>
  <c r="FP24" i="5"/>
  <c r="FP5" i="5"/>
  <c r="CW15" i="5"/>
  <c r="DE21" i="5"/>
  <c r="EQ52" i="5"/>
  <c r="CS15" i="5"/>
  <c r="EE9" i="5"/>
  <c r="DZ28" i="5"/>
  <c r="AP53" i="5"/>
  <c r="L49" i="5"/>
  <c r="CG61" i="5"/>
  <c r="Z11" i="5"/>
  <c r="FN4" i="5"/>
  <c r="DR62" i="5"/>
  <c r="BR56" i="5"/>
  <c r="EY50" i="5"/>
  <c r="AT21" i="5"/>
  <c r="DA52" i="5"/>
  <c r="FD12" i="5"/>
  <c r="AZ28" i="5"/>
  <c r="EM28" i="5"/>
  <c r="FE28" i="5"/>
  <c r="AU33" i="5"/>
  <c r="BX48" i="5"/>
  <c r="Z39" i="5"/>
  <c r="AE7" i="5"/>
  <c r="EX64" i="5"/>
  <c r="FI38" i="5"/>
  <c r="DM10" i="5"/>
  <c r="FI39" i="5"/>
  <c r="FA22" i="5"/>
  <c r="EZ10" i="5"/>
  <c r="BX5" i="5"/>
  <c r="Q38" i="5"/>
  <c r="EA48" i="5"/>
  <c r="CE40" i="5"/>
  <c r="DX7" i="5"/>
  <c r="AV64" i="5"/>
  <c r="CT37" i="5"/>
  <c r="AB28" i="5"/>
  <c r="BD50" i="5"/>
  <c r="EN49" i="5"/>
  <c r="BM7" i="5"/>
  <c r="AD54" i="5"/>
  <c r="DO19" i="5"/>
  <c r="S48" i="5"/>
  <c r="EZ50" i="5"/>
  <c r="DT53" i="5"/>
  <c r="DN29" i="5"/>
  <c r="CJ53" i="5"/>
  <c r="CN9" i="5"/>
  <c r="FH19" i="5"/>
  <c r="EF59" i="5"/>
  <c r="DQ54" i="5"/>
  <c r="CX58" i="5"/>
  <c r="DK13" i="5"/>
  <c r="CS49" i="5"/>
  <c r="DQ34" i="5"/>
  <c r="AT43" i="5"/>
  <c r="DH7" i="5"/>
  <c r="BV18" i="5"/>
  <c r="AT13" i="5"/>
  <c r="DM13" i="5"/>
  <c r="V56" i="5"/>
  <c r="DI3" i="5"/>
  <c r="CT46" i="5"/>
  <c r="BU30" i="5"/>
  <c r="ET9" i="5"/>
  <c r="BY64" i="5"/>
  <c r="DY41" i="5"/>
  <c r="CY30" i="5"/>
  <c r="BG53" i="5"/>
  <c r="AC47" i="5"/>
  <c r="D49" i="5"/>
  <c r="EV51" i="5"/>
  <c r="CB49" i="5"/>
  <c r="BN59" i="5"/>
  <c r="DJ10" i="5"/>
  <c r="FD20" i="5"/>
  <c r="BJ21" i="5"/>
  <c r="AP5" i="5"/>
  <c r="BH18" i="5"/>
  <c r="DB60" i="5"/>
  <c r="AG19" i="5"/>
  <c r="CF10" i="5"/>
  <c r="BR58" i="5"/>
  <c r="DU55" i="5"/>
  <c r="Y31" i="5"/>
  <c r="DQ58" i="5"/>
  <c r="ES25" i="5"/>
  <c r="DW64" i="5"/>
  <c r="CQ25" i="5"/>
  <c r="AO58" i="5"/>
  <c r="DI20" i="5"/>
  <c r="EN33" i="5"/>
  <c r="BO26" i="5"/>
  <c r="CJ27" i="5"/>
  <c r="CA30" i="5"/>
  <c r="DV44" i="5"/>
  <c r="BA42" i="5"/>
  <c r="EN4" i="5"/>
  <c r="FN17" i="5"/>
  <c r="FR64" i="5"/>
  <c r="BJ24" i="5"/>
  <c r="CQ64" i="5"/>
  <c r="DX47" i="5"/>
  <c r="AV48" i="5"/>
  <c r="DS32" i="5"/>
  <c r="FE43" i="5"/>
  <c r="Z47" i="5"/>
  <c r="AM20" i="5"/>
  <c r="DT39" i="5"/>
  <c r="CO61" i="5"/>
  <c r="BB12" i="5"/>
  <c r="EG6" i="5"/>
  <c r="CX23" i="5"/>
  <c r="AL29" i="5"/>
  <c r="AP33" i="5"/>
  <c r="BP62" i="5"/>
  <c r="BA8" i="5"/>
  <c r="BX49" i="5"/>
  <c r="FQ49" i="5"/>
  <c r="G63" i="5"/>
  <c r="DX20" i="5"/>
  <c r="DL32" i="5"/>
  <c r="AU6" i="5"/>
  <c r="BT43" i="5"/>
  <c r="N64" i="5"/>
  <c r="DW26" i="5"/>
  <c r="Z9" i="5"/>
  <c r="D21" i="5"/>
  <c r="CE30" i="5"/>
  <c r="FT43" i="5"/>
  <c r="W23" i="5"/>
  <c r="DN57" i="5"/>
  <c r="DQ23" i="5"/>
  <c r="DJ58" i="5"/>
  <c r="BK32" i="5"/>
  <c r="EU49" i="5"/>
  <c r="DD53" i="5"/>
  <c r="CL12" i="5"/>
  <c r="P41" i="5"/>
  <c r="CV64" i="5"/>
  <c r="EZ30" i="5"/>
  <c r="CE48" i="5"/>
  <c r="CM34" i="5"/>
  <c r="BO10" i="5"/>
  <c r="C11" i="5"/>
  <c r="AW62" i="5"/>
  <c r="Z8" i="5"/>
  <c r="DS61" i="5"/>
  <c r="FJ48" i="5"/>
  <c r="DZ3" i="5"/>
  <c r="DJ51" i="5"/>
  <c r="AH51" i="5"/>
  <c r="J46" i="5"/>
  <c r="AK50" i="5"/>
  <c r="BL10" i="5"/>
  <c r="AY60" i="5"/>
  <c r="DK38" i="5"/>
  <c r="V4" i="5"/>
  <c r="DJ46" i="5"/>
  <c r="DL54" i="5"/>
  <c r="D3" i="5"/>
  <c r="DK28" i="5"/>
  <c r="BA46" i="5"/>
  <c r="EX59" i="5"/>
  <c r="EC42" i="5"/>
  <c r="M5" i="5"/>
  <c r="DF4" i="5"/>
  <c r="EK10" i="5"/>
  <c r="BN5" i="5"/>
  <c r="AT63" i="5"/>
  <c r="T36" i="5"/>
  <c r="DU56" i="5"/>
  <c r="CU4" i="5"/>
  <c r="BH14" i="5"/>
  <c r="AP30" i="5"/>
  <c r="EO3" i="5"/>
  <c r="EE39" i="5"/>
  <c r="DK45" i="5"/>
  <c r="BH3" i="5"/>
  <c r="AV20" i="5"/>
  <c r="BO11" i="5"/>
  <c r="ER10" i="5"/>
  <c r="DQ7" i="5"/>
  <c r="EZ21" i="5"/>
  <c r="CS32" i="5"/>
  <c r="T8" i="5"/>
  <c r="CT40" i="5"/>
  <c r="BM33" i="5"/>
  <c r="BF31" i="5"/>
  <c r="AC55" i="5"/>
  <c r="BS18" i="5"/>
  <c r="R10" i="5"/>
  <c r="AL50" i="5"/>
  <c r="EO44" i="5"/>
  <c r="AP7" i="5"/>
  <c r="DN16" i="5"/>
  <c r="ES21" i="5"/>
  <c r="DW46" i="5"/>
  <c r="BP45" i="5"/>
  <c r="ED10" i="5"/>
  <c r="EH8" i="5"/>
  <c r="BN11" i="5"/>
  <c r="O53" i="5"/>
  <c r="DC38" i="5"/>
  <c r="CX30" i="5"/>
  <c r="DR42" i="5"/>
  <c r="ED12" i="5"/>
  <c r="DJ11" i="5"/>
  <c r="CP13" i="5"/>
  <c r="EW21" i="5"/>
  <c r="AD9" i="5"/>
  <c r="EB61" i="5"/>
  <c r="AM43" i="5"/>
  <c r="EQ19" i="5"/>
  <c r="D9" i="5"/>
  <c r="AB44" i="5"/>
  <c r="CA46" i="5"/>
  <c r="DG57" i="5"/>
  <c r="DL64" i="5"/>
  <c r="EN5" i="5"/>
  <c r="W57" i="5"/>
  <c r="DY9" i="5"/>
  <c r="DD13" i="5"/>
  <c r="DR41" i="5"/>
  <c r="FH40" i="5"/>
  <c r="L28" i="5"/>
  <c r="M15" i="5"/>
  <c r="BY33" i="5"/>
  <c r="CV38" i="5"/>
  <c r="EN52" i="5"/>
  <c r="DO24" i="5"/>
  <c r="DD24" i="5"/>
  <c r="W59" i="5"/>
  <c r="EL24" i="5"/>
  <c r="FA39" i="5"/>
  <c r="CC39" i="5"/>
  <c r="G37" i="5"/>
  <c r="Q33" i="5"/>
  <c r="P24" i="5"/>
  <c r="FB24" i="5"/>
  <c r="CS48" i="5"/>
  <c r="DD38" i="5"/>
  <c r="DU32" i="5"/>
  <c r="ED64" i="5"/>
  <c r="EB37" i="5"/>
  <c r="CG40" i="5"/>
  <c r="BH47" i="5"/>
  <c r="EH59" i="5"/>
  <c r="CS55" i="5"/>
  <c r="ET61" i="5"/>
  <c r="BF38" i="5"/>
  <c r="I13" i="5"/>
  <c r="CB51" i="5"/>
  <c r="DQ40" i="5"/>
  <c r="EV11" i="5"/>
  <c r="EP44" i="5"/>
  <c r="DJ64" i="5"/>
  <c r="DH51" i="5"/>
  <c r="BR8" i="5"/>
  <c r="DP14" i="5"/>
  <c r="AL16" i="5"/>
  <c r="FC55" i="5"/>
  <c r="FJ9" i="5"/>
  <c r="D61" i="5"/>
  <c r="FJ14" i="5"/>
  <c r="CI48" i="5"/>
  <c r="AC56" i="5"/>
  <c r="T33" i="5"/>
  <c r="CP39" i="5"/>
  <c r="CW41" i="5"/>
  <c r="EK37" i="5"/>
  <c r="CI58" i="5"/>
  <c r="AX4" i="5"/>
  <c r="EO38" i="5"/>
  <c r="FI44" i="5"/>
  <c r="DX6" i="5"/>
  <c r="DM28" i="5"/>
  <c r="AR55" i="5"/>
  <c r="CJ3" i="5"/>
  <c r="DS52" i="5"/>
  <c r="EL10" i="5"/>
  <c r="N13" i="5"/>
  <c r="EA34" i="5"/>
  <c r="DD44" i="5"/>
  <c r="DM58" i="5"/>
  <c r="J10" i="5"/>
  <c r="BH31" i="5"/>
  <c r="AO13" i="5"/>
  <c r="BH59" i="5"/>
  <c r="CI10" i="5"/>
  <c r="AZ51" i="5"/>
  <c r="DB40" i="5"/>
  <c r="EM53" i="5"/>
  <c r="ES52" i="5"/>
  <c r="BF23" i="5"/>
  <c r="S31" i="5"/>
  <c r="CN20" i="5"/>
  <c r="EP32" i="5"/>
  <c r="DW35" i="5"/>
  <c r="AR45" i="5"/>
  <c r="FG20" i="5"/>
  <c r="EK52" i="5"/>
  <c r="FK24" i="5"/>
  <c r="AS58" i="5"/>
  <c r="EU47" i="5"/>
  <c r="FC3" i="5"/>
  <c r="CK5" i="5"/>
  <c r="BX53" i="5"/>
  <c r="BC58" i="5"/>
  <c r="K33" i="5"/>
  <c r="AD51" i="5"/>
  <c r="FA24" i="5"/>
  <c r="CU50" i="5"/>
  <c r="EK63" i="5"/>
  <c r="AK61" i="5"/>
  <c r="EQ46" i="5"/>
  <c r="BQ27" i="5"/>
  <c r="BK49" i="5"/>
  <c r="DV37" i="5"/>
  <c r="BE17" i="5"/>
  <c r="AM63" i="5"/>
  <c r="EN16" i="5"/>
  <c r="FL55" i="5"/>
  <c r="DO50" i="5"/>
  <c r="BK37" i="5"/>
  <c r="FF60" i="5"/>
  <c r="I39" i="5"/>
  <c r="CN10" i="5"/>
  <c r="AW46" i="5"/>
  <c r="Y38" i="5"/>
  <c r="FS64" i="5"/>
  <c r="BK9" i="5"/>
  <c r="I52" i="5"/>
  <c r="J14" i="5"/>
  <c r="FO26" i="5"/>
  <c r="FG17" i="5"/>
  <c r="DJ15" i="5"/>
  <c r="CJ8" i="5"/>
  <c r="EK41" i="5"/>
  <c r="EA38" i="5"/>
  <c r="CS34" i="5"/>
  <c r="DH57" i="5"/>
  <c r="FT27" i="5"/>
  <c r="FR61" i="5"/>
  <c r="CV51" i="5"/>
  <c r="DR20" i="5"/>
  <c r="EB11" i="5"/>
  <c r="AS29" i="5"/>
  <c r="CC61" i="5"/>
  <c r="DA10" i="5"/>
  <c r="CV42" i="5"/>
  <c r="BC37" i="5"/>
  <c r="AN19" i="5"/>
  <c r="AY34" i="5"/>
  <c r="BA16" i="5"/>
  <c r="FF41" i="5"/>
  <c r="L7" i="5"/>
  <c r="EN27" i="5"/>
  <c r="CI31" i="5"/>
  <c r="EE33" i="5"/>
  <c r="BD56" i="5"/>
  <c r="AK51" i="5"/>
  <c r="FB17" i="5"/>
  <c r="AJ38" i="5"/>
  <c r="AN14" i="5"/>
  <c r="CW51" i="5"/>
  <c r="S4" i="5"/>
  <c r="CN22" i="5"/>
  <c r="DI8" i="5"/>
  <c r="BI46" i="5"/>
  <c r="EQ3" i="5"/>
  <c r="CH27" i="5"/>
  <c r="P60" i="5"/>
  <c r="DA34" i="5"/>
  <c r="AB48" i="5"/>
  <c r="EB54" i="5"/>
  <c r="W56" i="5"/>
  <c r="DQ47" i="5"/>
  <c r="AI42" i="5"/>
  <c r="V51" i="5"/>
  <c r="X53" i="5"/>
  <c r="FH61" i="5"/>
  <c r="DT23" i="5"/>
  <c r="DS41" i="5"/>
  <c r="AC64" i="5"/>
  <c r="Q3" i="5"/>
  <c r="BR25" i="5"/>
  <c r="DV59" i="5"/>
  <c r="CD34" i="5"/>
  <c r="CV21" i="5"/>
  <c r="CC25" i="5"/>
  <c r="K44" i="5"/>
  <c r="FR35" i="5"/>
  <c r="AB57" i="5"/>
  <c r="DS18" i="5"/>
  <c r="EV4" i="5"/>
  <c r="EN51" i="5"/>
  <c r="DM61" i="5"/>
  <c r="Z38" i="5"/>
  <c r="AK30" i="5"/>
  <c r="CE44" i="5"/>
  <c r="AZ45" i="5"/>
  <c r="BL21" i="5"/>
  <c r="CO62" i="5"/>
  <c r="FF54" i="5"/>
  <c r="FF30" i="5"/>
  <c r="AQ55" i="5"/>
  <c r="FA28" i="5"/>
  <c r="CY32" i="5"/>
  <c r="CJ64" i="5"/>
  <c r="BG47" i="5"/>
  <c r="FK10" i="5"/>
  <c r="AI57" i="5"/>
  <c r="X47" i="5"/>
  <c r="EK13" i="5"/>
  <c r="AK4" i="5"/>
  <c r="CW9" i="5"/>
  <c r="Y59" i="5"/>
  <c r="BR4" i="5"/>
  <c r="CU55" i="5"/>
  <c r="AD5" i="5"/>
  <c r="AX34" i="5"/>
  <c r="EW13" i="5"/>
  <c r="FR28" i="5"/>
  <c r="DS60" i="5"/>
  <c r="BN51" i="5"/>
  <c r="CL37" i="5"/>
  <c r="T49" i="5"/>
  <c r="DF30" i="5"/>
  <c r="BL49" i="5"/>
  <c r="EQ31" i="5"/>
  <c r="P4" i="5"/>
  <c r="CD16" i="5"/>
  <c r="BM28" i="5"/>
  <c r="EC10" i="5"/>
  <c r="BS41" i="5"/>
  <c r="AY63" i="5"/>
  <c r="DE44" i="5"/>
  <c r="CW43" i="5"/>
  <c r="R42" i="5"/>
  <c r="BB5" i="5"/>
  <c r="BM41" i="5"/>
  <c r="ES33" i="5"/>
  <c r="AD55" i="5"/>
  <c r="FK30" i="5"/>
  <c r="AF30" i="5"/>
  <c r="W21" i="5"/>
  <c r="T61" i="5"/>
  <c r="FJ26" i="5"/>
  <c r="CR59" i="5"/>
  <c r="EJ22" i="5"/>
  <c r="FA9" i="5"/>
  <c r="EP53" i="5"/>
  <c r="P36" i="5"/>
  <c r="I61" i="5"/>
  <c r="CP31" i="5"/>
  <c r="EN24" i="5"/>
  <c r="CT18" i="5"/>
  <c r="BL45" i="5"/>
  <c r="FC39" i="5"/>
  <c r="CN44" i="5"/>
  <c r="AI7" i="5"/>
  <c r="DP20" i="5"/>
  <c r="EH26" i="5"/>
  <c r="BR19" i="5"/>
  <c r="CP45" i="5"/>
  <c r="FI19" i="5"/>
  <c r="FF4" i="5"/>
  <c r="DV47" i="5"/>
  <c r="FR6" i="5"/>
  <c r="DS29" i="5"/>
  <c r="DV34" i="5"/>
  <c r="BQ62" i="5"/>
  <c r="J48" i="5"/>
  <c r="DK56" i="5"/>
  <c r="I45" i="5"/>
  <c r="BF36" i="5"/>
  <c r="FO32" i="5"/>
  <c r="CZ52" i="5"/>
  <c r="AF42" i="5"/>
  <c r="CM30" i="5"/>
  <c r="DS30" i="5"/>
  <c r="BG41" i="5"/>
  <c r="AY29" i="5"/>
  <c r="FH57" i="5"/>
  <c r="BP61" i="5"/>
  <c r="FF51" i="5"/>
  <c r="CB32" i="5"/>
  <c r="DX9" i="5"/>
  <c r="FA34" i="5"/>
  <c r="BG46" i="5"/>
  <c r="K51" i="5"/>
  <c r="DZ44" i="5"/>
  <c r="DF11" i="5"/>
  <c r="FQ37" i="5"/>
  <c r="BV42" i="5"/>
  <c r="CT30" i="5"/>
  <c r="CI17" i="5"/>
  <c r="AF37" i="5"/>
  <c r="AG22" i="5"/>
  <c r="EN41" i="5"/>
  <c r="BI15" i="5"/>
  <c r="FA55" i="5"/>
  <c r="FE53" i="5"/>
  <c r="CF30" i="5"/>
  <c r="DL17" i="5"/>
  <c r="FB28" i="5"/>
  <c r="FP46" i="5"/>
  <c r="CX55" i="5"/>
  <c r="EC34" i="5"/>
  <c r="EB16" i="5"/>
  <c r="FC45" i="5"/>
  <c r="S24" i="5"/>
  <c r="N47" i="5"/>
  <c r="EJ25" i="5"/>
  <c r="CS62" i="5"/>
  <c r="AG37" i="5"/>
  <c r="BN27" i="5"/>
  <c r="BB52" i="5"/>
  <c r="ED32" i="5"/>
  <c r="EI36" i="5"/>
  <c r="BG40" i="5"/>
  <c r="I9" i="5"/>
  <c r="CO29" i="5"/>
  <c r="AW6" i="5"/>
  <c r="CW25" i="5"/>
  <c r="AO32" i="5"/>
  <c r="EM20" i="5"/>
  <c r="AI38" i="5"/>
  <c r="FD5" i="5"/>
  <c r="AZ60" i="5"/>
  <c r="DT40" i="5"/>
  <c r="CW49" i="5"/>
  <c r="K42" i="5"/>
  <c r="FA52" i="5"/>
  <c r="DB39" i="5"/>
  <c r="AU11" i="5"/>
  <c r="DZ11" i="5"/>
  <c r="EU52" i="5"/>
  <c r="BJ23" i="5"/>
  <c r="BX21" i="5"/>
  <c r="BK51" i="5"/>
  <c r="AF34" i="5"/>
  <c r="BC49" i="5"/>
  <c r="FE63" i="5"/>
  <c r="FT6" i="5"/>
  <c r="EW55" i="5"/>
  <c r="EH30" i="5"/>
  <c r="S63" i="5"/>
  <c r="BB11" i="5"/>
  <c r="EF23" i="5"/>
  <c r="S44" i="5"/>
  <c r="DV21" i="5"/>
  <c r="BY16" i="5"/>
  <c r="DL24" i="5"/>
  <c r="AL51" i="5"/>
  <c r="AU19" i="5"/>
  <c r="ET38" i="5"/>
  <c r="BT14" i="5"/>
  <c r="CC22" i="5"/>
  <c r="BP52" i="5"/>
  <c r="EU12" i="5"/>
  <c r="S22" i="5"/>
  <c r="CW58" i="5"/>
  <c r="BP44" i="5"/>
  <c r="AU49" i="5"/>
  <c r="DM47" i="5"/>
  <c r="AN18" i="5"/>
  <c r="EN28" i="5"/>
  <c r="DF52" i="5"/>
  <c r="FN35" i="5"/>
  <c r="DP44" i="5"/>
  <c r="AF3" i="5"/>
  <c r="O35" i="5"/>
  <c r="ES38" i="5"/>
  <c r="CT9" i="5"/>
  <c r="BC63" i="5"/>
  <c r="BM36" i="5"/>
  <c r="DP19" i="5"/>
  <c r="O9" i="5"/>
  <c r="BJ56" i="5"/>
  <c r="AA64" i="5"/>
  <c r="DT3" i="5"/>
  <c r="FQ11" i="5"/>
  <c r="FQ27" i="5"/>
  <c r="CK31" i="5"/>
  <c r="BA37" i="5"/>
  <c r="CQ13" i="5"/>
  <c r="DW27" i="5"/>
  <c r="Q12" i="5"/>
  <c r="D58" i="5"/>
  <c r="FK27" i="5"/>
  <c r="EM13" i="5"/>
  <c r="AW42" i="5"/>
  <c r="CJ23" i="5"/>
  <c r="Q43" i="5"/>
  <c r="DK59" i="5"/>
  <c r="BV48" i="5"/>
  <c r="DT21" i="5"/>
  <c r="J25" i="5"/>
  <c r="EY32" i="5"/>
  <c r="EM58" i="5"/>
  <c r="DB11" i="5"/>
  <c r="BQ60" i="5"/>
  <c r="DH30" i="5"/>
  <c r="CP32" i="5"/>
  <c r="CE38" i="5"/>
  <c r="FS42" i="5"/>
  <c r="AV22" i="5"/>
  <c r="P15" i="5"/>
  <c r="EC33" i="5"/>
  <c r="Y60" i="5"/>
  <c r="DI54" i="5"/>
  <c r="DZ33" i="5"/>
  <c r="V9" i="5"/>
  <c r="CK10" i="5"/>
  <c r="L43" i="5"/>
  <c r="AG58" i="5"/>
  <c r="AJ3" i="5"/>
  <c r="W48" i="5"/>
  <c r="FN19" i="5"/>
  <c r="DR53" i="5"/>
  <c r="N60" i="5"/>
  <c r="BQ40" i="5"/>
  <c r="CT43" i="5"/>
  <c r="FC32" i="5"/>
  <c r="CV14" i="5"/>
  <c r="EO59" i="5"/>
  <c r="FL17" i="5"/>
  <c r="EG61" i="5"/>
  <c r="S35" i="5"/>
  <c r="DS26" i="5"/>
  <c r="FI14" i="5"/>
  <c r="EU42" i="5"/>
  <c r="FI23" i="5"/>
  <c r="FH47" i="5"/>
  <c r="AE16" i="5"/>
  <c r="EU61" i="5"/>
  <c r="FT9" i="5"/>
  <c r="CK43" i="5"/>
  <c r="U63" i="5"/>
  <c r="P52" i="5"/>
  <c r="L16" i="5"/>
  <c r="FR40" i="5"/>
  <c r="EH49" i="5"/>
  <c r="CK12" i="5"/>
  <c r="EX53" i="5"/>
  <c r="BI31" i="5"/>
  <c r="DH20" i="5"/>
  <c r="CS59" i="5"/>
  <c r="CM7" i="5"/>
  <c r="BS52" i="5"/>
  <c r="B10" i="5"/>
  <c r="DY57" i="5"/>
  <c r="CO49" i="5"/>
  <c r="AU30" i="5"/>
  <c r="CK42" i="5"/>
  <c r="CF39" i="5"/>
  <c r="R45" i="5"/>
  <c r="U13" i="5"/>
  <c r="BO13" i="5"/>
  <c r="DO10" i="5"/>
  <c r="EX58" i="5"/>
  <c r="FN23" i="5"/>
  <c r="AA39" i="5"/>
  <c r="AI24" i="5"/>
  <c r="CX47" i="5"/>
  <c r="ES44" i="5"/>
  <c r="C46" i="5"/>
  <c r="DD32" i="5"/>
  <c r="ED38" i="5"/>
  <c r="CP15" i="5"/>
  <c r="AH19" i="5"/>
  <c r="DF44" i="5"/>
  <c r="N19" i="5"/>
  <c r="DD37" i="5"/>
  <c r="CT48" i="5"/>
  <c r="ER21" i="5"/>
  <c r="Z27" i="5"/>
  <c r="CE21" i="5"/>
  <c r="BO41" i="5"/>
  <c r="EK28" i="5"/>
  <c r="CU21" i="5"/>
  <c r="DZ35" i="5"/>
  <c r="FJ6" i="5"/>
  <c r="FA35" i="5"/>
  <c r="EQ14" i="5"/>
  <c r="DI13" i="5"/>
  <c r="T50" i="5"/>
  <c r="BI22" i="5"/>
  <c r="DU20" i="5"/>
  <c r="DP38" i="5"/>
  <c r="EX40" i="5"/>
  <c r="FE44" i="5"/>
  <c r="BD38" i="5"/>
  <c r="EV40" i="5"/>
  <c r="FB25" i="5"/>
  <c r="CL34" i="5"/>
  <c r="BH40" i="5"/>
  <c r="CT35" i="5"/>
  <c r="AR30" i="5"/>
  <c r="D34" i="5"/>
  <c r="BR61" i="5"/>
  <c r="EY4" i="5"/>
  <c r="BK55" i="5"/>
  <c r="EX48" i="5"/>
  <c r="CD50" i="5"/>
  <c r="CG34" i="5"/>
  <c r="FP3" i="5"/>
  <c r="J45" i="5"/>
  <c r="EO24" i="5"/>
  <c r="EY5" i="5"/>
  <c r="AQ37" i="5"/>
  <c r="EO34" i="5"/>
  <c r="CR7" i="5"/>
  <c r="EF39" i="5"/>
  <c r="DM5" i="5"/>
  <c r="DO40" i="5"/>
  <c r="DT9" i="5"/>
  <c r="FM46" i="5"/>
  <c r="BT57" i="5"/>
  <c r="Q44" i="5"/>
  <c r="FD22" i="5"/>
  <c r="BZ33" i="5"/>
  <c r="AW10" i="5"/>
  <c r="DL33" i="5"/>
  <c r="FL22" i="5"/>
  <c r="FG60" i="5"/>
  <c r="V13" i="5"/>
  <c r="DB17" i="5"/>
  <c r="BR26" i="5"/>
  <c r="AM33" i="5"/>
  <c r="AV8" i="5"/>
  <c r="BJ9" i="5"/>
  <c r="FM35" i="5"/>
  <c r="Y21" i="5"/>
  <c r="H33" i="5"/>
  <c r="CV63" i="5"/>
  <c r="AQ3" i="5"/>
  <c r="AH25" i="5"/>
  <c r="EY6" i="5"/>
  <c r="FN33" i="5"/>
  <c r="DH14" i="5"/>
  <c r="BS12" i="5"/>
  <c r="EH40" i="5"/>
  <c r="BN45" i="5"/>
  <c r="DS16" i="5"/>
  <c r="EN44" i="5"/>
  <c r="S25" i="5"/>
  <c r="FT30" i="5"/>
  <c r="DZ47" i="5"/>
  <c r="AB46" i="5"/>
  <c r="EU30" i="5"/>
  <c r="AY58" i="5"/>
  <c r="EF31" i="5"/>
  <c r="CF47" i="5"/>
  <c r="CG55" i="5"/>
  <c r="AH15" i="5"/>
  <c r="AO63" i="5"/>
  <c r="I17" i="5"/>
  <c r="ER52" i="5"/>
  <c r="EZ19" i="5"/>
  <c r="AB42" i="5"/>
  <c r="AN3" i="5"/>
  <c r="DO9" i="5"/>
  <c r="CX4" i="5"/>
  <c r="EH15" i="5"/>
  <c r="AK58" i="5"/>
  <c r="AG43" i="5"/>
  <c r="CK62" i="5"/>
  <c r="FO6" i="5"/>
  <c r="BA24" i="5"/>
  <c r="AV7" i="5"/>
  <c r="AT50" i="5"/>
  <c r="CJ26" i="5"/>
  <c r="DB63" i="5"/>
  <c r="CO58" i="5"/>
  <c r="DR49" i="5"/>
  <c r="Y10" i="5"/>
  <c r="EG25" i="5"/>
  <c r="EZ40" i="5"/>
  <c r="BQ47" i="5"/>
  <c r="AI8" i="5"/>
  <c r="DA59" i="5"/>
  <c r="AN15" i="5"/>
  <c r="BA4" i="5"/>
  <c r="CU47" i="5"/>
  <c r="AI30" i="5"/>
  <c r="EI19" i="5"/>
  <c r="BX43" i="5"/>
  <c r="EL8" i="5"/>
  <c r="DL38" i="5"/>
  <c r="BD21" i="5"/>
  <c r="AL27" i="5"/>
  <c r="BA64" i="5"/>
  <c r="DE36" i="5"/>
  <c r="DH28" i="5"/>
  <c r="DC37" i="5"/>
  <c r="FM39" i="5"/>
  <c r="DY42" i="5"/>
  <c r="DD6" i="5"/>
  <c r="FF42" i="5"/>
  <c r="Q21" i="5"/>
  <c r="DJ52" i="5"/>
  <c r="AB9" i="5"/>
  <c r="Z13" i="5"/>
  <c r="CT7" i="5"/>
  <c r="BY63" i="5"/>
  <c r="G44" i="5"/>
  <c r="EQ55" i="5"/>
  <c r="EZ29" i="5"/>
  <c r="R16" i="5"/>
  <c r="BI25" i="5"/>
  <c r="DL3" i="5"/>
  <c r="BQ6" i="5"/>
  <c r="Z6" i="5"/>
  <c r="CW30" i="5"/>
  <c r="BL56" i="5"/>
  <c r="EV59" i="5"/>
  <c r="CC62" i="5"/>
  <c r="EH9" i="5"/>
  <c r="EN17" i="5"/>
  <c r="DO35" i="5"/>
  <c r="DB4" i="5"/>
  <c r="CL17" i="5"/>
  <c r="CT14" i="5"/>
  <c r="DH47" i="5"/>
  <c r="DP32" i="5"/>
  <c r="FD38" i="5"/>
  <c r="U57" i="5"/>
  <c r="CY18" i="5"/>
  <c r="BC20" i="5"/>
  <c r="EF57" i="5"/>
  <c r="S11" i="5"/>
  <c r="AU47" i="5"/>
  <c r="DE6" i="5"/>
  <c r="DY44" i="5"/>
  <c r="O23" i="5"/>
  <c r="BP8" i="5"/>
  <c r="DJ25" i="5"/>
  <c r="DD7" i="5"/>
  <c r="T34" i="5"/>
  <c r="BT23" i="5"/>
  <c r="Q27" i="5"/>
  <c r="BA3" i="5"/>
  <c r="DJ7" i="5"/>
  <c r="AL18" i="5"/>
  <c r="Q39" i="5"/>
  <c r="BQ22" i="5"/>
  <c r="CL59" i="5"/>
  <c r="C48" i="5"/>
  <c r="BZ64" i="5"/>
  <c r="Z3" i="5"/>
  <c r="EE58" i="5"/>
  <c r="BO18" i="5"/>
  <c r="BE37" i="5"/>
  <c r="DV53" i="5"/>
  <c r="ED44" i="5"/>
  <c r="FQ32" i="5"/>
  <c r="AJ51" i="5"/>
  <c r="BL39" i="5"/>
  <c r="FF29" i="5"/>
  <c r="FH53" i="5"/>
  <c r="EO14" i="5"/>
  <c r="CX16" i="5"/>
  <c r="AW60" i="5"/>
  <c r="FM27" i="5"/>
  <c r="FG21" i="5"/>
  <c r="AI15" i="5"/>
  <c r="U36" i="5"/>
  <c r="C40" i="5"/>
  <c r="BR27" i="5"/>
  <c r="L63" i="5"/>
  <c r="FF15" i="5"/>
  <c r="BY35" i="5"/>
  <c r="CF61" i="5"/>
  <c r="AY37" i="5"/>
  <c r="AF27" i="5"/>
  <c r="AR56" i="5"/>
  <c r="EH13" i="5"/>
  <c r="CW8" i="5"/>
  <c r="W27" i="5"/>
  <c r="DZ26" i="5"/>
  <c r="EN54" i="5"/>
  <c r="BO44" i="5"/>
  <c r="BW40" i="5"/>
  <c r="EV32" i="5"/>
  <c r="FI63" i="5"/>
  <c r="DV19" i="5"/>
  <c r="EX20" i="5"/>
  <c r="DX23" i="5"/>
  <c r="FR59" i="5"/>
  <c r="FT11" i="5"/>
  <c r="AC57" i="5"/>
  <c r="BB61" i="5"/>
  <c r="DH11" i="5"/>
  <c r="FO29" i="5"/>
  <c r="DW4" i="5"/>
  <c r="DI16" i="5"/>
  <c r="DD28" i="5"/>
  <c r="J23" i="5"/>
  <c r="FD53" i="5"/>
  <c r="DS51" i="5"/>
  <c r="AC6" i="5"/>
  <c r="FN22" i="5"/>
  <c r="DV27" i="5"/>
  <c r="BF17" i="5"/>
  <c r="CE35" i="5"/>
  <c r="DU41" i="5"/>
  <c r="CX12" i="5"/>
  <c r="BZ4" i="5"/>
  <c r="DY7" i="5"/>
  <c r="AI32" i="5"/>
  <c r="CW45" i="5"/>
  <c r="EC44" i="5"/>
  <c r="EM19" i="5"/>
  <c r="CO52" i="5"/>
  <c r="EQ58" i="5"/>
  <c r="BE35" i="5"/>
  <c r="AA38" i="5"/>
  <c r="AD12" i="5"/>
  <c r="DT55" i="5"/>
  <c r="BK52" i="5"/>
  <c r="CP24" i="5"/>
  <c r="BW34" i="5"/>
  <c r="AZ19" i="5"/>
  <c r="CB35" i="5"/>
  <c r="FC53" i="5"/>
  <c r="DT43" i="5"/>
  <c r="AI5" i="5"/>
  <c r="AE62" i="5"/>
  <c r="DK42" i="5"/>
  <c r="AC10" i="5"/>
  <c r="EB50" i="5"/>
  <c r="BC46" i="5"/>
  <c r="AU57" i="5"/>
  <c r="AK44" i="5"/>
  <c r="S58" i="5"/>
  <c r="BN30" i="5"/>
  <c r="AG9" i="5"/>
  <c r="BS48" i="5"/>
  <c r="EL46" i="5"/>
  <c r="BT61" i="5"/>
  <c r="BV9" i="5"/>
  <c r="EA24" i="5"/>
  <c r="J6" i="5"/>
  <c r="DX16" i="5"/>
  <c r="BZ3" i="5"/>
  <c r="Z18" i="5"/>
  <c r="EL39" i="5"/>
  <c r="CF45" i="5"/>
  <c r="CG4" i="5"/>
  <c r="EB3" i="5"/>
  <c r="Y51" i="5"/>
  <c r="EY52" i="5"/>
  <c r="FG23" i="5"/>
  <c r="N15" i="5"/>
  <c r="EM41" i="5"/>
  <c r="O49" i="5"/>
  <c r="CT34" i="5"/>
  <c r="BY32" i="5"/>
  <c r="CG53" i="5"/>
  <c r="CJ55" i="5"/>
  <c r="CH41" i="5"/>
  <c r="DH39" i="5"/>
  <c r="DP24" i="5"/>
  <c r="AW24" i="5"/>
  <c r="J39" i="5"/>
  <c r="BU18" i="5"/>
  <c r="W28" i="5"/>
  <c r="BL29" i="5"/>
  <c r="DU19" i="5"/>
  <c r="FC21" i="5"/>
  <c r="DE30" i="5"/>
  <c r="CB11" i="5"/>
  <c r="DC16" i="5"/>
  <c r="BN4" i="5"/>
  <c r="AM41" i="5"/>
  <c r="EM38" i="5"/>
  <c r="AF50" i="5"/>
  <c r="CH46" i="5"/>
  <c r="BO53" i="5"/>
  <c r="CU18" i="5"/>
  <c r="AM3" i="5"/>
  <c r="BV34" i="5"/>
  <c r="DI33" i="5"/>
  <c r="EA57" i="5"/>
  <c r="CI30" i="5"/>
  <c r="BQ26" i="5"/>
  <c r="BJ25" i="5"/>
  <c r="EJ18" i="5"/>
  <c r="DA20" i="5"/>
  <c r="CT3" i="5"/>
  <c r="BH13" i="5"/>
  <c r="AQ44" i="5"/>
  <c r="C61" i="5"/>
  <c r="EA29" i="5"/>
  <c r="AV6" i="5"/>
  <c r="EU41" i="5"/>
  <c r="CU31" i="5"/>
  <c r="CK40" i="5"/>
  <c r="BO32" i="5"/>
  <c r="AM6" i="5"/>
  <c r="EQ64" i="5"/>
  <c r="BN21" i="5"/>
  <c r="BV63" i="5"/>
  <c r="BQ18" i="5"/>
  <c r="CC21" i="5"/>
  <c r="EP8" i="5"/>
  <c r="FB29" i="5"/>
  <c r="BP12" i="5"/>
  <c r="AK21" i="5"/>
  <c r="FR4" i="5"/>
  <c r="K22" i="5"/>
  <c r="E6" i="5"/>
  <c r="FQ61" i="5"/>
  <c r="Q32" i="5"/>
  <c r="CV55" i="5"/>
  <c r="ET40" i="5"/>
  <c r="BA9" i="5"/>
  <c r="EF62" i="5"/>
  <c r="AS31" i="5"/>
  <c r="DI62" i="5"/>
  <c r="CF6" i="5"/>
  <c r="DV15" i="5"/>
  <c r="G49" i="5"/>
  <c r="EG9" i="5"/>
  <c r="AN50" i="5"/>
  <c r="I10" i="5"/>
  <c r="BA49" i="5"/>
  <c r="EA18" i="5"/>
  <c r="FS31" i="5"/>
  <c r="BP4" i="5"/>
  <c r="CH50" i="5"/>
  <c r="N8" i="5"/>
  <c r="AW8" i="5"/>
  <c r="AT45" i="5"/>
  <c r="EO51" i="5"/>
  <c r="EJ3" i="5"/>
  <c r="CG32" i="5"/>
  <c r="BH34" i="5"/>
  <c r="ES39" i="5"/>
  <c r="FJ35" i="5"/>
  <c r="BZ16" i="5"/>
  <c r="ER47" i="5"/>
  <c r="EV15" i="5"/>
  <c r="BN7" i="5"/>
  <c r="BT17" i="5"/>
  <c r="CS14" i="5"/>
  <c r="DM33" i="5"/>
  <c r="BZ12" i="5"/>
  <c r="CS5" i="5"/>
  <c r="BB59" i="5"/>
  <c r="DC57" i="5"/>
  <c r="FG9" i="5"/>
  <c r="AE17" i="5"/>
  <c r="AM7" i="5"/>
  <c r="N20" i="5"/>
  <c r="J24" i="5"/>
  <c r="AJ31" i="5"/>
  <c r="V63" i="5"/>
  <c r="CN6" i="5"/>
  <c r="BZ53" i="5"/>
  <c r="X32" i="5"/>
  <c r="FQ35" i="5"/>
  <c r="AR6" i="5"/>
  <c r="FJ25" i="5"/>
  <c r="DL34" i="5"/>
  <c r="F23" i="5"/>
  <c r="BY5" i="5"/>
  <c r="CP57" i="5"/>
  <c r="DL16" i="5"/>
  <c r="FK38" i="5"/>
  <c r="DA14" i="5"/>
  <c r="DD60" i="5"/>
  <c r="CC43" i="5"/>
  <c r="EE3" i="5"/>
  <c r="CU3" i="5"/>
  <c r="DR43" i="5"/>
  <c r="BX25" i="5"/>
  <c r="EZ8" i="5"/>
  <c r="X45" i="5"/>
  <c r="BZ15" i="5"/>
  <c r="CA48" i="5"/>
  <c r="CH6" i="5"/>
  <c r="AC51" i="5"/>
  <c r="L19" i="5"/>
  <c r="EB17" i="5"/>
  <c r="EX35" i="5"/>
  <c r="ES8" i="5"/>
  <c r="BX27" i="5"/>
  <c r="ES55" i="5"/>
  <c r="BE19" i="5"/>
  <c r="DH42" i="5"/>
  <c r="EN19" i="5"/>
  <c r="EL40" i="5"/>
  <c r="BL37" i="5"/>
  <c r="EY56" i="5"/>
  <c r="J51" i="5"/>
  <c r="EY16" i="5"/>
  <c r="AF47" i="5"/>
  <c r="FI47" i="5"/>
  <c r="CA19" i="5"/>
  <c r="BY56" i="5"/>
  <c r="BX18" i="5"/>
  <c r="DL25" i="5"/>
  <c r="DC18" i="5"/>
  <c r="ET22" i="5"/>
  <c r="DU34" i="5"/>
  <c r="BY6" i="5"/>
  <c r="FT14" i="5"/>
  <c r="N23" i="5"/>
  <c r="FK34" i="5"/>
  <c r="AS64" i="5"/>
  <c r="CV59" i="5"/>
  <c r="CN61" i="5"/>
  <c r="FN8" i="5"/>
  <c r="DQ57" i="5"/>
  <c r="O43" i="5"/>
  <c r="AX53" i="5"/>
  <c r="BK61" i="5"/>
  <c r="DR38" i="5"/>
  <c r="BJ38" i="5"/>
  <c r="DN25" i="5"/>
  <c r="BU10" i="5"/>
  <c r="EV17" i="5"/>
  <c r="CM3" i="5"/>
  <c r="CQ44" i="5"/>
  <c r="BA51" i="5"/>
  <c r="BD35" i="5"/>
  <c r="CF26" i="5"/>
  <c r="BQ20" i="5"/>
  <c r="CN52" i="5"/>
  <c r="ES54" i="5"/>
  <c r="BU59" i="5"/>
  <c r="AW36" i="5"/>
  <c r="G13" i="5"/>
  <c r="FL35" i="5"/>
  <c r="BA13" i="5"/>
  <c r="BS58" i="5"/>
  <c r="O33" i="5"/>
  <c r="EI11" i="5"/>
  <c r="BD15" i="5"/>
  <c r="DK21" i="5"/>
  <c r="ET53" i="5"/>
  <c r="FK31" i="5"/>
  <c r="ES15" i="5"/>
  <c r="ED15" i="5"/>
  <c r="ES16" i="5"/>
  <c r="N39" i="5"/>
  <c r="E24" i="5"/>
  <c r="BC36" i="5"/>
  <c r="DA16" i="5"/>
  <c r="EX27" i="5"/>
  <c r="CM50" i="5"/>
  <c r="CV7" i="5"/>
  <c r="DK29" i="5"/>
  <c r="DB23" i="5"/>
  <c r="CV58" i="5"/>
  <c r="DG23" i="5"/>
  <c r="CR44" i="5"/>
  <c r="BM50" i="5"/>
  <c r="EO61" i="5"/>
  <c r="CQ56" i="5"/>
  <c r="DR61" i="5"/>
  <c r="CW11" i="5"/>
  <c r="EE44" i="5"/>
  <c r="BR53" i="5"/>
  <c r="S38" i="5"/>
  <c r="CK24" i="5"/>
  <c r="AD30" i="5"/>
  <c r="AJ19" i="5"/>
  <c r="AJ49" i="5"/>
  <c r="AI4" i="5"/>
  <c r="FR54" i="5"/>
  <c r="BY42" i="5"/>
  <c r="EZ24" i="5"/>
  <c r="BB35" i="5"/>
  <c r="CC6" i="5"/>
  <c r="I5" i="5"/>
  <c r="FS49" i="5"/>
  <c r="CS9" i="5"/>
  <c r="FC28" i="5"/>
  <c r="EQ43" i="5"/>
  <c r="EL53" i="5"/>
  <c r="CY28" i="5"/>
  <c r="BW56" i="5"/>
  <c r="DT48" i="5"/>
  <c r="BB44" i="5"/>
  <c r="DZ57" i="5"/>
  <c r="CA36" i="5"/>
  <c r="CT53" i="5"/>
  <c r="DY26" i="5"/>
  <c r="EV21" i="5"/>
  <c r="FQ42" i="5"/>
  <c r="L37" i="5"/>
  <c r="CD26" i="5"/>
  <c r="BX59" i="5"/>
  <c r="EL42" i="5"/>
  <c r="J18" i="5"/>
  <c r="BU19" i="5"/>
  <c r="CS52" i="5"/>
  <c r="BC32" i="5"/>
  <c r="FO37" i="5"/>
  <c r="EX10" i="5"/>
  <c r="AT53" i="5"/>
  <c r="AC18" i="5"/>
  <c r="AP25" i="5"/>
  <c r="FS14" i="5"/>
  <c r="BC50" i="5"/>
  <c r="CL32" i="5"/>
  <c r="BS14" i="5"/>
  <c r="CV44" i="5"/>
  <c r="AW39" i="5"/>
  <c r="AY24" i="5"/>
  <c r="DR26" i="5"/>
  <c r="ES6" i="5"/>
  <c r="DS43" i="5"/>
  <c r="X15" i="5"/>
  <c r="FI45" i="5"/>
  <c r="FJ49" i="5"/>
  <c r="BR59" i="5"/>
  <c r="CO28" i="5"/>
  <c r="CB3" i="5"/>
  <c r="AT47" i="5"/>
  <c r="V5" i="5"/>
  <c r="Z57" i="5"/>
  <c r="AO16" i="5"/>
  <c r="FS29" i="5"/>
  <c r="BX6" i="5"/>
  <c r="DO34" i="5"/>
  <c r="CJ50" i="5"/>
  <c r="FG6" i="5"/>
  <c r="DN58" i="5"/>
  <c r="R37" i="5"/>
  <c r="BF13" i="5"/>
  <c r="C44" i="5"/>
  <c r="B9" i="5"/>
  <c r="AZ36" i="5"/>
  <c r="CN62" i="5"/>
  <c r="DP43" i="5"/>
  <c r="FL21" i="5"/>
  <c r="BS45" i="5"/>
  <c r="Z23" i="5"/>
  <c r="AL21" i="5"/>
  <c r="CL56" i="5"/>
  <c r="O60" i="5"/>
  <c r="BT22" i="5"/>
  <c r="FG18" i="5"/>
  <c r="AU61" i="5"/>
  <c r="AH41" i="5"/>
  <c r="R34" i="5"/>
  <c r="AM60" i="5"/>
  <c r="FH6" i="5"/>
  <c r="CU19" i="5"/>
  <c r="CZ12" i="5"/>
  <c r="CR27" i="5"/>
  <c r="BS5" i="5"/>
  <c r="O14" i="5"/>
  <c r="EY60" i="5"/>
  <c r="FG64" i="5"/>
  <c r="L62" i="5"/>
  <c r="EG38" i="5"/>
  <c r="Z55" i="5"/>
  <c r="DQ46" i="5"/>
  <c r="FA59" i="5"/>
  <c r="AK52" i="5"/>
  <c r="CZ10" i="5"/>
  <c r="CN41" i="5"/>
  <c r="FG52" i="5"/>
  <c r="FR22" i="5"/>
  <c r="DM3" i="5"/>
  <c r="BW9" i="5"/>
  <c r="DP60" i="5"/>
  <c r="S50" i="5"/>
  <c r="DE49" i="5"/>
  <c r="BI53" i="5"/>
  <c r="CX15" i="5"/>
  <c r="DF7" i="5"/>
  <c r="CX34" i="5"/>
  <c r="DW23" i="5"/>
  <c r="FT47" i="5"/>
  <c r="FD48" i="5"/>
  <c r="AU45" i="5"/>
  <c r="DO33" i="5"/>
  <c r="BV38" i="5"/>
  <c r="K36" i="5"/>
  <c r="ER5" i="5"/>
  <c r="DT38" i="5"/>
  <c r="Q4" i="5"/>
  <c r="FG25" i="5"/>
  <c r="EF42" i="5"/>
  <c r="DC20" i="5"/>
  <c r="W32" i="5"/>
  <c r="CA44" i="5"/>
  <c r="EZ5" i="5"/>
  <c r="AB10" i="5"/>
  <c r="EH19" i="5"/>
  <c r="AP11" i="5"/>
  <c r="DR24" i="5"/>
  <c r="AN32" i="5"/>
  <c r="FA14" i="5"/>
  <c r="FR55" i="5"/>
  <c r="FK25" i="5"/>
  <c r="DJ40" i="5"/>
  <c r="EU21" i="5"/>
  <c r="DM52" i="5"/>
  <c r="EN40" i="5"/>
  <c r="S62" i="5"/>
  <c r="CA56" i="5"/>
  <c r="BM6" i="5"/>
  <c r="BR35" i="5"/>
  <c r="CC30" i="5"/>
  <c r="CV43" i="5"/>
  <c r="EF36" i="5"/>
  <c r="AJ22" i="5"/>
  <c r="CT29" i="5"/>
  <c r="BQ30" i="5"/>
  <c r="DN6" i="5"/>
  <c r="AY36" i="5"/>
  <c r="FL25" i="5"/>
  <c r="CA9" i="5"/>
  <c r="CK51" i="5"/>
  <c r="FG41" i="5"/>
  <c r="EQ24" i="5"/>
  <c r="CV24" i="5"/>
  <c r="FI52" i="5"/>
  <c r="T30" i="5"/>
  <c r="FD21" i="5"/>
  <c r="B25" i="5"/>
  <c r="CE11" i="5"/>
  <c r="ER4" i="5"/>
  <c r="FT33" i="5"/>
  <c r="DW22" i="5"/>
  <c r="CC34" i="5"/>
  <c r="AA34" i="5"/>
  <c r="DK6" i="5"/>
  <c r="BB31" i="5"/>
  <c r="EC4" i="5"/>
  <c r="DW51" i="5"/>
  <c r="U31" i="5"/>
  <c r="L47" i="5"/>
  <c r="D35" i="5"/>
  <c r="AN27" i="5"/>
  <c r="AC17" i="5"/>
  <c r="DG8" i="5"/>
  <c r="CY26" i="5"/>
  <c r="CK19" i="5"/>
  <c r="BC61" i="5"/>
  <c r="AR51" i="5"/>
  <c r="D53" i="5"/>
  <c r="CQ21" i="5"/>
  <c r="EQ32" i="5"/>
  <c r="DR11" i="5"/>
  <c r="BC14" i="5"/>
  <c r="V6" i="5"/>
  <c r="R3" i="5"/>
  <c r="BI30" i="5"/>
  <c r="R55" i="5"/>
  <c r="CL26" i="5"/>
  <c r="BW33" i="5"/>
  <c r="CU13" i="5"/>
  <c r="EE20" i="5"/>
  <c r="M24" i="5"/>
  <c r="J38" i="5"/>
  <c r="DA50" i="5"/>
  <c r="U49" i="5"/>
  <c r="FE31" i="5"/>
  <c r="BR45" i="5"/>
  <c r="CA10" i="5"/>
  <c r="CE58" i="5"/>
  <c r="Y63" i="5"/>
  <c r="CW16" i="5"/>
  <c r="CG41" i="5"/>
  <c r="EH39" i="5"/>
  <c r="FR37" i="5"/>
  <c r="D14" i="5"/>
  <c r="DE54" i="5"/>
  <c r="AT22" i="5"/>
  <c r="AV62" i="5"/>
  <c r="DP26" i="5"/>
  <c r="AC15" i="5"/>
  <c r="DJ19" i="5"/>
  <c r="DH34" i="5"/>
  <c r="CP27" i="5"/>
  <c r="CW31" i="5"/>
  <c r="J62" i="5"/>
  <c r="AY3" i="5"/>
  <c r="CX26" i="5"/>
  <c r="ER6" i="5"/>
  <c r="FA29" i="5"/>
  <c r="V35" i="5"/>
  <c r="DI38" i="5"/>
  <c r="BT44" i="5"/>
  <c r="BG29" i="5"/>
  <c r="EC48" i="5"/>
  <c r="BF41" i="5"/>
  <c r="CS6" i="5"/>
  <c r="AR64" i="5"/>
  <c r="CB4" i="5"/>
  <c r="BQ56" i="5"/>
  <c r="ES45" i="5"/>
  <c r="BO39" i="5"/>
  <c r="DU47" i="5"/>
  <c r="ED57" i="5"/>
  <c r="AF6" i="5"/>
  <c r="FO46" i="5"/>
  <c r="DA9" i="5"/>
  <c r="EH6" i="5"/>
  <c r="CB22" i="5"/>
  <c r="BE54" i="5"/>
  <c r="CQ6" i="5"/>
  <c r="P16" i="5"/>
  <c r="CJ19" i="5"/>
  <c r="EX55" i="5"/>
  <c r="AR15" i="5"/>
  <c r="AS53" i="5"/>
  <c r="CE55" i="5"/>
  <c r="CH53" i="5"/>
  <c r="FI20" i="5"/>
  <c r="BV17" i="5"/>
  <c r="AY33" i="5"/>
  <c r="AG21" i="5"/>
  <c r="W22" i="5"/>
  <c r="EP55" i="5"/>
  <c r="CB60" i="5"/>
  <c r="EV35" i="5"/>
  <c r="DH64" i="5"/>
  <c r="AB51" i="5"/>
  <c r="BQ5" i="5"/>
  <c r="U59" i="5"/>
  <c r="BF26" i="5"/>
  <c r="FR25" i="5"/>
  <c r="DN53" i="5"/>
  <c r="BE6" i="5"/>
  <c r="CR40" i="5"/>
  <c r="DB52" i="5"/>
  <c r="DA22" i="5"/>
  <c r="AV57" i="5"/>
  <c r="L50" i="5"/>
  <c r="AD60" i="5"/>
  <c r="V61" i="5"/>
  <c r="FK19" i="5"/>
  <c r="FE36" i="5"/>
  <c r="EA47" i="5"/>
  <c r="EP43" i="5"/>
  <c r="AI28" i="5"/>
  <c r="FC48" i="5"/>
  <c r="EH4" i="5"/>
  <c r="BM49" i="5"/>
  <c r="CW47" i="5"/>
  <c r="AF44" i="5"/>
  <c r="CR5" i="5"/>
  <c r="CC51" i="5"/>
  <c r="DP10" i="5"/>
  <c r="EI9" i="5"/>
  <c r="AJ39" i="5"/>
  <c r="BV27" i="5"/>
  <c r="J36" i="5"/>
  <c r="DB41" i="5"/>
  <c r="U27" i="5"/>
  <c r="AS52" i="5"/>
  <c r="X38" i="5"/>
  <c r="FT42" i="5"/>
  <c r="EP13" i="5"/>
  <c r="AE37" i="5"/>
  <c r="CX3" i="5"/>
  <c r="AN51" i="5"/>
  <c r="CD47" i="5"/>
  <c r="EY12" i="5"/>
  <c r="EH57" i="5"/>
  <c r="AL14" i="5"/>
  <c r="AK47" i="5"/>
  <c r="FK43" i="5"/>
  <c r="BQ24" i="5"/>
  <c r="BY44" i="5"/>
  <c r="AQ13" i="5"/>
  <c r="AB8" i="5"/>
  <c r="FS37" i="5"/>
  <c r="DO61" i="5"/>
  <c r="AO27" i="5"/>
  <c r="FM11" i="5"/>
  <c r="CH26" i="5"/>
  <c r="EP48" i="5"/>
  <c r="EH50" i="5"/>
  <c r="BY23" i="5"/>
  <c r="O47" i="5"/>
  <c r="CF42" i="5"/>
  <c r="CR15" i="5"/>
  <c r="U51" i="5"/>
  <c r="FN14" i="5"/>
  <c r="AO52" i="5"/>
  <c r="DB15" i="5"/>
  <c r="CX57" i="5"/>
  <c r="DQ52" i="5"/>
  <c r="CH57" i="5"/>
  <c r="EC47" i="5"/>
  <c r="ET39" i="5"/>
  <c r="CK27" i="5"/>
  <c r="CE22" i="5"/>
  <c r="BF50" i="5"/>
  <c r="AP57" i="5"/>
  <c r="CY39" i="5"/>
  <c r="DK18" i="5"/>
  <c r="AJ27" i="5"/>
  <c r="T25" i="5"/>
  <c r="CW4" i="5"/>
  <c r="BO6" i="5"/>
  <c r="CC60" i="5"/>
  <c r="FD26" i="5"/>
  <c r="EP61" i="5"/>
  <c r="DY29" i="5"/>
  <c r="CA42" i="5"/>
  <c r="FM15" i="5"/>
  <c r="CV19" i="5"/>
  <c r="DA15" i="5"/>
  <c r="DX60" i="5"/>
  <c r="FI46" i="5"/>
  <c r="BM40" i="5"/>
  <c r="DP8" i="5"/>
  <c r="DC45" i="5"/>
  <c r="J41" i="5"/>
  <c r="EF50" i="5"/>
  <c r="Q30" i="5"/>
  <c r="CO47" i="5"/>
  <c r="DB21" i="5"/>
  <c r="Y9" i="5"/>
  <c r="BD8" i="5"/>
  <c r="CL24" i="5"/>
  <c r="DO47" i="5"/>
  <c r="O62" i="5"/>
  <c r="CO22" i="5"/>
  <c r="CZ35" i="5"/>
  <c r="ER32" i="5"/>
  <c r="AM29" i="5"/>
  <c r="EH5" i="5"/>
  <c r="AI12" i="5"/>
  <c r="FQ10" i="5"/>
  <c r="R21" i="5"/>
  <c r="EA27" i="5"/>
  <c r="DW8" i="5"/>
  <c r="CN25" i="5"/>
  <c r="U11" i="5"/>
  <c r="AB60" i="5"/>
  <c r="CQ60" i="5"/>
  <c r="AO60" i="5"/>
  <c r="AW5" i="5"/>
  <c r="C20" i="5"/>
  <c r="K11" i="5"/>
  <c r="DV10" i="5"/>
  <c r="AF39" i="5"/>
  <c r="EF6" i="5"/>
  <c r="EC19" i="5"/>
  <c r="BB17" i="5"/>
  <c r="EX30" i="5"/>
  <c r="AJ25" i="5"/>
  <c r="BX64" i="5"/>
  <c r="BI47" i="5"/>
  <c r="FM45" i="5"/>
  <c r="X35" i="5"/>
  <c r="EG5" i="5"/>
  <c r="DM37" i="5"/>
  <c r="AP31" i="5"/>
  <c r="BK40" i="5"/>
  <c r="EI7" i="5"/>
  <c r="BU51" i="5"/>
  <c r="CW18" i="5"/>
  <c r="EX41" i="5"/>
  <c r="Q13" i="5"/>
  <c r="T24" i="5"/>
  <c r="EB38" i="5"/>
  <c r="FO50" i="5"/>
  <c r="EG56" i="5"/>
  <c r="EO10" i="5"/>
  <c r="AI60" i="5"/>
  <c r="EI10" i="5"/>
  <c r="FO49" i="5"/>
  <c r="W35" i="5"/>
  <c r="EI30" i="5"/>
  <c r="AZ52" i="5"/>
  <c r="BJ34" i="5"/>
  <c r="X34" i="5"/>
  <c r="Z14" i="5"/>
  <c r="DV8" i="5"/>
  <c r="AA54" i="5"/>
  <c r="FT50" i="5"/>
  <c r="CZ62" i="5"/>
  <c r="BP7" i="5"/>
  <c r="DI22" i="5"/>
  <c r="AD23" i="5"/>
  <c r="CA49" i="5"/>
  <c r="AY50" i="5"/>
  <c r="BP47" i="5"/>
  <c r="V36" i="5"/>
  <c r="AM23" i="5"/>
  <c r="BD33" i="5"/>
  <c r="EE34" i="5"/>
  <c r="BA11" i="5"/>
  <c r="DV60" i="5"/>
  <c r="FF9" i="5"/>
  <c r="BP64" i="5"/>
  <c r="AS59" i="5"/>
  <c r="DH41" i="5"/>
  <c r="FG56" i="5"/>
  <c r="CI20" i="5"/>
  <c r="FE10" i="5"/>
  <c r="CU39" i="5"/>
  <c r="EQ38" i="5"/>
  <c r="BA39" i="5"/>
  <c r="CE32" i="5"/>
  <c r="CT57" i="5"/>
  <c r="EC15" i="5"/>
  <c r="FA58" i="5"/>
  <c r="EH17" i="5"/>
  <c r="ED47" i="5"/>
  <c r="DZ50" i="5"/>
  <c r="C60" i="5"/>
  <c r="CY11" i="5"/>
  <c r="CQ24" i="5"/>
  <c r="DI18" i="5"/>
  <c r="AE31" i="5"/>
  <c r="FB37" i="5"/>
  <c r="DU33" i="5"/>
  <c r="Y18" i="5"/>
  <c r="AV32" i="5"/>
  <c r="T32" i="5"/>
  <c r="DL8" i="5"/>
  <c r="BV22" i="5"/>
  <c r="BW35" i="5"/>
  <c r="BD25" i="5"/>
  <c r="U41" i="5"/>
  <c r="L64" i="5"/>
  <c r="CE39" i="5"/>
  <c r="BX51" i="5"/>
  <c r="Q42" i="5"/>
  <c r="FL50" i="5"/>
  <c r="M37" i="5"/>
  <c r="F17" i="5"/>
  <c r="DB31" i="5"/>
  <c r="CV61" i="5"/>
  <c r="O21" i="5"/>
  <c r="AA59" i="5"/>
  <c r="FI16" i="5"/>
  <c r="FQ30" i="5"/>
  <c r="AC20" i="5"/>
  <c r="DR9" i="5"/>
  <c r="BF49" i="5"/>
  <c r="FP34" i="5"/>
  <c r="M38" i="5"/>
  <c r="BE51" i="5"/>
  <c r="C10" i="5"/>
  <c r="FK16" i="5"/>
  <c r="CF8" i="5"/>
  <c r="FL19" i="5"/>
  <c r="CB23" i="5"/>
  <c r="EJ36" i="5"/>
  <c r="FK47" i="5"/>
  <c r="Z50" i="5"/>
  <c r="FG45" i="5"/>
  <c r="CV53" i="5"/>
  <c r="BC56" i="5"/>
  <c r="X51" i="5"/>
  <c r="BC54" i="5"/>
  <c r="V28" i="5"/>
  <c r="M18" i="5"/>
  <c r="AK46" i="5"/>
  <c r="D27" i="5"/>
  <c r="AQ21" i="5"/>
  <c r="Z17" i="5"/>
  <c r="BS55" i="5"/>
  <c r="EF14" i="5"/>
  <c r="DY48" i="5"/>
  <c r="ET25" i="5"/>
  <c r="R24" i="5"/>
  <c r="EM16" i="5"/>
  <c r="EN58" i="5"/>
  <c r="FI15" i="5"/>
  <c r="Z15" i="5"/>
  <c r="DQ12" i="5"/>
  <c r="CP10" i="5"/>
  <c r="V49" i="5"/>
  <c r="BO31" i="5"/>
  <c r="BD18" i="5"/>
  <c r="ER12" i="5"/>
  <c r="Z60" i="5"/>
  <c r="BL16" i="5"/>
  <c r="AX29" i="5"/>
  <c r="DQ63" i="5"/>
  <c r="BD62" i="5"/>
  <c r="BJ39" i="5"/>
  <c r="FN62" i="5"/>
  <c r="CL42" i="5"/>
  <c r="U46" i="5"/>
  <c r="O42" i="5"/>
  <c r="FM28" i="5"/>
  <c r="ES34" i="5"/>
  <c r="DM6" i="5"/>
  <c r="AW35" i="5"/>
  <c r="CV41" i="5"/>
  <c r="EP46" i="5"/>
  <c r="BI24" i="5"/>
  <c r="DM39" i="5"/>
  <c r="FL62" i="5"/>
  <c r="AE40" i="5"/>
  <c r="CR17" i="5"/>
  <c r="AI33" i="5"/>
  <c r="EG35" i="5"/>
  <c r="BK44" i="5"/>
  <c r="BM34" i="5"/>
  <c r="T41" i="5"/>
  <c r="DC5" i="5"/>
  <c r="CT63" i="5"/>
  <c r="DK20" i="5"/>
  <c r="BH16" i="5"/>
  <c r="DQ13" i="5"/>
  <c r="FE37" i="5"/>
  <c r="FG59" i="5"/>
  <c r="R58" i="5"/>
  <c r="AA27" i="5"/>
  <c r="DF38" i="5"/>
  <c r="EF61" i="5"/>
  <c r="G36" i="5"/>
  <c r="EM61" i="5"/>
  <c r="BL3" i="5"/>
  <c r="CF28" i="5"/>
  <c r="FJ47" i="5"/>
  <c r="AO61" i="5"/>
  <c r="FP32" i="5"/>
  <c r="BA45" i="5"/>
  <c r="BI59" i="5"/>
  <c r="AB6" i="5"/>
  <c r="DK10" i="5"/>
  <c r="BH48" i="5"/>
  <c r="BE11" i="5"/>
  <c r="BY8" i="5"/>
  <c r="EK8" i="5"/>
  <c r="BF11" i="5"/>
  <c r="AV30" i="5"/>
  <c r="BC28" i="5"/>
  <c r="DB30" i="5"/>
  <c r="AN13" i="5"/>
  <c r="FO51" i="5"/>
  <c r="CT16" i="5"/>
  <c r="FA32" i="5"/>
  <c r="FA45" i="5"/>
  <c r="ED49" i="5"/>
  <c r="DF5" i="5"/>
  <c r="CV11" i="5"/>
  <c r="BT34" i="5"/>
  <c r="DU52" i="5"/>
  <c r="CG58" i="5"/>
  <c r="FC54" i="5"/>
  <c r="FR57" i="5"/>
  <c r="BO4" i="5"/>
  <c r="AC32" i="5"/>
  <c r="DG60" i="5"/>
  <c r="BD31" i="5"/>
  <c r="DL19" i="5"/>
  <c r="EL52" i="5"/>
  <c r="CB10" i="5"/>
  <c r="EU32" i="5"/>
  <c r="BL34" i="5"/>
  <c r="DP54" i="5"/>
  <c r="DL30" i="5"/>
  <c r="EB25" i="5"/>
  <c r="BK16" i="5"/>
  <c r="FJ22" i="5"/>
  <c r="AK60" i="5"/>
  <c r="Z52" i="5"/>
  <c r="DW15" i="5"/>
  <c r="FF27" i="5"/>
  <c r="BV11" i="5"/>
  <c r="Q31" i="5"/>
  <c r="DP3" i="5"/>
  <c r="EB19" i="5"/>
  <c r="DX27" i="5"/>
  <c r="I18" i="5"/>
  <c r="Y49" i="5"/>
  <c r="BF47" i="5"/>
  <c r="Q26" i="5"/>
  <c r="EJ63" i="5"/>
  <c r="AK49" i="5"/>
  <c r="DZ64" i="5"/>
  <c r="EF10" i="5"/>
  <c r="O3" i="5"/>
  <c r="CG51" i="5"/>
  <c r="ES31" i="5"/>
  <c r="AQ7" i="5"/>
  <c r="BO54" i="5"/>
  <c r="CO7" i="5"/>
  <c r="BG11" i="5"/>
  <c r="DR22" i="5"/>
  <c r="CY34" i="5"/>
  <c r="BM3" i="5"/>
  <c r="DE55" i="5"/>
  <c r="M42" i="5"/>
  <c r="S23" i="5"/>
  <c r="EP47" i="5"/>
  <c r="DA30" i="5"/>
  <c r="FA48" i="5"/>
  <c r="FB38" i="5"/>
  <c r="AI27" i="5"/>
  <c r="AR9" i="5"/>
  <c r="CH36" i="5"/>
  <c r="D36" i="5"/>
  <c r="AE12" i="5"/>
  <c r="BS33" i="5"/>
  <c r="CF50" i="5"/>
  <c r="BW5" i="5"/>
  <c r="EJ16" i="5"/>
  <c r="AA58" i="5"/>
  <c r="DD17" i="5"/>
  <c r="BW38" i="5"/>
  <c r="CY40" i="5"/>
  <c r="Q8" i="5"/>
  <c r="BW49" i="5"/>
  <c r="ED7" i="5"/>
  <c r="FB14" i="5"/>
  <c r="CM23" i="5"/>
  <c r="Z34" i="5"/>
  <c r="CZ25" i="5"/>
  <c r="AO25" i="5"/>
  <c r="DZ10" i="5"/>
  <c r="AX41" i="5"/>
  <c r="Y11" i="5"/>
  <c r="DT42" i="5"/>
  <c r="CB42" i="5"/>
  <c r="DU14" i="5"/>
  <c r="CB56" i="5"/>
  <c r="AW22" i="5"/>
  <c r="AH9" i="5"/>
  <c r="CV22" i="5"/>
  <c r="AT35" i="5"/>
  <c r="EB28" i="5"/>
  <c r="BO46" i="5"/>
  <c r="FG38" i="5"/>
  <c r="DO30" i="5"/>
  <c r="AP59" i="5"/>
  <c r="CX22" i="5"/>
  <c r="EK34" i="5"/>
  <c r="DM32" i="5"/>
  <c r="EJ30" i="5"/>
  <c r="AR37" i="5"/>
  <c r="FL15" i="5"/>
  <c r="BK42" i="5"/>
  <c r="W36" i="5"/>
  <c r="CJ28" i="5"/>
  <c r="Y4" i="5"/>
  <c r="DV7" i="5"/>
  <c r="AK11" i="5"/>
  <c r="EM8" i="5"/>
  <c r="C16" i="5"/>
  <c r="EG7" i="5"/>
  <c r="FB47" i="5"/>
  <c r="EI16" i="5"/>
  <c r="B19" i="5"/>
  <c r="V30" i="5"/>
  <c r="DI19" i="5"/>
  <c r="BM53" i="5"/>
  <c r="BH5" i="5"/>
  <c r="EA40" i="5"/>
  <c r="CQ27" i="5"/>
  <c r="CC18" i="5"/>
  <c r="X6" i="5"/>
  <c r="AN31" i="5"/>
  <c r="DY51" i="5"/>
  <c r="BC41" i="5"/>
  <c r="DD63" i="5"/>
  <c r="CZ44" i="5"/>
  <c r="DN49" i="5"/>
  <c r="CF32" i="5"/>
  <c r="AE20" i="5"/>
  <c r="FP39" i="5"/>
  <c r="K25" i="5"/>
  <c r="CR23" i="5"/>
  <c r="P44" i="5"/>
  <c r="DA18" i="5"/>
  <c r="BB13" i="5"/>
  <c r="AU62" i="5"/>
  <c r="CY33" i="5"/>
  <c r="DD18" i="5"/>
  <c r="CT51" i="5"/>
  <c r="T35" i="5"/>
  <c r="AS19" i="5"/>
  <c r="AW11" i="5"/>
  <c r="DJ22" i="5"/>
  <c r="DP37" i="5"/>
  <c r="ED9" i="5"/>
  <c r="B23" i="5"/>
  <c r="BX34" i="5"/>
  <c r="ET24" i="5"/>
  <c r="ES36" i="5"/>
  <c r="CD17" i="5"/>
  <c r="V50" i="5"/>
  <c r="BI23" i="5"/>
  <c r="DW37" i="5"/>
  <c r="CT22" i="5"/>
  <c r="BE14" i="5"/>
  <c r="BZ26" i="5"/>
  <c r="EV48" i="5"/>
  <c r="AQ63" i="5"/>
  <c r="S52" i="5"/>
  <c r="CC57" i="5"/>
  <c r="X50" i="5"/>
  <c r="DL4" i="5"/>
  <c r="CF23" i="5"/>
  <c r="DQ16" i="5"/>
  <c r="DF17" i="5"/>
  <c r="EN9" i="5"/>
  <c r="BY9" i="5"/>
  <c r="L34" i="5"/>
  <c r="FI26" i="5"/>
  <c r="EP31" i="5"/>
  <c r="BE21" i="5"/>
  <c r="FT13" i="5"/>
  <c r="O17" i="5"/>
  <c r="AG17" i="5"/>
  <c r="EK15" i="5"/>
  <c r="AZ5" i="5"/>
  <c r="DY52" i="5"/>
  <c r="BW43" i="5"/>
  <c r="T60" i="5"/>
  <c r="AT59" i="5"/>
  <c r="AJ12" i="5"/>
  <c r="DH44" i="5"/>
  <c r="FA40" i="5"/>
  <c r="DC15" i="5"/>
  <c r="EQ18" i="5"/>
  <c r="DD55" i="5"/>
  <c r="EE59" i="5"/>
  <c r="DU26" i="5"/>
  <c r="EO23" i="5"/>
  <c r="FO38" i="5"/>
  <c r="BZ50" i="5"/>
  <c r="EV31" i="5"/>
  <c r="FS16" i="5"/>
  <c r="N52" i="5"/>
  <c r="CJ43" i="5"/>
  <c r="AO54" i="5"/>
  <c r="N21" i="5"/>
  <c r="DU53" i="5"/>
  <c r="EP12" i="5"/>
  <c r="AN59" i="5"/>
  <c r="CD64" i="5"/>
  <c r="P13" i="5"/>
  <c r="AX50" i="5"/>
  <c r="BF43" i="5"/>
  <c r="CI11" i="5"/>
  <c r="X18" i="5"/>
  <c r="W13" i="5"/>
  <c r="BW6" i="5"/>
  <c r="W49" i="5"/>
  <c r="CX8" i="5"/>
  <c r="DN35" i="5"/>
  <c r="W45" i="5"/>
  <c r="CN15" i="5"/>
  <c r="CD46" i="5"/>
  <c r="AA36" i="5"/>
  <c r="DR32" i="5"/>
  <c r="DK39" i="5"/>
  <c r="DU18" i="5"/>
  <c r="ES59" i="5"/>
  <c r="R64" i="5"/>
  <c r="C54" i="5"/>
  <c r="G29" i="5"/>
  <c r="CW21" i="5"/>
  <c r="AI16" i="5"/>
  <c r="FP18" i="5"/>
  <c r="CD56" i="5"/>
  <c r="CS38" i="5"/>
  <c r="BA29" i="5"/>
  <c r="K10" i="5"/>
  <c r="FD15" i="5"/>
  <c r="J60" i="5"/>
  <c r="DG17" i="5"/>
  <c r="BJ53" i="5"/>
  <c r="FD10" i="5"/>
  <c r="DF53" i="5"/>
  <c r="DB46" i="5"/>
  <c r="CS25" i="5"/>
  <c r="FF47" i="5"/>
  <c r="BO34" i="5"/>
  <c r="ES13" i="5"/>
  <c r="DU30" i="5"/>
  <c r="DJ9" i="5"/>
  <c r="CS43" i="5"/>
  <c r="BJ7" i="5"/>
  <c r="EW9" i="5"/>
  <c r="U18" i="5"/>
  <c r="DF20" i="5"/>
  <c r="BS26" i="5"/>
  <c r="FS11" i="5"/>
  <c r="CR56" i="5"/>
  <c r="BN46" i="5"/>
  <c r="CI33" i="5"/>
  <c r="EJ62" i="5"/>
  <c r="DA47" i="5"/>
  <c r="Q58" i="5"/>
  <c r="EA50" i="5"/>
  <c r="DE13" i="5"/>
  <c r="O58" i="5"/>
  <c r="FE19" i="5"/>
  <c r="BB16" i="5"/>
  <c r="DO54" i="5"/>
  <c r="BU21" i="5"/>
  <c r="BP25" i="5"/>
  <c r="ET54" i="5"/>
  <c r="BR12" i="5"/>
  <c r="AA42" i="5"/>
  <c r="CM44" i="5"/>
  <c r="W17" i="5"/>
  <c r="AW38" i="5"/>
  <c r="EE29" i="5"/>
  <c r="D23" i="5"/>
  <c r="FC11" i="5"/>
  <c r="EI8" i="5"/>
  <c r="CB20" i="5"/>
  <c r="C17" i="5"/>
  <c r="BT27" i="5"/>
  <c r="AH30" i="5"/>
  <c r="AQ26" i="5"/>
  <c r="ED52" i="5"/>
  <c r="CO32" i="5"/>
  <c r="AV51" i="5"/>
  <c r="BL14" i="5"/>
  <c r="U28" i="5"/>
  <c r="EW25" i="5"/>
  <c r="EB15" i="5"/>
  <c r="ES40" i="5"/>
  <c r="T48" i="5"/>
  <c r="BY49" i="5"/>
  <c r="BI34" i="5"/>
  <c r="DC8" i="5"/>
  <c r="O4" i="5"/>
  <c r="CZ50" i="5"/>
  <c r="BG56" i="5"/>
  <c r="FC51" i="5"/>
  <c r="BI5" i="5"/>
  <c r="J12" i="5"/>
  <c r="ER51" i="5"/>
  <c r="AX56" i="5"/>
  <c r="AM34" i="5"/>
  <c r="DE27" i="5"/>
  <c r="FB6" i="5"/>
  <c r="AX12" i="5"/>
  <c r="X58" i="5"/>
  <c r="AN41" i="5"/>
  <c r="BK21" i="5"/>
  <c r="ED19" i="5"/>
  <c r="R54" i="5"/>
  <c r="EG53" i="5"/>
  <c r="DY21" i="5"/>
  <c r="BK60" i="5"/>
  <c r="DN7" i="5"/>
  <c r="L44" i="5"/>
  <c r="AT46" i="5"/>
  <c r="FL31" i="5"/>
  <c r="EJ20" i="5"/>
  <c r="BU15" i="5"/>
  <c r="AE3" i="5"/>
  <c r="BR47" i="5"/>
  <c r="EZ34" i="5"/>
  <c r="H13" i="5"/>
  <c r="T9" i="5"/>
  <c r="FQ39" i="5"/>
  <c r="CP36" i="5"/>
  <c r="D15" i="5"/>
  <c r="CX49" i="5"/>
  <c r="DM26" i="5"/>
  <c r="CV6" i="5"/>
  <c r="BE48" i="5"/>
  <c r="BV31" i="5"/>
  <c r="B14" i="5"/>
  <c r="EP45" i="5"/>
  <c r="AP38" i="5"/>
  <c r="CC19" i="5"/>
  <c r="CP7" i="5"/>
  <c r="AG57" i="5"/>
  <c r="DW20" i="5"/>
  <c r="EZ7" i="5"/>
  <c r="AW7" i="5"/>
  <c r="BS21" i="5"/>
  <c r="AT58" i="5"/>
  <c r="DJ41" i="5"/>
  <c r="BC7" i="5"/>
  <c r="BP58" i="5"/>
  <c r="AK5" i="5"/>
  <c r="EE37" i="5"/>
  <c r="CS10" i="5"/>
  <c r="DL43" i="5"/>
  <c r="G15" i="5"/>
  <c r="V27" i="5"/>
  <c r="ET19" i="5"/>
  <c r="AX20" i="5"/>
  <c r="ET64" i="5"/>
  <c r="M63" i="5"/>
  <c r="J32" i="5"/>
  <c r="T7" i="5"/>
  <c r="DZ29" i="5"/>
  <c r="BG21" i="5"/>
  <c r="CP49" i="5"/>
  <c r="EP10" i="5"/>
  <c r="CJ10" i="5"/>
  <c r="CI46" i="5"/>
  <c r="CV9" i="5"/>
  <c r="C51" i="5"/>
  <c r="CR11" i="5"/>
  <c r="DV29" i="5"/>
  <c r="FM4" i="5"/>
  <c r="EN14" i="5"/>
  <c r="BH17" i="5"/>
  <c r="K8" i="5"/>
  <c r="EL9" i="5"/>
  <c r="FR16" i="5"/>
  <c r="BT35" i="5"/>
  <c r="AP56" i="5"/>
  <c r="BJ5" i="5"/>
  <c r="AH44" i="5"/>
  <c r="EM36" i="5"/>
  <c r="EL57" i="5"/>
  <c r="FJ36" i="5"/>
  <c r="CK44" i="5"/>
  <c r="FG33" i="5"/>
  <c r="CB61" i="5"/>
  <c r="R20" i="5"/>
  <c r="AM44" i="5"/>
  <c r="AQ12" i="5"/>
  <c r="DL40" i="5"/>
  <c r="AR34" i="5"/>
  <c r="DZ38" i="5"/>
  <c r="DA60" i="5"/>
  <c r="CA51" i="5"/>
  <c r="AX27" i="5"/>
  <c r="BC5" i="5"/>
  <c r="AZ25" i="5"/>
  <c r="BD7" i="5"/>
  <c r="BW17" i="5"/>
  <c r="AB62" i="5"/>
  <c r="FP41" i="5"/>
  <c r="O52" i="5"/>
  <c r="AI25" i="5"/>
  <c r="O18" i="5"/>
  <c r="AS55" i="5"/>
  <c r="DA28" i="5"/>
  <c r="DY63" i="5"/>
  <c r="AE13" i="5"/>
  <c r="DJ55" i="5"/>
  <c r="FJ3" i="5"/>
  <c r="CH38" i="5"/>
  <c r="H14" i="5"/>
  <c r="EV61" i="5"/>
  <c r="FR14" i="5"/>
  <c r="AE48" i="5"/>
  <c r="DO17" i="5"/>
  <c r="EM3" i="5"/>
  <c r="K64" i="5"/>
  <c r="J28" i="5"/>
  <c r="M21" i="5"/>
  <c r="DJ12" i="5"/>
  <c r="BF6" i="5"/>
  <c r="BI29" i="5"/>
  <c r="DS13" i="5"/>
  <c r="Q41" i="5"/>
  <c r="CR13" i="5"/>
  <c r="BB30" i="5"/>
  <c r="EN3" i="5"/>
  <c r="FO19" i="5"/>
  <c r="EV46" i="5"/>
  <c r="FI53" i="5"/>
  <c r="M8" i="5"/>
  <c r="AT4" i="5"/>
  <c r="DM18" i="5"/>
  <c r="AW30" i="5"/>
  <c r="EA41" i="5"/>
  <c r="AB52" i="5"/>
  <c r="DZ37" i="5"/>
  <c r="EC31" i="5"/>
  <c r="AS26" i="5"/>
  <c r="BL23" i="5"/>
  <c r="ED42" i="5"/>
  <c r="AE42" i="5"/>
  <c r="EP21" i="5"/>
  <c r="FH62" i="5"/>
  <c r="FR53" i="5"/>
  <c r="EI46" i="5"/>
  <c r="AZ34" i="5"/>
  <c r="AP45" i="5"/>
  <c r="DS55" i="5"/>
  <c r="EB43" i="5"/>
  <c r="S18" i="5"/>
  <c r="EB35" i="5"/>
  <c r="AR39" i="5"/>
  <c r="AK12" i="5"/>
  <c r="DT5" i="5"/>
  <c r="ES9" i="5"/>
  <c r="DX17" i="5"/>
  <c r="AI56" i="5"/>
  <c r="DQ9" i="5"/>
  <c r="DM59" i="5"/>
  <c r="FS55" i="5"/>
  <c r="CE33" i="5"/>
  <c r="DM36" i="5"/>
  <c r="EP26" i="5"/>
  <c r="FR32" i="5"/>
  <c r="EF13" i="5"/>
  <c r="DM11" i="5"/>
  <c r="ED17" i="5"/>
  <c r="DR60" i="5"/>
  <c r="CO38" i="5"/>
  <c r="FH3" i="5"/>
  <c r="DV26" i="5"/>
  <c r="DD34" i="5"/>
  <c r="EZ43" i="5"/>
  <c r="CH3" i="5"/>
  <c r="R35" i="5"/>
  <c r="Y12" i="5"/>
  <c r="AB16" i="5"/>
  <c r="W64" i="5"/>
  <c r="X33" i="5"/>
  <c r="DU59" i="5"/>
  <c r="BW63" i="5"/>
  <c r="ER59" i="5"/>
  <c r="L41" i="5"/>
  <c r="BZ21" i="5"/>
  <c r="AE11" i="5"/>
  <c r="DF54" i="5"/>
  <c r="AC30" i="5"/>
  <c r="BI12" i="5"/>
  <c r="FI22" i="5"/>
  <c r="BL42" i="5"/>
  <c r="CD36" i="5"/>
  <c r="BS62" i="5"/>
  <c r="CG11" i="5"/>
  <c r="DM27" i="5"/>
  <c r="R18" i="5"/>
  <c r="FE16" i="5"/>
  <c r="DB49" i="5"/>
  <c r="FJ8" i="5"/>
  <c r="CW5" i="5"/>
  <c r="BG32" i="5"/>
  <c r="BP43" i="5"/>
  <c r="O27" i="5"/>
  <c r="DT18" i="5"/>
  <c r="FA63" i="5"/>
  <c r="DD8" i="5"/>
  <c r="CU23" i="5"/>
  <c r="CU32" i="5"/>
  <c r="FS61" i="5"/>
  <c r="AV45" i="5"/>
  <c r="U50" i="5"/>
  <c r="BJ32" i="5"/>
  <c r="O54" i="5"/>
  <c r="AA4" i="5"/>
  <c r="Y7" i="5"/>
  <c r="FM21" i="5"/>
  <c r="BX10" i="5"/>
  <c r="CW27" i="5"/>
  <c r="FM50" i="5"/>
  <c r="O44" i="5"/>
  <c r="K28" i="5"/>
  <c r="FK12" i="5"/>
  <c r="BW54" i="5"/>
  <c r="BH55" i="5"/>
  <c r="FI34" i="5"/>
  <c r="DO64" i="5"/>
  <c r="CL52" i="5"/>
  <c r="BM5" i="5"/>
  <c r="AR44" i="5"/>
  <c r="BC18" i="5"/>
  <c r="DQ36" i="5"/>
  <c r="DH16" i="5"/>
  <c r="CL58" i="5"/>
  <c r="AH64" i="5"/>
  <c r="BH32" i="5"/>
  <c r="CM14" i="5"/>
  <c r="FO23" i="5"/>
  <c r="CP33" i="5"/>
  <c r="U34" i="5"/>
  <c r="BW30" i="5"/>
  <c r="BF53" i="5"/>
  <c r="BV59" i="5"/>
  <c r="EL36" i="5"/>
  <c r="AD11" i="5"/>
  <c r="Z36" i="5"/>
  <c r="AT19" i="5"/>
  <c r="DE17" i="5"/>
  <c r="FF37" i="5"/>
  <c r="FF26" i="5"/>
  <c r="CV49" i="5"/>
  <c r="BJ44" i="5"/>
  <c r="BX8" i="5"/>
  <c r="FP25" i="5"/>
  <c r="CI49" i="5"/>
  <c r="CY42" i="5"/>
  <c r="CD60" i="5"/>
  <c r="Z59" i="5"/>
  <c r="AS7" i="5"/>
  <c r="EB51" i="5"/>
  <c r="CV23" i="5"/>
  <c r="EU31" i="5"/>
  <c r="EU20" i="5"/>
  <c r="CP6" i="5"/>
  <c r="M47" i="5"/>
  <c r="FJ32" i="5"/>
  <c r="BN40" i="5"/>
  <c r="FG35" i="5"/>
  <c r="BX4" i="5"/>
  <c r="AR3" i="5"/>
  <c r="AM55" i="5"/>
  <c r="EQ6" i="5"/>
  <c r="EL41" i="5"/>
  <c r="L18" i="5"/>
  <c r="CU12" i="5"/>
  <c r="FA41" i="5"/>
  <c r="X48" i="5"/>
  <c r="BS49" i="5"/>
  <c r="EG37" i="5"/>
  <c r="DH27" i="5"/>
  <c r="AL19" i="5"/>
  <c r="FQ13" i="5"/>
  <c r="CD53" i="5"/>
  <c r="FT49" i="5"/>
  <c r="CH43" i="5"/>
  <c r="FH14" i="5"/>
  <c r="EV39" i="5"/>
  <c r="BB48" i="5"/>
  <c r="EA23" i="5"/>
  <c r="EE32" i="5"/>
  <c r="CN30" i="5"/>
  <c r="BF19" i="5"/>
  <c r="FK58" i="5"/>
  <c r="FR31" i="5"/>
  <c r="CK15" i="5"/>
  <c r="DN50" i="5"/>
  <c r="T52" i="5"/>
  <c r="CM49" i="5"/>
  <c r="AH26" i="5"/>
  <c r="BK64" i="5"/>
  <c r="CD33" i="5"/>
  <c r="BG30" i="5"/>
  <c r="AU9" i="5"/>
  <c r="CP18" i="5"/>
  <c r="ES24" i="5"/>
  <c r="CD38" i="5"/>
  <c r="DD56" i="5"/>
  <c r="EL31" i="5"/>
  <c r="BH57" i="5"/>
  <c r="CN64" i="5"/>
  <c r="EG36" i="5"/>
  <c r="EG14" i="5"/>
  <c r="EX3" i="5"/>
  <c r="AB34" i="5"/>
  <c r="DQ30" i="5"/>
  <c r="DU28" i="5"/>
  <c r="EQ7" i="5"/>
  <c r="EO41" i="5"/>
  <c r="AT49" i="5"/>
  <c r="DF8" i="5"/>
  <c r="CT27" i="5"/>
  <c r="ES53" i="5"/>
  <c r="BV32" i="5"/>
  <c r="BK17" i="5"/>
  <c r="EM4" i="5"/>
  <c r="AG48" i="5"/>
  <c r="FD14" i="5"/>
  <c r="FF20" i="5"/>
  <c r="AH5" i="5"/>
  <c r="EL54" i="5"/>
  <c r="FA12" i="5"/>
  <c r="EF24" i="5"/>
  <c r="DZ39" i="5"/>
  <c r="CW62" i="5"/>
  <c r="FN47" i="5"/>
  <c r="BE20" i="5"/>
  <c r="BF29" i="5"/>
  <c r="DS22" i="5"/>
  <c r="FO59" i="5"/>
  <c r="L53" i="5"/>
  <c r="CN13" i="5"/>
  <c r="FF50" i="5"/>
  <c r="FI8" i="5"/>
  <c r="CX52" i="5"/>
  <c r="CW57" i="5"/>
  <c r="AF28" i="5"/>
  <c r="FL9" i="5"/>
  <c r="CR20" i="5"/>
  <c r="R28" i="5"/>
  <c r="ER26" i="5"/>
  <c r="FI7" i="5"/>
  <c r="DY47" i="5"/>
  <c r="CI60" i="5"/>
  <c r="AZ11" i="5"/>
  <c r="AD38" i="5"/>
  <c r="AN12" i="5"/>
  <c r="AX24" i="5"/>
  <c r="BO37" i="5"/>
  <c r="DI35" i="5"/>
  <c r="Z32" i="5"/>
  <c r="BD40" i="5"/>
  <c r="CW10" i="5"/>
  <c r="DB3" i="5"/>
  <c r="DJ45" i="5"/>
  <c r="EF30" i="5"/>
  <c r="DQ15" i="5"/>
  <c r="BM14" i="5"/>
  <c r="DY61" i="5"/>
  <c r="EC40" i="5"/>
  <c r="BE40" i="5"/>
  <c r="EY7" i="5"/>
  <c r="BJ63" i="5"/>
  <c r="BI64" i="5"/>
  <c r="BX14" i="5"/>
  <c r="AH55" i="5"/>
  <c r="CI64" i="5"/>
  <c r="BB23" i="5"/>
  <c r="E26" i="5"/>
  <c r="AM16" i="5"/>
  <c r="BA61" i="5"/>
  <c r="FC58" i="5"/>
  <c r="S53" i="5"/>
  <c r="ED61" i="5"/>
  <c r="Q5" i="5"/>
  <c r="DN46" i="5"/>
  <c r="AJ34" i="5"/>
  <c r="FC17" i="5"/>
  <c r="EI37" i="5"/>
  <c r="AM53" i="5"/>
  <c r="BS36" i="5"/>
  <c r="J49" i="5"/>
  <c r="AY18" i="5"/>
  <c r="FG48" i="5"/>
  <c r="EV14" i="5"/>
  <c r="DO8" i="5"/>
  <c r="CW34" i="5"/>
  <c r="C28" i="5"/>
  <c r="DY37" i="5"/>
  <c r="EC9" i="5"/>
  <c r="U19" i="5"/>
  <c r="FI3" i="5"/>
  <c r="W14" i="5"/>
  <c r="FK54" i="5"/>
  <c r="CI44" i="5"/>
  <c r="FQ50" i="5"/>
  <c r="AE30" i="5"/>
  <c r="Q14" i="5"/>
  <c r="AC44" i="5"/>
  <c r="FE14" i="5"/>
  <c r="CN33" i="5"/>
  <c r="CP9" i="5"/>
  <c r="CE4" i="5"/>
  <c r="DF22" i="5"/>
  <c r="R38" i="5"/>
  <c r="BU45" i="5"/>
  <c r="FO10" i="5"/>
  <c r="FI28" i="5"/>
  <c r="FC37" i="5"/>
  <c r="FK53" i="5"/>
  <c r="AE32" i="5"/>
  <c r="CE41" i="5"/>
  <c r="EG13" i="5"/>
  <c r="EH21" i="5"/>
  <c r="DC27" i="5"/>
  <c r="CJ49" i="5"/>
  <c r="FR29" i="5"/>
  <c r="CY62" i="5"/>
  <c r="AQ23" i="5"/>
  <c r="AP52" i="5"/>
  <c r="BZ37" i="5"/>
  <c r="DH24" i="5"/>
  <c r="AA15" i="5"/>
  <c r="CN40" i="5"/>
  <c r="AS4" i="5"/>
  <c r="FF55" i="5"/>
  <c r="CN42" i="5"/>
  <c r="CA17" i="5"/>
  <c r="DH59" i="5"/>
  <c r="CH13" i="5"/>
  <c r="EV57" i="5"/>
  <c r="CR26" i="5"/>
  <c r="I8" i="5"/>
  <c r="CP48" i="5"/>
  <c r="EB30" i="5"/>
  <c r="DL7" i="5"/>
  <c r="L35" i="5"/>
  <c r="CB43" i="5"/>
  <c r="CB53" i="5"/>
  <c r="DN62" i="5"/>
  <c r="Z22" i="5"/>
  <c r="AC4" i="5"/>
  <c r="EW46" i="5"/>
  <c r="FO3" i="5"/>
  <c r="AX10" i="5"/>
  <c r="G24" i="5"/>
  <c r="CE34" i="5"/>
  <c r="U58" i="5"/>
  <c r="BS20" i="5"/>
  <c r="DP28" i="5"/>
  <c r="EA20" i="5"/>
  <c r="EW32" i="5"/>
  <c r="BH52" i="5"/>
  <c r="BC60" i="5"/>
  <c r="AH60" i="5"/>
  <c r="CC24" i="5"/>
  <c r="FQ18" i="5"/>
  <c r="DG29" i="5"/>
  <c r="BZ22" i="5"/>
  <c r="DQ6" i="5"/>
  <c r="FC13" i="5"/>
  <c r="DO15" i="5"/>
  <c r="C15" i="5"/>
  <c r="EB4" i="5"/>
  <c r="CS26" i="5"/>
  <c r="EQ61" i="5"/>
  <c r="EE22" i="5"/>
  <c r="FB52" i="5"/>
  <c r="S26" i="5"/>
  <c r="FH39" i="5"/>
  <c r="EW37" i="5"/>
  <c r="CT19" i="5"/>
  <c r="EK42" i="5"/>
  <c r="Y16" i="5"/>
  <c r="DG14" i="5"/>
  <c r="BK56" i="5"/>
  <c r="CL3" i="5"/>
  <c r="BM11" i="5"/>
  <c r="FT60" i="5"/>
  <c r="FA61" i="5"/>
  <c r="DX18" i="5"/>
  <c r="BE3" i="5"/>
  <c r="BP9" i="5"/>
  <c r="T4" i="5"/>
  <c r="AU43" i="5"/>
  <c r="BV10" i="5"/>
  <c r="CX18" i="5"/>
  <c r="CP22" i="5"/>
  <c r="EG59" i="5"/>
  <c r="J20" i="5"/>
  <c r="AX61" i="5"/>
  <c r="BI21" i="5"/>
  <c r="CF44" i="5"/>
  <c r="D33" i="5"/>
  <c r="EZ4" i="5"/>
  <c r="N25" i="5"/>
  <c r="CB41" i="5"/>
  <c r="AO36" i="5"/>
  <c r="T38" i="5"/>
  <c r="ES4" i="5"/>
  <c r="P46" i="5"/>
  <c r="BJ48" i="5"/>
  <c r="BV30" i="5"/>
  <c r="CT5" i="5"/>
  <c r="AW52" i="5"/>
  <c r="EU62" i="5"/>
  <c r="FN21" i="5"/>
  <c r="BD44" i="5"/>
  <c r="O7" i="5"/>
  <c r="BX61" i="5"/>
  <c r="CV3" i="5"/>
  <c r="BY4" i="5"/>
  <c r="FO5" i="5"/>
  <c r="CI24" i="5"/>
  <c r="DS38" i="5"/>
  <c r="CQ41" i="5"/>
  <c r="AH7" i="5"/>
  <c r="AF7" i="5"/>
  <c r="EL60" i="5"/>
  <c r="DJ4" i="5"/>
  <c r="DE32" i="5"/>
  <c r="FR5" i="5"/>
  <c r="FM42" i="5"/>
  <c r="BD22" i="5"/>
  <c r="EA26" i="5"/>
  <c r="FQ5" i="5"/>
  <c r="N58" i="5"/>
  <c r="BW12" i="5"/>
  <c r="DP53" i="5"/>
  <c r="FJ59" i="5"/>
  <c r="AA44" i="5"/>
  <c r="ER17" i="5"/>
  <c r="AM26" i="5"/>
  <c r="CZ13" i="5"/>
  <c r="EJ51" i="5"/>
  <c r="AV56" i="5"/>
  <c r="DF26" i="5"/>
  <c r="ER15" i="5"/>
  <c r="AR53" i="5"/>
  <c r="FP57" i="5"/>
  <c r="BC13" i="5"/>
  <c r="DV35" i="5"/>
  <c r="CA53" i="5"/>
  <c r="EM22" i="5"/>
  <c r="EH63" i="5"/>
  <c r="BL59" i="5"/>
  <c r="CR46" i="5"/>
  <c r="AH8" i="5"/>
  <c r="O48" i="5"/>
  <c r="CK36" i="5"/>
  <c r="CY59" i="5"/>
  <c r="AE41" i="5"/>
  <c r="EM12" i="5"/>
  <c r="FO48" i="5"/>
  <c r="EL21" i="5"/>
  <c r="T59" i="5"/>
  <c r="DN10" i="5"/>
  <c r="DH9" i="5"/>
  <c r="AG26" i="5"/>
  <c r="BX55" i="5"/>
  <c r="EK45" i="5"/>
  <c r="AX18" i="5"/>
  <c r="EJ6" i="5"/>
  <c r="EI15" i="5"/>
  <c r="DN27" i="5"/>
  <c r="G47" i="5"/>
  <c r="BY29" i="5"/>
  <c r="EK51" i="5"/>
  <c r="CD48" i="5"/>
  <c r="AV33" i="5"/>
  <c r="BH10" i="5"/>
  <c r="FT28" i="5"/>
  <c r="CX50" i="5"/>
  <c r="BB50" i="5"/>
  <c r="BA48" i="5"/>
  <c r="FS19" i="5"/>
  <c r="BV53" i="5"/>
  <c r="EO21" i="5"/>
  <c r="EO60" i="5"/>
  <c r="AS18" i="5"/>
  <c r="BP40" i="5"/>
  <c r="EC8" i="5"/>
  <c r="CR64" i="5"/>
  <c r="AT33" i="5"/>
  <c r="DQ41" i="5"/>
  <c r="AI43" i="5"/>
  <c r="BT32" i="5"/>
  <c r="X60" i="5"/>
  <c r="EV64" i="5"/>
  <c r="BX7" i="5"/>
  <c r="EI57" i="5"/>
  <c r="FL47" i="5"/>
  <c r="CT64" i="5"/>
  <c r="EM10" i="5"/>
  <c r="AY54" i="5"/>
  <c r="C41" i="5"/>
  <c r="CS18" i="5"/>
  <c r="BP16" i="5"/>
  <c r="FE11" i="5"/>
  <c r="BF12" i="5"/>
  <c r="M44" i="5"/>
  <c r="DL11" i="5"/>
  <c r="EQ16" i="5"/>
  <c r="EW6" i="5"/>
  <c r="L12" i="5"/>
  <c r="DK53" i="5"/>
  <c r="BM55" i="5"/>
  <c r="FL44" i="5"/>
  <c r="AB33" i="5"/>
  <c r="BH20" i="5"/>
  <c r="EI33" i="5"/>
  <c r="BR7" i="5"/>
  <c r="BM64" i="5"/>
  <c r="BE27" i="5"/>
  <c r="EL16" i="5"/>
  <c r="BQ25" i="5"/>
  <c r="DJ21" i="5"/>
  <c r="BG6" i="5"/>
  <c r="FR43" i="5"/>
  <c r="EW18" i="5"/>
  <c r="EE41" i="5"/>
  <c r="C31" i="5"/>
  <c r="EH48" i="5"/>
  <c r="CE26" i="5"/>
  <c r="Q46" i="5"/>
  <c r="FC34" i="5"/>
  <c r="AS27" i="5"/>
  <c r="AK33" i="5"/>
  <c r="FT23" i="5"/>
  <c r="M14" i="5"/>
  <c r="BG24" i="5"/>
  <c r="EG42" i="5"/>
  <c r="D47" i="5"/>
  <c r="V25" i="5"/>
  <c r="FO36" i="5"/>
  <c r="AS17" i="5"/>
  <c r="AJ46" i="5"/>
  <c r="BZ38" i="5"/>
  <c r="CK13" i="5"/>
  <c r="BF39" i="5"/>
  <c r="AA33" i="5"/>
  <c r="BQ44" i="5"/>
  <c r="AX7" i="5"/>
  <c r="EW12" i="5"/>
  <c r="DN11" i="5"/>
  <c r="FR26" i="5"/>
  <c r="FT15" i="5"/>
  <c r="W33" i="5"/>
  <c r="BP34" i="5"/>
  <c r="H59" i="5"/>
  <c r="AU5" i="5"/>
  <c r="AN23" i="5"/>
  <c r="BM13" i="5"/>
  <c r="CM40" i="5"/>
  <c r="DK54" i="5"/>
  <c r="EV63" i="5"/>
  <c r="DI63" i="5"/>
  <c r="F15" i="5"/>
  <c r="FD50" i="5"/>
  <c r="AH54" i="5"/>
  <c r="CJ45" i="5"/>
  <c r="CL36" i="5"/>
  <c r="EE8" i="5"/>
  <c r="FO20" i="5"/>
  <c r="DC29" i="5"/>
  <c r="E7" i="5"/>
  <c r="CP38" i="5"/>
  <c r="FM3" i="5"/>
  <c r="AP17" i="5"/>
  <c r="AO8" i="5"/>
  <c r="AJ53" i="5"/>
  <c r="J56" i="5"/>
  <c r="CN16" i="5"/>
  <c r="K58" i="5"/>
  <c r="G9" i="5"/>
  <c r="BY14" i="5"/>
  <c r="AK38" i="5"/>
  <c r="CF33" i="5"/>
  <c r="CA14" i="5"/>
  <c r="ES22" i="5"/>
  <c r="ED21" i="5"/>
  <c r="EK6" i="5"/>
  <c r="DX40" i="5"/>
  <c r="CX38" i="5"/>
  <c r="FT55" i="5"/>
  <c r="AF48" i="5"/>
  <c r="CD11" i="5"/>
  <c r="CI13" i="5"/>
  <c r="AS15" i="5"/>
  <c r="CG7" i="5"/>
  <c r="AJ10" i="5"/>
  <c r="M60" i="5"/>
  <c r="AP27" i="5"/>
  <c r="R39" i="5"/>
  <c r="FA21" i="5"/>
  <c r="AV19" i="5"/>
  <c r="EM56" i="5"/>
  <c r="AJ30" i="5"/>
  <c r="CO12" i="5"/>
  <c r="AM22" i="5"/>
  <c r="CL21" i="5"/>
  <c r="J26" i="5"/>
  <c r="FB36" i="5"/>
  <c r="BA43" i="5"/>
  <c r="DW48" i="5"/>
  <c r="ED35" i="5"/>
  <c r="DN8" i="5"/>
  <c r="DL36" i="5"/>
  <c r="BY11" i="5"/>
  <c r="AC43" i="5"/>
  <c r="ED40" i="5"/>
  <c r="DX37" i="5"/>
  <c r="DL37" i="5"/>
  <c r="BH50" i="5"/>
  <c r="FD18" i="5"/>
  <c r="BP15" i="5"/>
  <c r="AF63" i="5"/>
  <c r="DY60" i="5"/>
  <c r="EI22" i="5"/>
  <c r="CL41" i="5"/>
  <c r="BM58" i="5"/>
  <c r="CC38" i="5"/>
  <c r="FB3" i="5"/>
  <c r="CM54" i="5"/>
  <c r="FO33" i="5"/>
  <c r="DW30" i="5"/>
  <c r="AD29" i="5"/>
  <c r="EY22" i="5"/>
  <c r="BF44" i="5"/>
  <c r="K9" i="5"/>
  <c r="FI49" i="5"/>
  <c r="CX36" i="5"/>
  <c r="FB23" i="5"/>
  <c r="BP6" i="5"/>
  <c r="DN5" i="5"/>
  <c r="AH18" i="5"/>
  <c r="AL55" i="5"/>
  <c r="FB4" i="5"/>
  <c r="BD30" i="5"/>
  <c r="U20" i="5"/>
  <c r="EW5" i="5"/>
  <c r="DX29" i="5"/>
  <c r="AW59" i="5"/>
  <c r="P37" i="5"/>
  <c r="AN21" i="5"/>
  <c r="CX9" i="5"/>
  <c r="AM21" i="5"/>
  <c r="FL33" i="5"/>
  <c r="DL10" i="5"/>
  <c r="F28" i="5"/>
  <c r="DD54" i="5"/>
  <c r="AR40" i="5"/>
  <c r="BI35" i="5"/>
  <c r="CV26" i="5"/>
  <c r="FO7" i="5"/>
  <c r="K5" i="5"/>
  <c r="BK22" i="5"/>
  <c r="FR46" i="5"/>
  <c r="X17" i="5"/>
  <c r="CR47" i="5"/>
  <c r="EK56" i="5"/>
  <c r="AF5" i="5"/>
  <c r="DW17" i="5"/>
  <c r="DJ36" i="5"/>
  <c r="L3" i="5"/>
  <c r="CD14" i="5"/>
  <c r="C52" i="5"/>
  <c r="FC5" i="5"/>
  <c r="DB50" i="5"/>
  <c r="DQ49" i="5"/>
  <c r="EE50" i="5"/>
  <c r="AQ51" i="5"/>
  <c r="BV35" i="5"/>
  <c r="BV20" i="5"/>
  <c r="ED45" i="5"/>
  <c r="DI34" i="5"/>
  <c r="BA62" i="5"/>
  <c r="BG44" i="5"/>
  <c r="BX52" i="5"/>
  <c r="N24" i="5"/>
  <c r="DN54" i="5"/>
  <c r="J53" i="5"/>
  <c r="DH40" i="5"/>
  <c r="FJ46" i="5"/>
  <c r="EA11" i="5"/>
  <c r="BU44" i="5"/>
  <c r="AH58" i="5"/>
  <c r="DT28" i="5"/>
  <c r="FP17" i="5"/>
  <c r="DL52" i="5"/>
  <c r="EZ36" i="5"/>
  <c r="W10" i="5"/>
  <c r="AY22" i="5"/>
  <c r="BK13" i="5"/>
  <c r="EZ38" i="5"/>
  <c r="DK7" i="5"/>
  <c r="AV41" i="5"/>
  <c r="CM20" i="5"/>
  <c r="BC29" i="5"/>
  <c r="CQ35" i="5"/>
  <c r="ES61" i="5"/>
  <c r="FJ13" i="5"/>
  <c r="FJ20" i="5"/>
  <c r="FK8" i="5"/>
  <c r="CB38" i="5"/>
  <c r="BM46" i="5"/>
  <c r="B22" i="5"/>
  <c r="FD40" i="5"/>
  <c r="E4" i="5"/>
  <c r="CK33" i="5"/>
  <c r="M54" i="5"/>
  <c r="D45" i="5"/>
  <c r="AX31" i="5"/>
  <c r="CG47" i="5"/>
  <c r="EN25" i="5"/>
  <c r="CJ54" i="5"/>
  <c r="CQ39" i="5"/>
  <c r="BR13" i="5"/>
  <c r="CR36" i="5"/>
  <c r="S19" i="5"/>
  <c r="X30" i="5"/>
  <c r="CY27" i="5"/>
  <c r="DI25" i="5"/>
  <c r="X11" i="5"/>
  <c r="AQ18" i="5"/>
  <c r="AJ15" i="5"/>
  <c r="FO62" i="5"/>
  <c r="BZ58" i="5"/>
  <c r="FM22" i="5"/>
  <c r="AQ50" i="5"/>
  <c r="FP40" i="5"/>
  <c r="BT38" i="5"/>
  <c r="BK12" i="5"/>
  <c r="BM19" i="5"/>
  <c r="W29" i="5"/>
  <c r="ET12" i="5"/>
  <c r="FD8" i="5"/>
  <c r="CK26" i="5"/>
  <c r="BG58" i="5"/>
  <c r="CU29" i="5"/>
  <c r="CS64" i="5"/>
  <c r="EQ26" i="5"/>
  <c r="FF53" i="5"/>
  <c r="W18" i="5"/>
  <c r="FP43" i="5"/>
  <c r="DI43" i="5"/>
  <c r="AU13" i="5"/>
  <c r="CX25" i="5"/>
  <c r="BW7" i="5"/>
  <c r="BU48" i="5"/>
  <c r="DI61" i="5"/>
  <c r="J59" i="5"/>
  <c r="AS42" i="5"/>
  <c r="EC22" i="5"/>
  <c r="DQ21" i="5"/>
  <c r="EP40" i="5"/>
  <c r="CW38" i="5"/>
  <c r="CI50" i="5"/>
  <c r="CK9" i="5"/>
  <c r="FT46" i="5"/>
  <c r="FG24" i="5"/>
  <c r="CQ51" i="5"/>
  <c r="AP60" i="5"/>
  <c r="CW14" i="5"/>
  <c r="AQ19" i="5"/>
  <c r="J19" i="5"/>
  <c r="AN47" i="5"/>
  <c r="AN43" i="5"/>
  <c r="FM33" i="5"/>
  <c r="FS3" i="5"/>
  <c r="FA16" i="5"/>
  <c r="K52" i="5"/>
  <c r="FP60" i="5"/>
  <c r="EA3" i="5"/>
  <c r="DX42" i="5"/>
  <c r="N14" i="5"/>
  <c r="DP29" i="5"/>
  <c r="CH47" i="5"/>
  <c r="R30" i="5"/>
  <c r="J54" i="5"/>
  <c r="EB40" i="5"/>
  <c r="CW6" i="5"/>
  <c r="DA29" i="5"/>
  <c r="AP49" i="5"/>
  <c r="DC25" i="5"/>
  <c r="BL54" i="5"/>
  <c r="BR20" i="5"/>
  <c r="BK14" i="5"/>
  <c r="AO41" i="5"/>
  <c r="DH56" i="5"/>
  <c r="BI52" i="5"/>
  <c r="DR51" i="5"/>
  <c r="FB21" i="5"/>
  <c r="AP4" i="5"/>
  <c r="CV37" i="5"/>
  <c r="T27" i="5"/>
  <c r="I48" i="5"/>
  <c r="X16" i="5"/>
  <c r="BW11" i="5"/>
  <c r="DZ46" i="5"/>
  <c r="AZ15" i="5"/>
  <c r="CM25" i="5"/>
  <c r="ER7" i="5"/>
  <c r="EY19" i="5"/>
  <c r="FM7" i="5"/>
  <c r="DW39" i="5"/>
  <c r="EA15" i="5"/>
  <c r="N59" i="5"/>
  <c r="AY28" i="5"/>
  <c r="P17" i="5"/>
  <c r="CV50" i="5"/>
  <c r="DQ17" i="5"/>
  <c r="BO45" i="5"/>
  <c r="AG16" i="5"/>
  <c r="DI60" i="5"/>
  <c r="ET45" i="5"/>
  <c r="BP3" i="5"/>
  <c r="T11" i="5"/>
  <c r="CE62" i="5"/>
  <c r="FD7" i="5"/>
  <c r="P50" i="5"/>
  <c r="DL9" i="5"/>
  <c r="CK54" i="5"/>
  <c r="L40" i="5"/>
  <c r="Y35" i="5"/>
  <c r="AO21" i="5"/>
  <c r="AL32" i="5"/>
  <c r="BC27" i="5"/>
  <c r="CT33" i="5"/>
  <c r="X44" i="5"/>
  <c r="W7" i="5"/>
  <c r="M49" i="5"/>
  <c r="CP23" i="5"/>
  <c r="BE55" i="5"/>
  <c r="CU28" i="5"/>
  <c r="BV44" i="5"/>
  <c r="CD19" i="5"/>
  <c r="DG9" i="5"/>
  <c r="CB36" i="5"/>
  <c r="ER41" i="5"/>
  <c r="EG55" i="5"/>
  <c r="ET48" i="5"/>
  <c r="BX60" i="5"/>
  <c r="FN9" i="5"/>
  <c r="EL28" i="5"/>
  <c r="FD59" i="5"/>
  <c r="EQ49" i="5"/>
  <c r="V48" i="5"/>
  <c r="DB26" i="5"/>
  <c r="EH22" i="5"/>
  <c r="AZ12" i="5"/>
  <c r="BF18" i="5"/>
  <c r="EK19" i="5"/>
  <c r="L31" i="5"/>
  <c r="L56" i="5"/>
  <c r="L48" i="5"/>
  <c r="EW20" i="5"/>
  <c r="EO29" i="5"/>
  <c r="V47" i="5"/>
  <c r="P19" i="5"/>
  <c r="DH45" i="5"/>
  <c r="CB34" i="5"/>
  <c r="CL8" i="5"/>
  <c r="ES48" i="5"/>
  <c r="DT15" i="5"/>
  <c r="EB24" i="5"/>
  <c r="AL49" i="5"/>
  <c r="BX22" i="5"/>
  <c r="FO43" i="5"/>
  <c r="DP58" i="5"/>
  <c r="AM37" i="5"/>
  <c r="EP14" i="5"/>
  <c r="AI14" i="5"/>
  <c r="EO25" i="5"/>
  <c r="EL3" i="5"/>
  <c r="AF10" i="5"/>
  <c r="FB7" i="5"/>
  <c r="DA11" i="5"/>
  <c r="AP14" i="5"/>
  <c r="AA50" i="5"/>
  <c r="J22" i="5"/>
  <c r="BH41" i="5"/>
  <c r="BD5" i="5"/>
  <c r="DT4" i="5"/>
  <c r="BO47" i="5"/>
  <c r="AI40" i="5"/>
  <c r="DH6" i="5"/>
  <c r="CL16" i="5"/>
  <c r="CY55" i="5"/>
  <c r="BI58" i="5"/>
  <c r="CC36" i="5"/>
  <c r="E11" i="5"/>
  <c r="CU9" i="5"/>
  <c r="AK55" i="5"/>
  <c r="AG60" i="5"/>
  <c r="AG25" i="5"/>
  <c r="BB45" i="5"/>
  <c r="W47" i="5"/>
  <c r="EE16" i="5"/>
  <c r="BN16" i="5"/>
  <c r="AN20" i="5"/>
  <c r="D30" i="5"/>
  <c r="EI12" i="5"/>
  <c r="FA47" i="5"/>
  <c r="FA7" i="5"/>
  <c r="AV35" i="5"/>
  <c r="BR63" i="5"/>
  <c r="EV33" i="5"/>
  <c r="AJ4" i="5"/>
  <c r="DK8" i="5"/>
  <c r="EK26" i="5"/>
  <c r="R11" i="5"/>
  <c r="EP11" i="5"/>
  <c r="K4" i="5"/>
  <c r="D44" i="5"/>
  <c r="ER45" i="5"/>
  <c r="EX21" i="5"/>
  <c r="CT50" i="5"/>
  <c r="CF19" i="5"/>
  <c r="AK41" i="5"/>
  <c r="CL30" i="5"/>
  <c r="CC29" i="5"/>
  <c r="N28" i="5"/>
  <c r="FB61" i="5"/>
  <c r="DL28" i="5"/>
  <c r="FA19" i="5"/>
  <c r="AS40" i="5"/>
  <c r="EJ26" i="5"/>
  <c r="AK24" i="5"/>
  <c r="CV60" i="5"/>
  <c r="CS51" i="5"/>
  <c r="FJ53" i="5"/>
  <c r="EY58" i="5"/>
  <c r="BY45" i="5"/>
  <c r="DN31" i="5"/>
  <c r="CQ17" i="5"/>
  <c r="CW50" i="5"/>
  <c r="FT29" i="5"/>
  <c r="FE42" i="5"/>
  <c r="DN32" i="5"/>
  <c r="CT15" i="5"/>
  <c r="BG48" i="5"/>
  <c r="DX48" i="5"/>
  <c r="BF30" i="5"/>
  <c r="AN53" i="5"/>
  <c r="AV53" i="5"/>
  <c r="FF23" i="5"/>
  <c r="FK44" i="5"/>
  <c r="FQ63" i="5"/>
  <c r="FB46" i="5"/>
  <c r="CH29" i="5"/>
  <c r="DF41" i="5"/>
  <c r="EL38" i="5"/>
  <c r="V12" i="5"/>
  <c r="EU14" i="5"/>
  <c r="CZ39" i="5"/>
  <c r="AF59" i="5"/>
  <c r="FN41" i="5"/>
  <c r="Q25" i="5"/>
  <c r="DO5" i="5"/>
  <c r="EF56" i="5"/>
  <c r="EM35" i="5"/>
  <c r="AJ64" i="5"/>
  <c r="BU63" i="5"/>
  <c r="DO43" i="5"/>
  <c r="FO11" i="5"/>
  <c r="CF11" i="5"/>
  <c r="CY9" i="5"/>
  <c r="AN17" i="5"/>
  <c r="FG10" i="5"/>
  <c r="BI27" i="5"/>
  <c r="EA22" i="5"/>
  <c r="DI12" i="5"/>
  <c r="BT24" i="5"/>
  <c r="EP9" i="5"/>
  <c r="CG45" i="5"/>
  <c r="BU4" i="5"/>
  <c r="EH7" i="5"/>
  <c r="BP23" i="5"/>
  <c r="AT38" i="5"/>
  <c r="H35" i="5"/>
  <c r="BO50" i="5"/>
  <c r="Z24" i="5"/>
  <c r="EH53" i="5"/>
  <c r="EE28" i="5"/>
  <c r="EL63" i="5"/>
  <c r="FF56" i="5"/>
  <c r="FA8" i="5"/>
  <c r="AJ37" i="5"/>
  <c r="EV58" i="5"/>
  <c r="AA62" i="5"/>
  <c r="DG22" i="5"/>
  <c r="EQ36" i="5"/>
  <c r="CM38" i="5"/>
  <c r="AY17" i="5"/>
  <c r="DD42" i="5"/>
  <c r="BT15" i="5"/>
  <c r="AF15" i="5"/>
  <c r="CC23" i="5"/>
  <c r="EE63" i="5"/>
  <c r="AA52" i="5"/>
  <c r="BL5" i="5"/>
  <c r="DR50" i="5"/>
  <c r="FF48" i="5"/>
  <c r="DW24" i="5"/>
  <c r="EA13" i="5"/>
  <c r="T28" i="5"/>
  <c r="K15" i="5"/>
  <c r="DB38" i="5"/>
  <c r="CR3" i="5"/>
  <c r="FN28" i="5"/>
  <c r="EN48" i="5"/>
  <c r="BS16" i="5"/>
  <c r="CH39" i="5"/>
  <c r="W55" i="5"/>
  <c r="BI63" i="5"/>
  <c r="AZ32" i="5"/>
  <c r="FP15" i="5"/>
  <c r="DB53" i="5"/>
  <c r="FS51" i="5"/>
  <c r="CQ53" i="5"/>
  <c r="ES49" i="5"/>
  <c r="N38" i="5"/>
  <c r="CU33" i="5"/>
  <c r="DS11" i="5"/>
  <c r="D11" i="5"/>
  <c r="CT44" i="5"/>
  <c r="AY42" i="5"/>
  <c r="V17" i="5"/>
  <c r="BL44" i="5"/>
  <c r="AZ30" i="5"/>
  <c r="CR51" i="5"/>
  <c r="AC16" i="5"/>
  <c r="CB30" i="5"/>
  <c r="CF17" i="5"/>
  <c r="EN45" i="5"/>
  <c r="EL5" i="5"/>
  <c r="CL43" i="5"/>
  <c r="CT42" i="5"/>
  <c r="DY53" i="5"/>
  <c r="K59" i="5"/>
  <c r="FN5" i="5"/>
  <c r="FL46" i="5"/>
  <c r="AH12" i="5"/>
  <c r="FH33" i="5"/>
  <c r="CL51" i="5"/>
  <c r="EL32" i="5"/>
  <c r="EC12" i="5"/>
  <c r="DZ55" i="5"/>
  <c r="EZ9" i="5"/>
  <c r="EM21" i="5"/>
  <c r="C37" i="5"/>
  <c r="EK14" i="5"/>
  <c r="DR58" i="5"/>
  <c r="DT34" i="5"/>
  <c r="EU6" i="5"/>
  <c r="CT28" i="5"/>
  <c r="DI45" i="5"/>
  <c r="EY61" i="5"/>
  <c r="P58" i="5"/>
  <c r="FD57" i="5"/>
  <c r="CL55" i="5"/>
  <c r="DU10" i="5"/>
  <c r="CB64" i="5"/>
  <c r="EQ63" i="5"/>
  <c r="ER27" i="5"/>
  <c r="CL47" i="5"/>
  <c r="AC8" i="5"/>
  <c r="E41" i="5"/>
  <c r="DH21" i="5"/>
  <c r="CB8" i="5"/>
  <c r="AA9" i="5"/>
  <c r="DS15" i="5"/>
  <c r="AL43" i="5"/>
  <c r="CQ45" i="5"/>
  <c r="BZ63" i="5"/>
  <c r="EL50" i="5"/>
  <c r="DJ31" i="5"/>
  <c r="CS42" i="5"/>
  <c r="FC36" i="5"/>
  <c r="FM23" i="5"/>
  <c r="FK35" i="5"/>
  <c r="FS30" i="5"/>
  <c r="BA25" i="5"/>
  <c r="AR32" i="5"/>
  <c r="U17" i="5"/>
  <c r="AE55" i="5"/>
  <c r="FA33" i="5"/>
  <c r="BW57" i="5"/>
  <c r="BD49" i="5"/>
  <c r="BE25" i="5"/>
  <c r="EL4" i="5"/>
  <c r="AR57" i="5"/>
  <c r="DS36" i="5"/>
  <c r="DK60" i="5"/>
  <c r="DT37" i="5"/>
  <c r="DS14" i="5"/>
  <c r="ET10" i="5"/>
  <c r="AI26" i="5"/>
  <c r="DI4" i="5"/>
  <c r="ED58" i="5"/>
  <c r="BC24" i="5"/>
  <c r="BN31" i="5"/>
  <c r="CJ39" i="5"/>
  <c r="CJ15" i="5"/>
  <c r="CT32" i="5"/>
  <c r="EP28" i="5"/>
  <c r="FO21" i="5"/>
  <c r="CV8" i="5"/>
  <c r="W62" i="5"/>
  <c r="FD4" i="5"/>
  <c r="BT30" i="5"/>
  <c r="CP5" i="5"/>
  <c r="M28" i="5"/>
  <c r="R32" i="5"/>
  <c r="CJ7" i="5"/>
  <c r="EX16" i="5"/>
  <c r="EG8" i="5"/>
  <c r="CJ52" i="5"/>
  <c r="FD6" i="5"/>
  <c r="DZ40" i="5"/>
  <c r="CD32" i="5"/>
  <c r="DB44" i="5"/>
  <c r="BQ31" i="5"/>
  <c r="CU40" i="5"/>
  <c r="BI33" i="5"/>
  <c r="CZ32" i="5"/>
  <c r="CK29" i="5"/>
  <c r="DW59" i="5"/>
  <c r="BB4" i="5"/>
  <c r="DG34" i="5"/>
  <c r="CK21" i="5"/>
  <c r="D52" i="5"/>
  <c r="CZ30" i="5"/>
  <c r="F62" i="5"/>
  <c r="EF64" i="5"/>
  <c r="T46" i="5"/>
  <c r="AM35" i="5"/>
  <c r="FO45" i="5"/>
  <c r="FI51" i="5"/>
  <c r="R26" i="5"/>
  <c r="EW14" i="5"/>
  <c r="BW29" i="5"/>
  <c r="AJ16" i="5"/>
  <c r="BA12" i="5"/>
  <c r="EL48" i="5"/>
  <c r="AC53" i="5"/>
  <c r="DJ8" i="5"/>
  <c r="DH50" i="5"/>
  <c r="L26" i="5"/>
  <c r="CZ4" i="5"/>
  <c r="CH17" i="5"/>
  <c r="DL55" i="5"/>
  <c r="FC29" i="5"/>
  <c r="DW33" i="5"/>
  <c r="CY50" i="5"/>
  <c r="ET23" i="5"/>
  <c r="BE41" i="5"/>
  <c r="DC9" i="5"/>
  <c r="BT50" i="5"/>
  <c r="BJ33" i="5"/>
  <c r="CU25" i="5"/>
  <c r="Z46" i="5"/>
  <c r="DT45" i="5"/>
  <c r="AN25" i="5"/>
  <c r="CA61" i="5"/>
  <c r="V16" i="5"/>
  <c r="EY35" i="5"/>
  <c r="CU8" i="5"/>
  <c r="DI10" i="5"/>
  <c r="FH11" i="5"/>
  <c r="BQ38" i="5"/>
  <c r="P34" i="5"/>
  <c r="FK23" i="5"/>
  <c r="AW53" i="5"/>
  <c r="EZ13" i="5"/>
  <c r="AS32" i="5"/>
  <c r="V44" i="5"/>
  <c r="AC52" i="5"/>
  <c r="EK49" i="5"/>
  <c r="EQ30" i="5"/>
  <c r="M26" i="5"/>
  <c r="AV13" i="5"/>
  <c r="DL18" i="5"/>
  <c r="BG49" i="5"/>
  <c r="ER56" i="5"/>
  <c r="Q54" i="5"/>
  <c r="CK49" i="5"/>
  <c r="FS28" i="5"/>
  <c r="I54" i="5"/>
  <c r="BP46" i="5"/>
  <c r="ES47" i="5"/>
  <c r="DC33" i="5"/>
  <c r="CC45" i="5"/>
  <c r="AV44" i="5"/>
  <c r="O20" i="5"/>
  <c r="CF13" i="5"/>
  <c r="FD19" i="5"/>
  <c r="CP59" i="5"/>
  <c r="BA14" i="5"/>
  <c r="DC22" i="5"/>
  <c r="FF28" i="5"/>
  <c r="BC31" i="5"/>
  <c r="BA6" i="5"/>
  <c r="BH28" i="5"/>
  <c r="FB45" i="5"/>
  <c r="AT29" i="5"/>
  <c r="BE49" i="5"/>
  <c r="EU13" i="5"/>
  <c r="DY39" i="5"/>
  <c r="FG61" i="5"/>
  <c r="AY39" i="5"/>
  <c r="EU24" i="5"/>
  <c r="DF36" i="5"/>
  <c r="DF62" i="5"/>
  <c r="AW43" i="5"/>
  <c r="O19" i="5"/>
  <c r="AU58" i="5"/>
  <c r="BY28" i="5"/>
  <c r="EO20" i="5"/>
  <c r="BE58" i="5"/>
  <c r="FM25" i="5"/>
  <c r="FK4" i="5"/>
  <c r="AI54" i="5"/>
  <c r="L51" i="5"/>
  <c r="EK17" i="5"/>
  <c r="AW51" i="5"/>
  <c r="CK50" i="5"/>
  <c r="CW28" i="5"/>
  <c r="CM53" i="5"/>
  <c r="CL14" i="5"/>
  <c r="CG18" i="5"/>
  <c r="DU42" i="5"/>
  <c r="BL25" i="5"/>
  <c r="ET46" i="5"/>
  <c r="AL53" i="5"/>
  <c r="BO27" i="5"/>
  <c r="BL15" i="5"/>
  <c r="AC22" i="5"/>
  <c r="X12" i="5"/>
  <c r="AI55" i="5"/>
  <c r="EE38" i="5"/>
  <c r="Z7" i="5"/>
  <c r="EA53" i="5"/>
  <c r="CD20" i="5"/>
  <c r="AX44" i="5"/>
  <c r="AW29" i="5"/>
  <c r="BT41" i="5"/>
  <c r="AV31" i="5"/>
  <c r="DU40" i="5"/>
  <c r="AW48" i="5"/>
  <c r="Y39" i="5"/>
  <c r="EF49" i="5"/>
  <c r="CV17" i="5"/>
  <c r="CG52" i="5"/>
  <c r="CZ7" i="5"/>
  <c r="T51" i="5"/>
  <c r="BM38" i="5"/>
  <c r="FP52" i="5"/>
  <c r="DW29" i="5"/>
  <c r="BL4" i="5"/>
  <c r="CF24" i="5"/>
  <c r="AL44" i="5"/>
  <c r="FT34" i="5"/>
  <c r="DB42" i="5"/>
  <c r="EF28" i="5"/>
  <c r="BU33" i="5"/>
  <c r="AP55" i="5"/>
  <c r="N40" i="5"/>
  <c r="BS57" i="5"/>
  <c r="L10" i="5"/>
  <c r="BK33" i="5"/>
  <c r="FM40" i="5"/>
  <c r="DG24" i="5"/>
  <c r="R25" i="5"/>
  <c r="FR38" i="5"/>
  <c r="CK34" i="5"/>
  <c r="EF40" i="5"/>
  <c r="AN29" i="5"/>
  <c r="DI39" i="5"/>
  <c r="EI21" i="5"/>
  <c r="Z19" i="5"/>
  <c r="DF58" i="5"/>
  <c r="BZ36" i="5"/>
  <c r="Y36" i="5"/>
  <c r="EZ27" i="5"/>
  <c r="BX40" i="5"/>
  <c r="FE35" i="5"/>
  <c r="AF22" i="5"/>
  <c r="AP12" i="5"/>
  <c r="BN26" i="5"/>
  <c r="AG10" i="5"/>
  <c r="AE46" i="5"/>
  <c r="BC47" i="5"/>
  <c r="B11" i="5"/>
  <c r="EP5" i="5"/>
  <c r="I44" i="5"/>
  <c r="DJ53" i="5"/>
  <c r="DA42" i="5"/>
  <c r="BY37" i="5"/>
  <c r="AX42" i="5"/>
  <c r="FB50" i="5"/>
  <c r="DB56" i="5"/>
  <c r="CW46" i="5"/>
  <c r="AW14" i="5"/>
  <c r="EA61" i="5"/>
  <c r="CB5" i="5"/>
  <c r="CB14" i="5"/>
  <c r="AQ60" i="5"/>
  <c r="DQ25" i="5"/>
  <c r="ES30" i="5"/>
  <c r="DW50" i="5"/>
  <c r="DN20" i="5"/>
  <c r="DQ35" i="5"/>
  <c r="BJ14" i="5"/>
  <c r="AJ32" i="5"/>
  <c r="BL48" i="5"/>
  <c r="CT58" i="5"/>
  <c r="ES5" i="5"/>
  <c r="DR31" i="5"/>
  <c r="BC9" i="5"/>
  <c r="AQ31" i="5"/>
  <c r="FN53" i="5"/>
  <c r="EQ10" i="5"/>
  <c r="ET37" i="5"/>
  <c r="C23" i="5"/>
  <c r="BD52" i="5"/>
  <c r="FQ64" i="5"/>
  <c r="C5" i="5"/>
  <c r="FS35" i="5"/>
  <c r="BN63" i="5"/>
  <c r="FL38" i="5"/>
  <c r="BD26" i="5"/>
  <c r="DR34" i="5"/>
  <c r="DX49" i="5"/>
  <c r="CM6" i="5"/>
  <c r="DN38" i="5"/>
  <c r="DC6" i="5"/>
  <c r="DZ19" i="5"/>
  <c r="CC15" i="5"/>
  <c r="BC39" i="5"/>
  <c r="M6" i="5"/>
  <c r="AX46" i="5"/>
  <c r="AB3" i="5"/>
  <c r="AR10" i="5"/>
  <c r="DF51" i="5"/>
  <c r="C7" i="5"/>
  <c r="AW20" i="5"/>
  <c r="DK43" i="5"/>
  <c r="Y44" i="5"/>
  <c r="CD15" i="5"/>
  <c r="BM52" i="5"/>
  <c r="Q28" i="5"/>
  <c r="CK37" i="5"/>
  <c r="CL19" i="5"/>
  <c r="DQ44" i="5"/>
  <c r="CA32" i="5"/>
  <c r="CL7" i="5"/>
  <c r="CN12" i="5"/>
  <c r="DM31" i="5"/>
  <c r="CG22" i="5"/>
  <c r="ES28" i="5"/>
  <c r="BP38" i="5"/>
  <c r="CG35" i="5"/>
  <c r="EL58" i="5"/>
  <c r="AY57" i="5"/>
  <c r="EL7" i="5"/>
  <c r="BY51" i="5"/>
  <c r="AH52" i="5"/>
  <c r="EB48" i="5"/>
  <c r="CQ55" i="5"/>
  <c r="EC59" i="5"/>
  <c r="DF24" i="5"/>
  <c r="DC32" i="5"/>
  <c r="DZ15" i="5"/>
  <c r="AH50" i="5"/>
  <c r="FT25" i="5"/>
  <c r="CU17" i="5"/>
  <c r="EE60" i="5"/>
  <c r="FI5" i="5"/>
  <c r="DP30" i="5"/>
  <c r="CD3" i="5"/>
  <c r="BQ32" i="5"/>
  <c r="DY5" i="5"/>
  <c r="DH32" i="5"/>
  <c r="DP51" i="5"/>
  <c r="AK40" i="5"/>
  <c r="DW10" i="5"/>
  <c r="AU17" i="5"/>
  <c r="EJ31" i="5"/>
  <c r="Z33" i="5"/>
  <c r="FP63" i="5"/>
  <c r="AG14" i="5"/>
  <c r="CU27" i="5"/>
  <c r="Y47" i="5"/>
  <c r="BG8" i="5"/>
  <c r="FS53" i="5"/>
  <c r="CF63" i="5"/>
  <c r="BV4" i="5"/>
  <c r="EP39" i="5"/>
  <c r="EC25" i="5"/>
  <c r="BY26" i="5"/>
  <c r="AI13" i="5"/>
  <c r="BH15" i="5"/>
  <c r="EC26" i="5"/>
  <c r="D41" i="5"/>
  <c r="CN29" i="5"/>
  <c r="CH60" i="5"/>
  <c r="CO40" i="5"/>
  <c r="FE29" i="5"/>
  <c r="FO53" i="5"/>
  <c r="E25" i="5"/>
  <c r="AT11" i="5"/>
  <c r="P8" i="5"/>
  <c r="C18" i="5"/>
  <c r="DP63" i="5"/>
  <c r="DY20" i="5"/>
  <c r="CA8" i="5"/>
  <c r="AZ24" i="5"/>
  <c r="CS36" i="5"/>
  <c r="U5" i="5"/>
  <c r="L23" i="5"/>
  <c r="AS20" i="5"/>
  <c r="FA10" i="5"/>
  <c r="V39" i="5"/>
  <c r="DK15" i="5"/>
  <c r="BU6" i="5"/>
  <c r="BB8" i="5"/>
  <c r="BJ46" i="5"/>
  <c r="DV63" i="5"/>
  <c r="DS39" i="5"/>
  <c r="FG29" i="5"/>
  <c r="DA17" i="5"/>
  <c r="DX53" i="5"/>
  <c r="BV3" i="5"/>
  <c r="BM54" i="5"/>
  <c r="AX21" i="5"/>
  <c r="FD52" i="5"/>
  <c r="AQ39" i="5"/>
  <c r="Z29" i="5"/>
  <c r="DC56" i="5"/>
  <c r="AF52" i="5"/>
  <c r="U21" i="5"/>
  <c r="O5" i="5"/>
  <c r="EF51" i="5"/>
  <c r="FR24" i="5"/>
  <c r="EW4" i="5"/>
  <c r="EF53" i="5"/>
  <c r="H9" i="5"/>
  <c r="EE47" i="5"/>
  <c r="V10" i="5"/>
  <c r="FN54" i="5"/>
  <c r="EI18" i="5"/>
  <c r="U16" i="5"/>
  <c r="EU34" i="5"/>
  <c r="AP50" i="5"/>
  <c r="FE21" i="5"/>
  <c r="U29" i="5"/>
  <c r="FN11" i="5"/>
  <c r="C33" i="5"/>
  <c r="DT56" i="5"/>
  <c r="BR18" i="5"/>
  <c r="DM4" i="5"/>
  <c r="AU35" i="5"/>
  <c r="T47" i="5"/>
  <c r="DR37" i="5"/>
  <c r="AD21" i="5"/>
  <c r="AH35" i="5"/>
  <c r="F3" i="5"/>
  <c r="EO63" i="5"/>
  <c r="EX25" i="5"/>
  <c r="FN44" i="5"/>
  <c r="FA60" i="5"/>
  <c r="BR57" i="5"/>
  <c r="AG54" i="5"/>
  <c r="EE53" i="5"/>
  <c r="DZ58" i="5"/>
  <c r="BE5" i="5"/>
  <c r="X24" i="5"/>
  <c r="DA61" i="5"/>
  <c r="DB57" i="5"/>
  <c r="CP60" i="5"/>
  <c r="CK18" i="5"/>
  <c r="DS31" i="5"/>
  <c r="EN37" i="5"/>
  <c r="BU7" i="5"/>
  <c r="DN36" i="5"/>
  <c r="EM57" i="5"/>
  <c r="CU22" i="5"/>
  <c r="CJ21" i="5"/>
  <c r="FT45" i="5"/>
  <c r="AF24" i="5"/>
  <c r="AP24" i="5"/>
  <c r="ER25" i="5"/>
  <c r="DP31" i="5"/>
  <c r="Z30" i="5"/>
  <c r="R33" i="5"/>
  <c r="CZ58" i="5"/>
  <c r="EM29" i="5"/>
  <c r="FP31" i="5"/>
  <c r="DM23" i="5"/>
  <c r="BX47" i="5"/>
  <c r="CP17" i="5"/>
  <c r="EI14" i="5"/>
  <c r="V64" i="5"/>
  <c r="CX40" i="5"/>
  <c r="CY10" i="5"/>
  <c r="FF24" i="5"/>
  <c r="CS45" i="5"/>
  <c r="FG27" i="5"/>
  <c r="BR6" i="5"/>
  <c r="FC26" i="5"/>
  <c r="Q29" i="5"/>
  <c r="DF15" i="5"/>
  <c r="DQ55" i="5"/>
  <c r="AZ22" i="5"/>
  <c r="BH39" i="5"/>
  <c r="AJ40" i="5"/>
  <c r="N41" i="5"/>
  <c r="EG50" i="5"/>
  <c r="DE24" i="5"/>
  <c r="CF4" i="5"/>
  <c r="P11" i="5"/>
  <c r="CN60" i="5"/>
  <c r="EZ3" i="5"/>
  <c r="AP54" i="5"/>
  <c r="EE46" i="5"/>
  <c r="DL31" i="5"/>
  <c r="FK9" i="5"/>
  <c r="BL33" i="5"/>
  <c r="BT42" i="5"/>
  <c r="AX38" i="5"/>
  <c r="CX13" i="5"/>
  <c r="FS5" i="5"/>
  <c r="DA48" i="5"/>
  <c r="BD11" i="5"/>
  <c r="DH4" i="5"/>
  <c r="EK40" i="5"/>
  <c r="BT60" i="5"/>
  <c r="EP42" i="5"/>
  <c r="I3" i="5"/>
  <c r="DE50" i="5"/>
  <c r="EV38" i="5"/>
  <c r="DU24" i="5"/>
  <c r="W44" i="5"/>
  <c r="DE52" i="5"/>
  <c r="K32" i="5"/>
  <c r="FR47" i="5"/>
  <c r="BC34" i="5"/>
  <c r="BZ32" i="5"/>
  <c r="AU8" i="5"/>
  <c r="DA25" i="5"/>
  <c r="BR37" i="5"/>
  <c r="AT40" i="5"/>
  <c r="AT51" i="5"/>
  <c r="BI54" i="5"/>
  <c r="BD28" i="5"/>
  <c r="EX15" i="5"/>
  <c r="AT56" i="5"/>
  <c r="EY39" i="5"/>
  <c r="CU61" i="5"/>
  <c r="FF22" i="5"/>
  <c r="FL18" i="5"/>
  <c r="ES27" i="5"/>
  <c r="U14" i="5"/>
  <c r="FC57" i="5"/>
  <c r="AK34" i="5"/>
  <c r="FT3" i="5"/>
  <c r="AB21" i="5"/>
  <c r="DL41" i="5"/>
  <c r="DM35" i="5"/>
  <c r="FI25" i="5"/>
  <c r="EO36" i="5"/>
  <c r="FN38" i="5"/>
  <c r="CE51" i="5"/>
  <c r="P20" i="5"/>
  <c r="DH17" i="5"/>
  <c r="FH22" i="5"/>
  <c r="CH16" i="5"/>
  <c r="BZ42" i="5"/>
  <c r="X8" i="5"/>
  <c r="DY18" i="5"/>
  <c r="CJ22" i="5"/>
  <c r="BI17" i="5"/>
  <c r="EF7" i="5"/>
  <c r="EE45" i="5"/>
  <c r="AK20" i="5"/>
  <c r="BT8" i="5"/>
  <c r="EY3" i="5"/>
  <c r="ET3" i="5"/>
  <c r="ER29" i="5"/>
  <c r="FA23" i="5"/>
  <c r="EC11" i="5"/>
  <c r="AD15" i="5"/>
  <c r="BD37" i="5"/>
  <c r="CH10" i="5"/>
  <c r="DI27" i="5"/>
  <c r="U15" i="5"/>
  <c r="DE9" i="5"/>
  <c r="CL46" i="5"/>
  <c r="BO7" i="5"/>
  <c r="AP9" i="5"/>
  <c r="CV32" i="5"/>
  <c r="FE33" i="5"/>
  <c r="FM18" i="5"/>
  <c r="DN43" i="5"/>
  <c r="DC61" i="5"/>
  <c r="DW52" i="5"/>
  <c r="CM33" i="5"/>
  <c r="BB54" i="5"/>
  <c r="AG8" i="5"/>
  <c r="EX33" i="5"/>
  <c r="Z26" i="5"/>
  <c r="EG23" i="5"/>
  <c r="AJ36" i="5"/>
  <c r="CE12" i="5"/>
  <c r="DK63" i="5"/>
  <c r="EZ28" i="5"/>
  <c r="AM19" i="5"/>
  <c r="DR3" i="5"/>
  <c r="AT6" i="5"/>
  <c r="EZ46" i="5"/>
  <c r="DC59" i="5"/>
  <c r="T44" i="5"/>
  <c r="CY61" i="5"/>
  <c r="AI52" i="5"/>
  <c r="ES29" i="5"/>
  <c r="DU50" i="5"/>
  <c r="DZ48" i="5"/>
  <c r="CY48" i="5"/>
  <c r="BQ50" i="5"/>
  <c r="FP21" i="5"/>
  <c r="BQ48" i="5"/>
  <c r="DG25" i="5"/>
  <c r="DT62" i="5"/>
  <c r="FB34" i="5"/>
  <c r="AJ52" i="5"/>
  <c r="BX16" i="5"/>
  <c r="AT25" i="5"/>
  <c r="DE11" i="5"/>
  <c r="DE57" i="5"/>
  <c r="AI21" i="5"/>
  <c r="DX43" i="5"/>
  <c r="K21" i="5"/>
  <c r="EH51" i="5"/>
  <c r="CW13" i="5"/>
  <c r="C34" i="5"/>
  <c r="N45" i="5"/>
  <c r="CH22" i="5"/>
  <c r="EG19" i="5"/>
  <c r="BS44" i="5"/>
  <c r="EI62" i="5"/>
  <c r="EQ35" i="5"/>
  <c r="DS47" i="5"/>
  <c r="M55" i="5"/>
  <c r="DW63" i="5"/>
  <c r="L15" i="5"/>
  <c r="M35" i="5"/>
  <c r="BD39" i="5"/>
  <c r="EZ35" i="5"/>
  <c r="BD4" i="5"/>
  <c r="CT38" i="5"/>
  <c r="U45" i="5"/>
  <c r="CR57" i="5"/>
  <c r="EJ15" i="5"/>
  <c r="FM52" i="5"/>
  <c r="DS19" i="5"/>
  <c r="AW31" i="5"/>
  <c r="DV28" i="5"/>
  <c r="EU55" i="5"/>
  <c r="FN10" i="5"/>
  <c r="EA25" i="5"/>
  <c r="AD3" i="5"/>
  <c r="BJ62" i="5"/>
  <c r="N3" i="5"/>
  <c r="DO55" i="5"/>
  <c r="BI4" i="5"/>
  <c r="DB12" i="5"/>
  <c r="DX64" i="5"/>
  <c r="DM45" i="5"/>
  <c r="EF15" i="5"/>
  <c r="AL17" i="5"/>
  <c r="EX31" i="5"/>
  <c r="CN51" i="5"/>
  <c r="FQ6" i="5"/>
  <c r="AT8" i="5"/>
  <c r="FC12" i="5"/>
  <c r="FJ34" i="5"/>
  <c r="BA53" i="5"/>
  <c r="Q64" i="5"/>
  <c r="DV31" i="5"/>
  <c r="DZ17" i="5"/>
  <c r="BU24" i="5"/>
  <c r="BG14" i="5"/>
  <c r="EW24" i="5"/>
  <c r="DY23" i="5"/>
  <c r="FK37" i="5"/>
  <c r="EQ40" i="5"/>
  <c r="BX23" i="5"/>
  <c r="FQ44" i="5"/>
  <c r="FR7" i="5"/>
  <c r="FD28" i="5"/>
  <c r="EM9" i="5"/>
  <c r="AU26" i="5"/>
  <c r="BJ40" i="5"/>
  <c r="CI52" i="5"/>
  <c r="AE35" i="5"/>
  <c r="EW34" i="5"/>
  <c r="EX43" i="5"/>
  <c r="CL13" i="5"/>
  <c r="DD45" i="5"/>
  <c r="ET14" i="5"/>
  <c r="AZ33" i="5"/>
  <c r="FN26" i="5"/>
  <c r="AO62" i="5"/>
  <c r="AL7" i="5"/>
  <c r="V41" i="5"/>
  <c r="EQ13" i="5"/>
  <c r="DN48" i="5"/>
  <c r="O6" i="5"/>
  <c r="FQ53" i="5"/>
  <c r="DE64" i="5"/>
  <c r="AO29" i="5"/>
  <c r="Y19" i="5"/>
  <c r="CC31" i="5"/>
  <c r="AA20" i="5"/>
  <c r="EU36" i="5"/>
  <c r="BW18" i="5"/>
  <c r="CD35" i="5"/>
  <c r="CY4" i="5"/>
  <c r="DI24" i="5"/>
  <c r="CB47" i="5"/>
  <c r="CB24" i="5"/>
  <c r="DQ10" i="5"/>
  <c r="FF52" i="5"/>
  <c r="CM32" i="5"/>
  <c r="EP3" i="5"/>
  <c r="AO15" i="5"/>
  <c r="CP16" i="5"/>
  <c r="FD62" i="5"/>
  <c r="DR18" i="5"/>
  <c r="O26" i="5"/>
  <c r="EZ61" i="5"/>
  <c r="BF35" i="5"/>
  <c r="EF44" i="5"/>
  <c r="AG56" i="5"/>
  <c r="BT10" i="5"/>
  <c r="BJ28" i="5"/>
  <c r="DG27" i="5"/>
  <c r="BM9" i="5"/>
  <c r="BL27" i="5"/>
  <c r="DC55" i="5"/>
  <c r="AQ10" i="5"/>
  <c r="AQ6" i="5"/>
  <c r="CZ5" i="5"/>
  <c r="CU37" i="5"/>
  <c r="X13" i="5"/>
  <c r="E12" i="5"/>
  <c r="BM43" i="5"/>
  <c r="AF38" i="5"/>
  <c r="AQ27" i="5"/>
  <c r="P49" i="5"/>
  <c r="BF32" i="5"/>
  <c r="D24" i="5"/>
  <c r="ET28" i="5"/>
  <c r="EX5" i="5"/>
  <c r="L30" i="5"/>
  <c r="CI34" i="5"/>
  <c r="AY51" i="5"/>
  <c r="K18" i="5"/>
  <c r="CE27" i="5"/>
  <c r="DQ39" i="5"/>
  <c r="FT52" i="5"/>
  <c r="U38" i="5"/>
  <c r="BZ60" i="5"/>
  <c r="DM8" i="5"/>
  <c r="EG51" i="5"/>
  <c r="CX63" i="5"/>
  <c r="AM64" i="5"/>
  <c r="BE32" i="5"/>
  <c r="EH29" i="5"/>
  <c r="AT48" i="5"/>
  <c r="AF14" i="5"/>
  <c r="DJ24" i="5"/>
  <c r="DS50" i="5"/>
  <c r="DM21" i="5"/>
  <c r="B15" i="5"/>
  <c r="FB12" i="5"/>
  <c r="BW15" i="5"/>
  <c r="AH16" i="5"/>
  <c r="AO6" i="5"/>
  <c r="E53" i="5"/>
  <c r="FC49" i="5"/>
  <c r="DX26" i="5"/>
  <c r="CW42" i="5"/>
  <c r="X36" i="5"/>
  <c r="CW19" i="5"/>
  <c r="AD41" i="5"/>
  <c r="BF24" i="5"/>
  <c r="BP5" i="5"/>
  <c r="FS50" i="5"/>
  <c r="DR33" i="5"/>
  <c r="CM51" i="5"/>
  <c r="DB25" i="5"/>
  <c r="DO49" i="5"/>
  <c r="G42" i="5"/>
  <c r="AI22" i="5"/>
  <c r="EC21" i="5"/>
  <c r="BE44" i="5"/>
  <c r="DD50" i="5"/>
  <c r="BG36" i="5"/>
  <c r="AO43" i="5"/>
  <c r="U3" i="5"/>
  <c r="BB14" i="5"/>
  <c r="BM23" i="5"/>
  <c r="CW48" i="5"/>
  <c r="CB13" i="5"/>
  <c r="X10" i="5"/>
  <c r="EI5" i="5"/>
  <c r="FQ38" i="5"/>
  <c r="FN18" i="5"/>
  <c r="EX17" i="5"/>
  <c r="EZ39" i="5"/>
  <c r="AP19" i="5"/>
  <c r="BM12" i="5"/>
  <c r="C36" i="5"/>
  <c r="DS37" i="5"/>
  <c r="AL64" i="5"/>
  <c r="AP61" i="5"/>
  <c r="AK25" i="5"/>
  <c r="AN46" i="5"/>
  <c r="AM10" i="5"/>
  <c r="EH34" i="5"/>
  <c r="EH24" i="5"/>
  <c r="BH22" i="5"/>
  <c r="AF43" i="5"/>
  <c r="DC54" i="5"/>
  <c r="CE47" i="5"/>
  <c r="AR13" i="5"/>
  <c r="DH19" i="5"/>
  <c r="EF37" i="5"/>
  <c r="EE42" i="5"/>
  <c r="AF31" i="5"/>
  <c r="BT28" i="5"/>
  <c r="DA37" i="5"/>
  <c r="EJ47" i="5"/>
  <c r="H61" i="5"/>
  <c r="DK26" i="5"/>
  <c r="BC25" i="5"/>
  <c r="FF38" i="5"/>
  <c r="DH63" i="5"/>
  <c r="EO46" i="5"/>
  <c r="BE53" i="5"/>
  <c r="EA7" i="5"/>
  <c r="BK23" i="5"/>
  <c r="AD44" i="5"/>
  <c r="L14" i="5"/>
  <c r="AV38" i="5"/>
  <c r="DW61" i="5"/>
  <c r="K35" i="5"/>
  <c r="AB63" i="5"/>
  <c r="BW36" i="5"/>
  <c r="BO49" i="5"/>
  <c r="CQ26" i="5"/>
  <c r="AR17" i="5"/>
  <c r="K61" i="5"/>
  <c r="DN56" i="5"/>
  <c r="DO53" i="5"/>
  <c r="CC28" i="5"/>
  <c r="CP19" i="5"/>
  <c r="FP27" i="5"/>
  <c r="CC59" i="5"/>
  <c r="AM15" i="5"/>
  <c r="FF34" i="5"/>
  <c r="DT19" i="5"/>
  <c r="AP35" i="5"/>
  <c r="EY15" i="5"/>
  <c r="AK16" i="5"/>
  <c r="FO31" i="5"/>
  <c r="AP21" i="5"/>
  <c r="AZ54" i="5"/>
  <c r="AS22" i="5"/>
  <c r="AB5" i="5"/>
  <c r="CP3" i="5"/>
  <c r="DU5" i="5"/>
  <c r="EZ53" i="5"/>
  <c r="DI49" i="5"/>
  <c r="AG41" i="5"/>
  <c r="BA34" i="5"/>
  <c r="FI58" i="5"/>
  <c r="DD57" i="5"/>
  <c r="DM41" i="5"/>
  <c r="AN6" i="5"/>
  <c r="ES20" i="5"/>
  <c r="FJ30" i="5"/>
  <c r="DN23" i="5"/>
  <c r="EW44" i="5"/>
  <c r="DG39" i="5"/>
  <c r="DX12" i="5"/>
  <c r="BB58" i="5"/>
  <c r="X31" i="5"/>
  <c r="BF3" i="5"/>
  <c r="CO25" i="5"/>
  <c r="FQ31" i="5"/>
  <c r="H25" i="5"/>
  <c r="FR11" i="5"/>
  <c r="CG44" i="5"/>
  <c r="O8" i="5"/>
  <c r="Z53" i="5"/>
  <c r="CM8" i="5"/>
  <c r="BU16" i="5"/>
  <c r="CG36" i="5"/>
  <c r="FM32" i="5"/>
  <c r="BS40" i="5"/>
  <c r="AO38" i="5"/>
  <c r="FB41" i="5"/>
  <c r="CP37" i="5"/>
  <c r="EU44" i="5"/>
  <c r="P18" i="5"/>
  <c r="AU10" i="5"/>
  <c r="EG12" i="5"/>
  <c r="FL23" i="5"/>
  <c r="O41" i="5"/>
  <c r="AS37" i="5"/>
  <c r="H4" i="5"/>
  <c r="BA59" i="5"/>
  <c r="Y25" i="5"/>
  <c r="EX23" i="5"/>
  <c r="AB26" i="5"/>
  <c r="FA49" i="5"/>
  <c r="P42" i="5"/>
  <c r="BF33" i="5"/>
  <c r="AI23" i="5"/>
  <c r="CH35" i="5"/>
  <c r="BM27" i="5"/>
  <c r="EL43" i="5"/>
  <c r="FJ15" i="5"/>
  <c r="AD50" i="5"/>
  <c r="DC4" i="5"/>
  <c r="BP60" i="5"/>
  <c r="EK39" i="5"/>
  <c r="DE59" i="5"/>
  <c r="DE19" i="5"/>
  <c r="BY7" i="5"/>
  <c r="Q47" i="5"/>
  <c r="FD39" i="5"/>
  <c r="FB19" i="5"/>
  <c r="BG18" i="5"/>
  <c r="BW14" i="5"/>
  <c r="EX49" i="5"/>
  <c r="AD45" i="5"/>
  <c r="DG63" i="5"/>
  <c r="AK23" i="5"/>
  <c r="CH32" i="5"/>
  <c r="AL3" i="5"/>
  <c r="AQ25" i="5"/>
  <c r="EV42" i="5"/>
  <c r="W8" i="5"/>
  <c r="DM63" i="5"/>
  <c r="AK48" i="5"/>
  <c r="BJ57" i="5"/>
  <c r="CF38" i="5"/>
  <c r="FK11" i="5"/>
  <c r="T55" i="5"/>
  <c r="BN6" i="5"/>
  <c r="V60" i="5"/>
  <c r="BZ11" i="5"/>
  <c r="CA28" i="5"/>
  <c r="DZ16" i="5"/>
  <c r="DS42" i="5"/>
  <c r="FS26" i="5"/>
  <c r="BI3" i="5"/>
  <c r="EB62" i="5"/>
  <c r="DR14" i="5"/>
  <c r="FE9" i="5"/>
  <c r="FL34" i="5"/>
  <c r="EG43" i="5"/>
  <c r="U23" i="5"/>
  <c r="DZ59" i="5"/>
  <c r="DI29" i="5"/>
  <c r="AZ8" i="5"/>
  <c r="DL6" i="5"/>
  <c r="ET21" i="5"/>
  <c r="FR23" i="5"/>
  <c r="BI48" i="5"/>
  <c r="FQ19" i="5"/>
  <c r="BR62" i="5"/>
  <c r="BC8" i="5"/>
  <c r="DE23" i="5"/>
  <c r="AH13" i="5"/>
  <c r="AV39" i="5"/>
  <c r="EA63" i="5"/>
  <c r="EX36" i="5"/>
  <c r="BY21" i="5"/>
  <c r="DL63" i="5"/>
  <c r="CP34" i="5"/>
  <c r="BB18" i="5"/>
  <c r="AH4" i="5"/>
  <c r="DT32" i="5"/>
  <c r="BT59" i="5"/>
  <c r="AN49" i="5"/>
  <c r="K19" i="5"/>
  <c r="FD51" i="5"/>
  <c r="FF40" i="5"/>
  <c r="FC62" i="5"/>
  <c r="DU58" i="5"/>
  <c r="AN11" i="5"/>
  <c r="V14" i="5"/>
  <c r="EZ23" i="5"/>
  <c r="BR14" i="5"/>
  <c r="BY39" i="5"/>
  <c r="AV18" i="5"/>
  <c r="EN39" i="5"/>
  <c r="FM19" i="5"/>
  <c r="AF40" i="5"/>
  <c r="EK54" i="5"/>
  <c r="Z4" i="5"/>
  <c r="EW35" i="5"/>
  <c r="AK7" i="5"/>
  <c r="AI10" i="5"/>
  <c r="EV54" i="5"/>
  <c r="BH23" i="5"/>
  <c r="FP45" i="5"/>
  <c r="EI42" i="5"/>
  <c r="N5" i="5"/>
  <c r="CB15" i="5"/>
  <c r="EO55" i="5"/>
  <c r="DM30" i="5"/>
  <c r="AE10" i="5"/>
  <c r="CI51" i="5"/>
  <c r="AW57" i="5"/>
  <c r="ET60" i="5"/>
  <c r="DP13" i="5"/>
  <c r="CB50" i="5"/>
  <c r="EC64" i="5"/>
  <c r="CR62" i="5"/>
  <c r="R51" i="5"/>
  <c r="Q23" i="5"/>
  <c r="BF10" i="5"/>
  <c r="CO19" i="5"/>
  <c r="AV11" i="5"/>
  <c r="EK4" i="5"/>
  <c r="N10" i="5"/>
  <c r="Q18" i="5"/>
  <c r="DY64" i="5"/>
  <c r="AZ59" i="5"/>
  <c r="CC4" i="5"/>
  <c r="CO44" i="5"/>
  <c r="AX5" i="5"/>
  <c r="DT31" i="5"/>
  <c r="EI43" i="5"/>
  <c r="AV14" i="5"/>
  <c r="CR42" i="5"/>
  <c r="EH27" i="5"/>
  <c r="AL4" i="5"/>
  <c r="AP36" i="5"/>
  <c r="FB20" i="5"/>
  <c r="AR46" i="5"/>
  <c r="FM54" i="5"/>
  <c r="ET34" i="5"/>
  <c r="EH35" i="5"/>
  <c r="CG16" i="5"/>
  <c r="AA5" i="5"/>
  <c r="ES42" i="5"/>
  <c r="BM45" i="5"/>
  <c r="FS10" i="5"/>
  <c r="EI28" i="5"/>
  <c r="AP34" i="5"/>
  <c r="Q36" i="5"/>
  <c r="AV43" i="5"/>
  <c r="BI41" i="5"/>
  <c r="FT61" i="5"/>
  <c r="CS56" i="5"/>
  <c r="CT8" i="5"/>
  <c r="EW36" i="5"/>
  <c r="CD13" i="5"/>
  <c r="EJ19" i="5"/>
  <c r="W31" i="5"/>
  <c r="BM62" i="5"/>
  <c r="DU45" i="5"/>
  <c r="FR10" i="5"/>
  <c r="FG46" i="5"/>
  <c r="CA27" i="5"/>
  <c r="FP7" i="5"/>
  <c r="AT20" i="5"/>
  <c r="DB47" i="5"/>
  <c r="EY26" i="5"/>
  <c r="T21" i="5"/>
  <c r="ED5" i="5"/>
  <c r="FB18" i="5"/>
  <c r="C53" i="5"/>
  <c r="FK17" i="5"/>
  <c r="BE10" i="5"/>
  <c r="EW50" i="5"/>
  <c r="DU12" i="5"/>
  <c r="AV23" i="5"/>
  <c r="DK58" i="5"/>
  <c r="CS19" i="5"/>
  <c r="FJ17" i="5"/>
  <c r="AX13" i="5"/>
  <c r="J17" i="5"/>
  <c r="CS3" i="5"/>
  <c r="AS39" i="5"/>
  <c r="BU8" i="5"/>
  <c r="FT21" i="5"/>
  <c r="EK44" i="5"/>
  <c r="ER3" i="5"/>
  <c r="FN30" i="5"/>
  <c r="DG38" i="5"/>
  <c r="BY55" i="5"/>
  <c r="CJ31" i="5"/>
  <c r="BD32" i="5"/>
  <c r="BJ51" i="5"/>
  <c r="CR29" i="5"/>
  <c r="AA23" i="5"/>
  <c r="P33" i="5"/>
  <c r="CS39" i="5"/>
  <c r="CB54" i="5"/>
  <c r="DR6" i="5"/>
  <c r="EQ39" i="5"/>
  <c r="Y52" i="5"/>
  <c r="AT41" i="5"/>
  <c r="W16" i="5"/>
  <c r="BN35" i="5"/>
  <c r="CO11" i="5"/>
  <c r="AY9" i="5"/>
  <c r="CJ44" i="5"/>
  <c r="BB38" i="5"/>
  <c r="FO14" i="5"/>
  <c r="AG4" i="5"/>
  <c r="BR15" i="5"/>
  <c r="EH46" i="5"/>
  <c r="DI17" i="5"/>
  <c r="CT24" i="5"/>
  <c r="DH18" i="5"/>
  <c r="CY29" i="5"/>
  <c r="EI39" i="5"/>
  <c r="BV56" i="5"/>
  <c r="CM10" i="5"/>
  <c r="FM56" i="5"/>
  <c r="EI56" i="5"/>
  <c r="AH53" i="5"/>
  <c r="DP40" i="5"/>
  <c r="V29" i="5"/>
  <c r="EU40" i="5"/>
  <c r="BJ31" i="5"/>
  <c r="DW28" i="5"/>
  <c r="FC7" i="5"/>
  <c r="FP16" i="5"/>
  <c r="FS46" i="5"/>
  <c r="FD3" i="5"/>
  <c r="J21" i="5"/>
  <c r="EN15" i="5"/>
  <c r="DG16" i="5"/>
  <c r="ED54" i="5"/>
  <c r="CB28" i="5"/>
  <c r="CC49" i="5"/>
  <c r="BJ13" i="5"/>
  <c r="CK4" i="5"/>
  <c r="DM22" i="5"/>
  <c r="DO3" i="5"/>
  <c r="DR17" i="5"/>
  <c r="AF61" i="5"/>
  <c r="EE14" i="5"/>
  <c r="AI35" i="5"/>
  <c r="EC5" i="5"/>
  <c r="AW28" i="5"/>
  <c r="EG21" i="5"/>
  <c r="CC14" i="5"/>
  <c r="BC43" i="5"/>
  <c r="EG47" i="5"/>
  <c r="P47" i="5"/>
  <c r="W52" i="5"/>
  <c r="ED53" i="5"/>
  <c r="FA15" i="5"/>
  <c r="FI29" i="5"/>
  <c r="CX43" i="5"/>
  <c r="AC26" i="5"/>
  <c r="AL22" i="5"/>
  <c r="CN39" i="5"/>
  <c r="FF44" i="5"/>
  <c r="CM15" i="5"/>
  <c r="CQ58" i="5"/>
  <c r="CU26" i="5"/>
  <c r="FA37" i="5"/>
  <c r="EG30" i="5"/>
  <c r="BS51" i="5"/>
  <c r="BQ21" i="5"/>
  <c r="BG51" i="5"/>
  <c r="FH30" i="5"/>
  <c r="FQ34" i="5"/>
  <c r="CJ36" i="5"/>
  <c r="FC19" i="5"/>
  <c r="EA37" i="5"/>
  <c r="DX14" i="5"/>
  <c r="R46" i="5"/>
  <c r="DO42" i="5"/>
  <c r="CQ61" i="5"/>
  <c r="FQ15" i="5"/>
  <c r="CL62" i="5"/>
  <c r="BY47" i="5"/>
  <c r="BV61" i="5"/>
  <c r="CL35" i="5"/>
  <c r="FT26" i="5"/>
  <c r="S32" i="5"/>
  <c r="W37" i="5"/>
  <c r="FG63" i="5"/>
  <c r="AY43" i="5"/>
  <c r="BG7" i="5"/>
  <c r="EW23" i="5"/>
  <c r="T31" i="5"/>
  <c r="FN37" i="5"/>
  <c r="DA6" i="5"/>
  <c r="EK21" i="5"/>
  <c r="FO58" i="5"/>
  <c r="DH58" i="5"/>
  <c r="AF29" i="5"/>
  <c r="CN21" i="5"/>
  <c r="U7" i="5"/>
  <c r="DG41" i="5"/>
  <c r="DB14" i="5"/>
  <c r="FS36" i="5"/>
  <c r="EO16" i="5"/>
  <c r="EP54" i="5"/>
  <c r="AH3" i="5"/>
  <c r="CA5" i="5"/>
  <c r="FR13" i="5"/>
  <c r="AX40" i="5"/>
  <c r="ER18" i="5"/>
  <c r="Q11" i="5"/>
  <c r="CC48" i="5"/>
  <c r="DK34" i="5"/>
  <c r="AY26" i="5"/>
  <c r="CE36" i="5"/>
  <c r="V7" i="5"/>
  <c r="FS60" i="5"/>
  <c r="DG64" i="5"/>
  <c r="E5" i="5"/>
  <c r="FG36" i="5"/>
  <c r="DA8" i="5"/>
  <c r="CQ63" i="5"/>
  <c r="CL53" i="5"/>
  <c r="AZ44" i="5"/>
  <c r="DG7" i="5"/>
  <c r="BL32" i="5"/>
  <c r="DO48" i="5"/>
  <c r="EX52" i="5"/>
  <c r="O11" i="5"/>
  <c r="CA35" i="5"/>
  <c r="DQ29" i="5"/>
  <c r="AH21" i="5"/>
  <c r="EC55" i="5"/>
  <c r="ET47" i="5"/>
  <c r="BL7" i="5"/>
  <c r="DV54" i="5"/>
  <c r="ER36" i="5"/>
  <c r="K50" i="5"/>
  <c r="EF25" i="5"/>
  <c r="BQ53" i="5"/>
  <c r="G7" i="5"/>
  <c r="I16" i="5"/>
  <c r="FL5" i="5"/>
  <c r="EO52" i="5"/>
  <c r="BJ43" i="5"/>
  <c r="CM43" i="5"/>
  <c r="EW8" i="5"/>
  <c r="DJ62" i="5"/>
  <c r="N57" i="5"/>
  <c r="DK37" i="5"/>
  <c r="BJ30" i="5"/>
  <c r="BY31" i="5"/>
  <c r="S14" i="5"/>
  <c r="DL61" i="5"/>
  <c r="BV14" i="5"/>
  <c r="CX5" i="5"/>
  <c r="EX38" i="5"/>
  <c r="EB58" i="5"/>
  <c r="DU64" i="5"/>
  <c r="BB55" i="5"/>
  <c r="DT8" i="5"/>
  <c r="BU17" i="5"/>
  <c r="BY18" i="5"/>
  <c r="T17" i="5"/>
  <c r="CH58" i="5"/>
  <c r="EX46" i="5"/>
  <c r="AY56" i="5"/>
  <c r="DG21" i="5"/>
  <c r="AD35" i="5"/>
  <c r="F43" i="5"/>
  <c r="AE39" i="5"/>
  <c r="D32" i="5"/>
  <c r="J43" i="5"/>
  <c r="DW16" i="5"/>
  <c r="AL47" i="5"/>
  <c r="ER54" i="5"/>
  <c r="CS17" i="5"/>
  <c r="B62" i="5"/>
  <c r="ED29" i="5"/>
  <c r="ED34" i="5"/>
  <c r="EP25" i="5"/>
  <c r="AA37" i="5"/>
  <c r="BN33" i="5"/>
  <c r="BF15" i="5"/>
  <c r="FB40" i="5"/>
  <c r="DH62" i="5"/>
  <c r="CC12" i="5"/>
  <c r="I31" i="5"/>
  <c r="DP22" i="5"/>
  <c r="DN15" i="5"/>
  <c r="BP39" i="5"/>
  <c r="BO3" i="5"/>
  <c r="EN20" i="5"/>
  <c r="ED14" i="5"/>
  <c r="U39" i="5"/>
  <c r="EZ25" i="5"/>
  <c r="AV42" i="5"/>
  <c r="P23" i="5"/>
  <c r="EO15" i="5"/>
  <c r="DD10" i="5"/>
  <c r="FI50" i="5"/>
  <c r="BN25" i="5"/>
  <c r="CP40" i="5"/>
  <c r="DQ11" i="5"/>
  <c r="AZ20" i="5"/>
  <c r="CB52" i="5"/>
  <c r="BU50" i="5"/>
  <c r="BZ28" i="5"/>
  <c r="DU11" i="5"/>
  <c r="DQ18" i="5"/>
  <c r="F5" i="5"/>
  <c r="BJ15" i="5"/>
  <c r="N51" i="5"/>
  <c r="AE21" i="5"/>
  <c r="DF27" i="5"/>
  <c r="DD51" i="5"/>
  <c r="CW3" i="5"/>
  <c r="EY55" i="5"/>
  <c r="AB25" i="5"/>
  <c r="AW13" i="5"/>
  <c r="FH16" i="5"/>
  <c r="EW42" i="5"/>
  <c r="AV58" i="5"/>
  <c r="CM11" i="5"/>
  <c r="CN17" i="5"/>
  <c r="FN12" i="5"/>
  <c r="CJ42" i="5"/>
  <c r="DP33" i="5"/>
  <c r="FD29" i="5"/>
  <c r="EJ24" i="5"/>
  <c r="AF25" i="5"/>
  <c r="BP48" i="5"/>
  <c r="DC23" i="5"/>
  <c r="EO27" i="5"/>
  <c r="BL30" i="5"/>
  <c r="FD32" i="5"/>
  <c r="AZ29" i="5"/>
  <c r="AD14" i="5"/>
  <c r="DC60" i="5"/>
  <c r="AX17" i="5"/>
  <c r="T3" i="5"/>
  <c r="AD31" i="5"/>
  <c r="N11" i="5"/>
  <c r="BH49" i="5"/>
  <c r="CD42" i="5"/>
  <c r="EZ42" i="5"/>
  <c r="EE18" i="5"/>
  <c r="DP41" i="5"/>
  <c r="AT24" i="5"/>
  <c r="CM24" i="5"/>
  <c r="EB6" i="5"/>
  <c r="AF49" i="5"/>
  <c r="AH11" i="5"/>
  <c r="BX15" i="5"/>
  <c r="BX19" i="5"/>
  <c r="H11" i="5"/>
  <c r="D19" i="5"/>
  <c r="BK24" i="5"/>
  <c r="EC27" i="5"/>
  <c r="FT24" i="5"/>
  <c r="ES3" i="5"/>
  <c r="AB54" i="5"/>
  <c r="R23" i="5"/>
  <c r="DD29" i="5"/>
  <c r="EN43" i="5"/>
  <c r="DA27" i="5"/>
  <c r="FH43" i="5"/>
  <c r="AY44" i="5"/>
  <c r="DY34" i="5"/>
  <c r="FJ23" i="5"/>
  <c r="DK24" i="5"/>
  <c r="AO22" i="5"/>
  <c r="BD19" i="5"/>
  <c r="EF19" i="5"/>
  <c r="DT26" i="5"/>
  <c r="CL5" i="5"/>
  <c r="W4" i="5"/>
  <c r="U64" i="5"/>
  <c r="EJ46" i="5"/>
  <c r="FN55" i="5"/>
  <c r="CD9" i="5"/>
  <c r="FL39" i="5"/>
  <c r="DL5" i="5"/>
  <c r="EJ11" i="5"/>
  <c r="FR44" i="5"/>
  <c r="DC39" i="5"/>
  <c r="EW61" i="5"/>
  <c r="DI40" i="5"/>
  <c r="BJ19" i="5"/>
  <c r="BR33" i="5"/>
  <c r="EX51" i="5"/>
  <c r="AT36" i="5"/>
  <c r="AX9" i="5"/>
  <c r="BS11" i="5"/>
  <c r="EU7" i="5"/>
  <c r="AL36" i="5"/>
  <c r="EE30" i="5"/>
  <c r="DI30" i="5"/>
  <c r="AS62" i="5"/>
  <c r="AJ20" i="5"/>
  <c r="CF16" i="5"/>
  <c r="FF11" i="5"/>
  <c r="BP17" i="5"/>
  <c r="EI58" i="5"/>
  <c r="AI41" i="5"/>
  <c r="DK52" i="5"/>
  <c r="FF17" i="5"/>
  <c r="DH37" i="5"/>
  <c r="FF62" i="5"/>
  <c r="EK35" i="5"/>
  <c r="Z31" i="5"/>
  <c r="DV6" i="5"/>
  <c r="DC11" i="5"/>
  <c r="BC53" i="5"/>
  <c r="EU17" i="5"/>
  <c r="EF27" i="5"/>
  <c r="DP61" i="5"/>
  <c r="CM39" i="5"/>
  <c r="AN16" i="5"/>
  <c r="DN60" i="5"/>
  <c r="E13" i="5"/>
  <c r="AW37" i="5"/>
  <c r="AP23" i="5"/>
  <c r="AB30" i="5"/>
  <c r="D29" i="5"/>
  <c r="ED4" i="5"/>
  <c r="CO6" i="5"/>
  <c r="CO36" i="5"/>
  <c r="Q50" i="5"/>
  <c r="DQ27" i="5"/>
  <c r="V20" i="5"/>
  <c r="FJ37" i="5"/>
  <c r="O36" i="5"/>
  <c r="CA26" i="5"/>
  <c r="CF22" i="5"/>
  <c r="AR14" i="5"/>
  <c r="T13" i="5"/>
  <c r="P31" i="5"/>
  <c r="BO28" i="5"/>
  <c r="CK39" i="5"/>
  <c r="DP57" i="5"/>
  <c r="EJ8" i="5"/>
  <c r="DY30" i="5"/>
  <c r="DD49" i="5"/>
  <c r="BH6" i="5"/>
  <c r="FM49" i="5"/>
  <c r="AS51" i="5"/>
  <c r="DD41" i="5"/>
  <c r="FG55" i="5"/>
  <c r="CR6" i="5"/>
  <c r="FP47" i="5"/>
  <c r="EF5" i="5"/>
  <c r="CR43" i="5"/>
  <c r="O39" i="5"/>
  <c r="BU9" i="5"/>
  <c r="AC28" i="5"/>
  <c r="AQ15" i="5"/>
  <c r="DK31" i="5"/>
  <c r="BU56" i="5"/>
  <c r="AS48" i="5"/>
  <c r="AO24" i="5"/>
  <c r="BO24" i="5"/>
  <c r="ET17" i="5"/>
  <c r="DX45" i="5"/>
  <c r="O57" i="5"/>
  <c r="AD25" i="5"/>
  <c r="DD39" i="5"/>
  <c r="BS35" i="5"/>
  <c r="FQ57" i="5"/>
  <c r="BE57" i="5"/>
  <c r="EA10" i="5"/>
  <c r="DH23" i="5"/>
  <c r="AI64" i="5"/>
  <c r="EU15" i="5"/>
  <c r="AX11" i="5"/>
  <c r="CD52" i="5"/>
  <c r="DC21" i="5"/>
  <c r="BK5" i="5"/>
  <c r="DK51" i="5"/>
  <c r="ES46" i="5"/>
  <c r="F37" i="5"/>
  <c r="B35" i="5"/>
  <c r="EB8" i="5"/>
  <c r="BG5" i="5"/>
  <c r="Z28" i="5"/>
  <c r="BH37" i="5"/>
  <c r="BC22" i="5"/>
  <c r="T63" i="5"/>
  <c r="DA39" i="5"/>
  <c r="BV47" i="5"/>
  <c r="ET29" i="5"/>
  <c r="FJ12" i="5"/>
  <c r="D7" i="5"/>
  <c r="FB51" i="5"/>
  <c r="AR47" i="5"/>
  <c r="B64" i="5"/>
  <c r="AP39" i="5"/>
  <c r="AW55" i="5"/>
  <c r="CM16" i="5"/>
  <c r="AF58" i="5"/>
  <c r="AA14" i="5"/>
  <c r="F52" i="5"/>
  <c r="CN19" i="5"/>
  <c r="BY60" i="5"/>
  <c r="EP29" i="5"/>
  <c r="L6" i="5"/>
  <c r="C57" i="5"/>
  <c r="AN7" i="5"/>
  <c r="BE26" i="5"/>
  <c r="EO42" i="5"/>
  <c r="B43" i="5"/>
  <c r="B28" i="5"/>
  <c r="K53" i="5"/>
  <c r="BE29" i="5"/>
  <c r="CP14" i="5"/>
  <c r="AZ31" i="5"/>
  <c r="BV40" i="5"/>
  <c r="EC28" i="5"/>
  <c r="DX35" i="5"/>
  <c r="B7" i="5"/>
  <c r="DU4" i="5"/>
  <c r="R6" i="5"/>
  <c r="BA31" i="5"/>
  <c r="P25" i="5"/>
  <c r="AQ42" i="5"/>
  <c r="DU7" i="5"/>
  <c r="FN6" i="5"/>
  <c r="BU39" i="5"/>
  <c r="EM40" i="5"/>
  <c r="FJ28" i="5"/>
  <c r="AM40" i="5"/>
  <c r="DU54" i="5"/>
  <c r="V32" i="5"/>
  <c r="CX7" i="5"/>
  <c r="BI50" i="5"/>
  <c r="CQ52" i="5"/>
  <c r="Z62" i="5"/>
  <c r="EN8" i="5"/>
  <c r="U9" i="5"/>
  <c r="AD20" i="5"/>
  <c r="FG49" i="5"/>
  <c r="BV29" i="5"/>
  <c r="AV49" i="5"/>
  <c r="EZ41" i="5"/>
  <c r="AN28" i="5"/>
  <c r="BN32" i="5"/>
  <c r="AL12" i="5"/>
  <c r="AY48" i="5"/>
  <c r="CZ57" i="5"/>
  <c r="DF25" i="5"/>
  <c r="AA56" i="5"/>
  <c r="BI36" i="5"/>
  <c r="AF11" i="5"/>
  <c r="FL51" i="5"/>
  <c r="FA36" i="5"/>
  <c r="ED48" i="5"/>
  <c r="AV15" i="5"/>
  <c r="CX48" i="5"/>
  <c r="I41" i="5"/>
  <c r="P45" i="5"/>
  <c r="BD48" i="5"/>
  <c r="DS10" i="5"/>
  <c r="AT62" i="5"/>
  <c r="EU9" i="5"/>
  <c r="EN30" i="5"/>
  <c r="EK38" i="5"/>
  <c r="W63" i="5"/>
  <c r="CK38" i="5"/>
  <c r="FA6" i="5"/>
  <c r="DQ14" i="5"/>
  <c r="AX16" i="5"/>
  <c r="FD47" i="5"/>
  <c r="AP20" i="5"/>
  <c r="AD52" i="5"/>
  <c r="U48" i="5"/>
  <c r="CV35" i="5"/>
  <c r="FL53" i="5"/>
  <c r="EY11" i="5"/>
  <c r="DY36" i="5"/>
  <c r="AQ53" i="5"/>
  <c r="DN61" i="5"/>
  <c r="EV23" i="5"/>
  <c r="CI4" i="5"/>
  <c r="DY58" i="5"/>
  <c r="BJ22" i="5"/>
  <c r="AL11" i="5"/>
  <c r="DX57" i="5"/>
  <c r="CT39" i="5"/>
  <c r="ED63" i="5"/>
  <c r="BO20" i="5"/>
  <c r="EZ49" i="5"/>
  <c r="FS24" i="5"/>
  <c r="Y22" i="5"/>
  <c r="DY33" i="5"/>
  <c r="FF32" i="5"/>
  <c r="AX57" i="5"/>
  <c r="DB33" i="5"/>
  <c r="AN36" i="5"/>
  <c r="EM60" i="5"/>
  <c r="ES17" i="5"/>
  <c r="EU46" i="5"/>
  <c r="CD59" i="5"/>
  <c r="CM55" i="5"/>
  <c r="FE52" i="5"/>
  <c r="CE25" i="5"/>
  <c r="FL14" i="5"/>
  <c r="FK45" i="5"/>
  <c r="EF20" i="5"/>
  <c r="BS13" i="5"/>
  <c r="CC7" i="5"/>
  <c r="CO10" i="5"/>
  <c r="FE12" i="5"/>
  <c r="AP6" i="5"/>
  <c r="K26" i="5"/>
  <c r="BG31" i="5"/>
  <c r="BR16" i="5"/>
  <c r="BJ37" i="5"/>
  <c r="AH14" i="5"/>
  <c r="W40" i="5"/>
  <c r="AM48" i="5"/>
  <c r="CH14" i="5"/>
  <c r="BQ28" i="5"/>
  <c r="CY49" i="5"/>
  <c r="EF16" i="5"/>
  <c r="ED39" i="5"/>
  <c r="FK13" i="5"/>
  <c r="I14" i="5"/>
  <c r="I6" i="5"/>
  <c r="S61" i="5"/>
  <c r="EU8" i="5"/>
  <c r="CN31" i="5"/>
  <c r="AT17" i="5"/>
  <c r="FK32" i="5"/>
  <c r="CV33" i="5"/>
  <c r="DB59" i="5"/>
  <c r="FI17" i="5"/>
  <c r="BP42" i="5"/>
  <c r="EQ62" i="5"/>
  <c r="DH61" i="5"/>
  <c r="I60" i="5"/>
  <c r="DF48" i="5"/>
  <c r="AS13" i="5"/>
  <c r="R22" i="5"/>
  <c r="CA18" i="5"/>
  <c r="AF8" i="5"/>
  <c r="EQ51" i="5"/>
  <c r="BI10" i="5"/>
  <c r="FI13" i="5"/>
  <c r="EU18" i="5"/>
  <c r="BO21" i="5"/>
  <c r="EI50" i="5"/>
  <c r="S54" i="5"/>
  <c r="BE62" i="5"/>
  <c r="D64" i="5"/>
  <c r="BG35" i="5"/>
  <c r="FG39" i="5"/>
  <c r="X22" i="5"/>
  <c r="EJ50" i="5"/>
  <c r="AC41" i="5"/>
  <c r="BK7" i="5"/>
  <c r="DC63" i="5"/>
  <c r="BD47" i="5"/>
  <c r="EP18" i="5"/>
  <c r="FB30" i="5"/>
  <c r="BX38" i="5"/>
  <c r="K12" i="5"/>
  <c r="CI57" i="5"/>
  <c r="AF45" i="5"/>
  <c r="CR50" i="5"/>
  <c r="EY28" i="5"/>
  <c r="CE42" i="5"/>
  <c r="DE35" i="5"/>
  <c r="DB22" i="5"/>
  <c r="CC32" i="5"/>
  <c r="DF39" i="5"/>
  <c r="FN42" i="5"/>
  <c r="EO58" i="5"/>
  <c r="EO19" i="5"/>
  <c r="FS47" i="5"/>
  <c r="K34" i="5"/>
  <c r="R7" i="5"/>
  <c r="BB21" i="5"/>
  <c r="AJ33" i="5"/>
  <c r="U53" i="5"/>
  <c r="K40" i="5"/>
  <c r="CN47" i="5"/>
  <c r="EJ61" i="5"/>
  <c r="V23" i="5"/>
  <c r="DZ31" i="5"/>
  <c r="DG58" i="5"/>
  <c r="ET15" i="5"/>
  <c r="BL11" i="5"/>
  <c r="EI44" i="5"/>
  <c r="AA6" i="5"/>
  <c r="DS56" i="5"/>
  <c r="CB17" i="5"/>
  <c r="FP38" i="5"/>
  <c r="AK45" i="5"/>
  <c r="J35" i="5"/>
  <c r="G39" i="5"/>
  <c r="DZ34" i="5"/>
  <c r="BC59" i="5"/>
  <c r="CO15" i="5"/>
  <c r="CJ5" i="5"/>
  <c r="BQ39" i="5"/>
  <c r="BF40" i="5"/>
  <c r="BB7" i="5"/>
  <c r="FE20" i="5"/>
  <c r="BC44" i="5"/>
  <c r="DL53" i="5"/>
  <c r="BG3" i="5"/>
  <c r="P22" i="5"/>
  <c r="DW19" i="5"/>
  <c r="EE7" i="5"/>
  <c r="EC16" i="5"/>
  <c r="CQ7" i="5"/>
  <c r="S47" i="5"/>
  <c r="D10" i="5"/>
  <c r="BD13" i="5"/>
  <c r="N33" i="5"/>
  <c r="AM28" i="5"/>
  <c r="EV10" i="5"/>
  <c r="J63" i="5"/>
  <c r="AX22" i="5"/>
  <c r="AJ58" i="5"/>
  <c r="C12" i="5"/>
  <c r="CD25" i="5"/>
  <c r="AW4" i="5"/>
  <c r="DZ7" i="5"/>
  <c r="BN8" i="5"/>
  <c r="EE35" i="5"/>
  <c r="BP30" i="5"/>
  <c r="DA5" i="5"/>
  <c r="DK30" i="5"/>
  <c r="DL57" i="5"/>
  <c r="EH11" i="5"/>
  <c r="DL15" i="5"/>
  <c r="V18" i="5"/>
  <c r="CX46" i="5"/>
  <c r="AC23" i="5"/>
  <c r="J9" i="5"/>
  <c r="BV7" i="5"/>
  <c r="DI5" i="5"/>
  <c r="FT17" i="5"/>
  <c r="CO60" i="5"/>
  <c r="AE4" i="5"/>
  <c r="BA15" i="5"/>
  <c r="S16" i="5"/>
  <c r="BF4" i="5"/>
  <c r="CW32" i="5"/>
  <c r="CJ12" i="5"/>
  <c r="ET27" i="5"/>
  <c r="EC23" i="5"/>
  <c r="FS32" i="5"/>
  <c r="X21" i="5"/>
  <c r="BV21" i="5"/>
  <c r="FB11" i="5"/>
  <c r="AQ49" i="5"/>
  <c r="EZ52" i="5"/>
  <c r="BO36" i="5"/>
  <c r="I12" i="5"/>
  <c r="EQ15" i="5"/>
  <c r="DE22" i="5"/>
  <c r="AK9" i="5"/>
  <c r="BT19" i="5"/>
  <c r="L54" i="5"/>
  <c r="AB31" i="5"/>
  <c r="ET31" i="5"/>
  <c r="EM32" i="5"/>
  <c r="P5" i="5"/>
  <c r="BA21" i="5"/>
  <c r="K20" i="5"/>
  <c r="EF35" i="5"/>
  <c r="W41" i="5"/>
  <c r="E55" i="5"/>
  <c r="D38" i="5"/>
  <c r="EL33" i="5"/>
  <c r="BQ17" i="5"/>
  <c r="DC43" i="5"/>
  <c r="N36" i="5"/>
  <c r="B17" i="5"/>
  <c r="CZ11" i="5"/>
  <c r="AL6" i="5"/>
  <c r="AZ58" i="5"/>
  <c r="FD16" i="5"/>
  <c r="EV56" i="5"/>
  <c r="BF37" i="5"/>
  <c r="EF55" i="5"/>
  <c r="AK31" i="5"/>
  <c r="FT18" i="5"/>
  <c r="DI28" i="5"/>
  <c r="F63" i="5"/>
  <c r="AJ42" i="5"/>
  <c r="FH64" i="5"/>
  <c r="E62" i="5"/>
  <c r="FP19" i="5"/>
  <c r="BR43" i="5"/>
  <c r="CA40" i="5"/>
  <c r="M64" i="5"/>
  <c r="U52" i="5"/>
  <c r="F64" i="5"/>
  <c r="DD61" i="5"/>
  <c r="EU43" i="5"/>
  <c r="J11" i="5"/>
  <c r="BA35" i="5"/>
  <c r="EY46" i="5"/>
  <c r="DA35" i="5"/>
  <c r="CE45" i="5"/>
  <c r="EH36" i="5"/>
  <c r="DE46" i="5"/>
  <c r="EM43" i="5"/>
  <c r="CJ61" i="5"/>
  <c r="ET8" i="5"/>
  <c r="BH36" i="5"/>
  <c r="E21" i="5"/>
  <c r="CA22" i="5"/>
  <c r="AJ62" i="5"/>
  <c r="DJ50" i="5"/>
  <c r="BE28" i="5"/>
  <c r="BC42" i="5"/>
  <c r="AQ41" i="5"/>
  <c r="C39" i="5"/>
  <c r="AZ46" i="5"/>
  <c r="DD64" i="5"/>
  <c r="DE18" i="5"/>
  <c r="BJ50" i="5"/>
  <c r="ER58" i="5"/>
  <c r="DV56" i="5"/>
  <c r="EG28" i="5"/>
  <c r="FE64" i="5"/>
  <c r="EI60" i="5"/>
  <c r="BB33" i="5"/>
  <c r="AX35" i="5"/>
  <c r="CS40" i="5"/>
  <c r="EU39" i="5"/>
  <c r="FD11" i="5"/>
  <c r="EO12" i="5"/>
  <c r="DI46" i="5"/>
  <c r="Q15" i="5"/>
  <c r="FP29" i="5"/>
  <c r="ER11" i="5"/>
  <c r="AE45" i="5"/>
  <c r="AD36" i="5"/>
  <c r="AL15" i="5"/>
  <c r="DR59" i="5"/>
  <c r="CE29" i="5"/>
  <c r="CJ32" i="5"/>
  <c r="DH8" i="5"/>
  <c r="DJ39" i="5"/>
  <c r="CS33" i="5"/>
  <c r="AR18" i="5"/>
  <c r="AA32" i="5"/>
  <c r="DX44" i="5"/>
  <c r="EY43" i="5"/>
  <c r="AU25" i="5"/>
  <c r="DS25" i="5"/>
  <c r="FQ3" i="5"/>
  <c r="AY8" i="5"/>
  <c r="FP26" i="5"/>
  <c r="CW55" i="5"/>
  <c r="BT29" i="5"/>
  <c r="M20" i="5"/>
  <c r="Z12" i="5"/>
  <c r="FD58" i="5"/>
  <c r="EP58" i="5"/>
  <c r="EG20" i="5"/>
  <c r="AI31" i="5"/>
  <c r="BK53" i="5"/>
  <c r="FO15" i="5"/>
  <c r="AL23" i="5"/>
  <c r="BU54" i="5"/>
  <c r="CY46" i="5"/>
  <c r="D26" i="5"/>
  <c r="CT21" i="5"/>
  <c r="BE50" i="5"/>
  <c r="DI7" i="5"/>
  <c r="FR39" i="5"/>
  <c r="EF22" i="5"/>
  <c r="CD31" i="5"/>
  <c r="F38" i="5"/>
  <c r="FO47" i="5"/>
  <c r="FK28" i="5"/>
  <c r="CH40" i="5"/>
  <c r="Q34" i="5"/>
  <c r="CZ3" i="5"/>
  <c r="AA3" i="5"/>
  <c r="BY30" i="5"/>
  <c r="DG45" i="5"/>
  <c r="EF32" i="5"/>
  <c r="CO31" i="5"/>
  <c r="CJ33" i="5"/>
  <c r="E32" i="5"/>
  <c r="F57" i="5"/>
  <c r="EM46" i="5"/>
  <c r="CJ24" i="5"/>
  <c r="CQ40" i="5"/>
  <c r="BD43" i="5"/>
  <c r="FK51" i="5"/>
  <c r="DN51" i="5"/>
  <c r="AS46" i="5"/>
  <c r="EX22" i="5"/>
  <c r="EC6" i="5"/>
  <c r="DY31" i="5"/>
  <c r="CW54" i="5"/>
  <c r="EK5" i="5"/>
  <c r="EX29" i="5"/>
  <c r="CX14" i="5"/>
  <c r="E64" i="5"/>
  <c r="B27" i="5"/>
  <c r="CR9" i="5"/>
  <c r="CR12" i="5"/>
  <c r="DP35" i="5"/>
  <c r="P48" i="5"/>
  <c r="BL19" i="5"/>
  <c r="AE6" i="5"/>
  <c r="FN43" i="5"/>
  <c r="CT60" i="5"/>
  <c r="AJ8" i="5"/>
  <c r="CY23" i="5"/>
  <c r="DM15" i="5"/>
  <c r="BM42" i="5"/>
  <c r="FM61" i="5"/>
  <c r="ED51" i="5"/>
  <c r="CY20" i="5"/>
  <c r="BB3" i="5"/>
  <c r="AQ22" i="5"/>
  <c r="BB63" i="5"/>
  <c r="EV30" i="5"/>
  <c r="CS29" i="5"/>
  <c r="FK22" i="5"/>
  <c r="DC10" i="5"/>
  <c r="CG9" i="5"/>
  <c r="BQ51" i="5"/>
  <c r="ED6" i="5"/>
  <c r="AB14" i="5"/>
  <c r="CN53" i="5"/>
  <c r="L22" i="5"/>
  <c r="DS34" i="5"/>
  <c r="FR17" i="5"/>
  <c r="AQ16" i="5"/>
  <c r="AS57" i="5"/>
  <c r="FQ4" i="5"/>
  <c r="BB43" i="5"/>
  <c r="AY20" i="5"/>
  <c r="EM7" i="5"/>
  <c r="EL44" i="5"/>
  <c r="DB37" i="5"/>
  <c r="FN24" i="5"/>
  <c r="AQ32" i="5"/>
  <c r="K24" i="5"/>
  <c r="AS61" i="5"/>
  <c r="ER19" i="5"/>
  <c r="AH48" i="5"/>
  <c r="ES37" i="5"/>
  <c r="DI15" i="5"/>
  <c r="ET44" i="5"/>
  <c r="V15" i="5"/>
  <c r="M17" i="5"/>
  <c r="CN3" i="5"/>
  <c r="EM25" i="5"/>
  <c r="FD42" i="5"/>
  <c r="FQ28" i="5"/>
  <c r="BF16" i="5"/>
  <c r="R61" i="5"/>
  <c r="CE54" i="5"/>
  <c r="CZ59" i="5"/>
  <c r="Y23" i="5"/>
  <c r="BK48" i="5"/>
  <c r="CI28" i="5"/>
  <c r="BW19" i="5"/>
  <c r="T6" i="5"/>
  <c r="AD57" i="5"/>
  <c r="EV47" i="5"/>
  <c r="DC53" i="5"/>
  <c r="ES14" i="5"/>
  <c r="CB16" i="5"/>
  <c r="CN37" i="5"/>
  <c r="EV26" i="5"/>
  <c r="CL15" i="5"/>
  <c r="AW32" i="5"/>
  <c r="AW50" i="5"/>
  <c r="EB44" i="5"/>
  <c r="AQ36" i="5"/>
  <c r="CD7" i="5"/>
  <c r="V3" i="5"/>
  <c r="AT61" i="5"/>
  <c r="FJ31" i="5"/>
  <c r="P7" i="5"/>
  <c r="DN22" i="5"/>
  <c r="AC31" i="5"/>
  <c r="EO7" i="5"/>
  <c r="AR31" i="5"/>
  <c r="EV24" i="5"/>
  <c r="BA30" i="5"/>
  <c r="CP55" i="5"/>
  <c r="CI12" i="5"/>
  <c r="DV39" i="5"/>
  <c r="EV27" i="5"/>
  <c r="CO18" i="5"/>
  <c r="DZ14" i="5"/>
  <c r="DU48" i="5"/>
  <c r="CB12" i="5"/>
  <c r="BP20" i="5"/>
  <c r="CS47" i="5"/>
  <c r="EL22" i="5"/>
  <c r="D22" i="5"/>
  <c r="CZ16" i="5"/>
  <c r="H28" i="5"/>
  <c r="BT11" i="5"/>
  <c r="AE5" i="5"/>
  <c r="FS45" i="5"/>
  <c r="AS45" i="5"/>
  <c r="FO25" i="5"/>
  <c r="EM52" i="5"/>
  <c r="BW53" i="5"/>
  <c r="BI39" i="5"/>
  <c r="K41" i="5"/>
  <c r="DQ5" i="5"/>
  <c r="FF21" i="5"/>
  <c r="FS20" i="5"/>
  <c r="CX17" i="5"/>
  <c r="FK3" i="5"/>
  <c r="BB15" i="5"/>
  <c r="H63" i="5"/>
  <c r="ER8" i="5"/>
  <c r="BV16" i="5"/>
  <c r="CJ41" i="5"/>
  <c r="CV39" i="5"/>
  <c r="BB28" i="5"/>
  <c r="CR28" i="5"/>
  <c r="FS41" i="5"/>
  <c r="CD24" i="5"/>
  <c r="FC22" i="5"/>
  <c r="AD16" i="5"/>
  <c r="EK7" i="5"/>
  <c r="CH44" i="5"/>
  <c r="EK43" i="5"/>
  <c r="CV10" i="5"/>
  <c r="CD4" i="5"/>
  <c r="CG6" i="5"/>
  <c r="CI3" i="5"/>
  <c r="ET41" i="5"/>
  <c r="EM44" i="5"/>
  <c r="BX54" i="5"/>
  <c r="Z25" i="5"/>
  <c r="DK11" i="5"/>
  <c r="FP8" i="5"/>
  <c r="DJ63" i="5"/>
  <c r="DQ42" i="5"/>
  <c r="CR35" i="5"/>
  <c r="FF13" i="5"/>
  <c r="FA31" i="5"/>
  <c r="AF56" i="5"/>
  <c r="EB56" i="5"/>
  <c r="AJ28" i="5"/>
  <c r="EQ25" i="5"/>
  <c r="CZ37" i="5"/>
  <c r="CQ31" i="5"/>
  <c r="FL26" i="5"/>
  <c r="CB9" i="5"/>
  <c r="AN52" i="5"/>
  <c r="AA18" i="5"/>
  <c r="BW50" i="5"/>
  <c r="BZ59" i="5"/>
  <c r="G46" i="5"/>
  <c r="N46" i="5"/>
  <c r="EP33" i="5"/>
  <c r="BI8" i="5"/>
  <c r="FT20" i="5"/>
  <c r="BX28" i="5"/>
  <c r="EE48" i="5"/>
  <c r="BB27" i="5"/>
  <c r="DQ53" i="5"/>
  <c r="BO48" i="5"/>
  <c r="BX46" i="5"/>
  <c r="AE27" i="5"/>
  <c r="DC3" i="5"/>
  <c r="AN44" i="5"/>
  <c r="AJ45" i="5"/>
  <c r="BM37" i="5"/>
  <c r="FK7" i="5"/>
  <c r="FG32" i="5"/>
  <c r="BT53" i="5"/>
  <c r="DR7" i="5"/>
  <c r="BU22" i="5"/>
  <c r="CG23" i="5"/>
  <c r="F35" i="5"/>
  <c r="FA46" i="5"/>
  <c r="EC58" i="5"/>
  <c r="BU5" i="5"/>
  <c r="BV6" i="5"/>
  <c r="CA57" i="5"/>
  <c r="DZ32" i="5"/>
  <c r="AW16" i="5"/>
  <c r="AJ41" i="5"/>
  <c r="FS13" i="5"/>
  <c r="BQ19" i="5"/>
  <c r="EK59" i="5"/>
  <c r="AR28" i="5"/>
  <c r="DU25" i="5"/>
  <c r="FS15" i="5"/>
  <c r="K3" i="5"/>
  <c r="BZ10" i="5"/>
  <c r="DU29" i="5"/>
  <c r="DW38" i="5"/>
  <c r="FI30" i="5"/>
  <c r="DH13" i="5"/>
  <c r="DV5" i="5"/>
  <c r="DE14" i="5"/>
  <c r="EO48" i="5"/>
  <c r="BZ6" i="5"/>
  <c r="DS44" i="5"/>
  <c r="EW40" i="5"/>
  <c r="FB22" i="5"/>
  <c r="BZ39" i="5"/>
  <c r="CH12" i="5"/>
  <c r="U25" i="5"/>
  <c r="AK39" i="5"/>
  <c r="AQ43" i="5"/>
  <c r="AI34" i="5"/>
  <c r="CI22" i="5"/>
  <c r="CG30" i="5"/>
  <c r="G3" i="5"/>
  <c r="AD18" i="5"/>
  <c r="AQ24" i="5"/>
  <c r="DX10" i="5"/>
  <c r="ER20" i="5"/>
  <c r="CD55" i="5"/>
  <c r="AS41" i="5"/>
  <c r="ES60" i="5"/>
  <c r="BZ19" i="5"/>
  <c r="EN38" i="5"/>
  <c r="FP20" i="5"/>
  <c r="CP42" i="5"/>
  <c r="DE48" i="5"/>
  <c r="EU19" i="5"/>
  <c r="BA5" i="5"/>
  <c r="AF21" i="5"/>
  <c r="CU46" i="5"/>
  <c r="DT36" i="5"/>
  <c r="CP44" i="5"/>
  <c r="CL29" i="5"/>
  <c r="BW51" i="5"/>
  <c r="EQ4" i="5"/>
  <c r="DW21" i="5"/>
  <c r="AQ46" i="5"/>
  <c r="AY46" i="5"/>
  <c r="BT52" i="5"/>
  <c r="AJ11" i="5"/>
  <c r="AT10" i="5"/>
  <c r="BQ11" i="5"/>
  <c r="AR52" i="5"/>
  <c r="CZ53" i="5"/>
  <c r="B48" i="5"/>
  <c r="BJ18" i="5"/>
  <c r="DB28" i="5"/>
  <c r="DG50" i="5"/>
  <c r="EU60" i="5"/>
  <c r="CE23" i="5"/>
  <c r="AI18" i="5"/>
  <c r="F19" i="5"/>
  <c r="BY53" i="5"/>
  <c r="FI40" i="5"/>
  <c r="AX47" i="5"/>
  <c r="DR29" i="5"/>
  <c r="BA20" i="5"/>
  <c r="E57" i="5"/>
  <c r="EY40" i="5"/>
  <c r="BL58" i="5"/>
  <c r="AB53" i="5"/>
  <c r="BG16" i="5"/>
  <c r="C27" i="5"/>
  <c r="F29" i="5"/>
  <c r="E27" i="5"/>
  <c r="BS34" i="5"/>
  <c r="AW21" i="5"/>
  <c r="EH42" i="5"/>
  <c r="Y27" i="5"/>
  <c r="AO59" i="5"/>
  <c r="ET43" i="5"/>
  <c r="FK36" i="5"/>
  <c r="B38" i="5"/>
  <c r="DL48" i="5"/>
  <c r="CQ54" i="5"/>
  <c r="BF21" i="5"/>
  <c r="U8" i="5"/>
  <c r="AP13" i="5"/>
  <c r="AP42" i="5"/>
  <c r="AD47" i="5"/>
  <c r="DQ43" i="5"/>
  <c r="AJ23" i="5"/>
  <c r="EU11" i="5"/>
  <c r="BT45" i="5"/>
  <c r="BX29" i="5"/>
  <c r="EJ32" i="5"/>
  <c r="L45" i="5"/>
  <c r="EI31" i="5"/>
  <c r="AI51" i="5"/>
  <c r="CC35" i="5"/>
  <c r="CN35" i="5"/>
  <c r="N9" i="5"/>
  <c r="AU59" i="5"/>
  <c r="CN46" i="5"/>
  <c r="CV18" i="5"/>
  <c r="DF16" i="5"/>
  <c r="DZ27" i="5"/>
  <c r="DG44" i="5"/>
  <c r="BH44" i="5"/>
  <c r="CO64" i="5"/>
  <c r="AO53" i="5"/>
  <c r="CB59" i="5"/>
  <c r="BT3" i="5"/>
  <c r="DR48" i="5"/>
  <c r="X56" i="5"/>
  <c r="FG51" i="5"/>
  <c r="CN14" i="5"/>
  <c r="BG38" i="5"/>
  <c r="DD11" i="5"/>
  <c r="EU57" i="5"/>
  <c r="EE27" i="5"/>
  <c r="CR61" i="5"/>
  <c r="CT12" i="5"/>
  <c r="AD61" i="5"/>
  <c r="FJ44" i="5"/>
  <c r="BY10" i="5"/>
  <c r="B60" i="5"/>
  <c r="E52" i="5"/>
  <c r="BT62" i="5"/>
  <c r="CG13" i="5"/>
  <c r="DX28" i="5"/>
  <c r="DD40" i="5"/>
  <c r="EQ53" i="5"/>
  <c r="M46" i="5"/>
  <c r="FE15" i="5"/>
  <c r="CQ50" i="5"/>
  <c r="U60" i="5"/>
  <c r="CC16" i="5"/>
  <c r="EF60" i="5"/>
  <c r="EP49" i="5"/>
  <c r="DF34" i="5"/>
  <c r="Z45" i="5"/>
  <c r="EF43" i="5"/>
  <c r="EW28" i="5"/>
  <c r="CE20" i="5"/>
  <c r="AZ53" i="5"/>
  <c r="BL22" i="5"/>
  <c r="DK50" i="5"/>
  <c r="AW34" i="5"/>
  <c r="AP44" i="5"/>
  <c r="DE43" i="5"/>
  <c r="CS23" i="5"/>
  <c r="FJ42" i="5"/>
  <c r="BG59" i="5"/>
  <c r="CC33" i="5"/>
  <c r="B54" i="5"/>
  <c r="W50" i="5"/>
  <c r="BU55" i="5"/>
  <c r="CM41" i="5"/>
  <c r="DU13" i="5"/>
  <c r="CF53" i="5"/>
  <c r="DC46" i="5"/>
  <c r="M7" i="5"/>
  <c r="FS9" i="5"/>
  <c r="DR36" i="5"/>
  <c r="AK35" i="5"/>
  <c r="BB42" i="5"/>
  <c r="J30" i="5"/>
  <c r="CY44" i="5"/>
  <c r="DZ5" i="5"/>
  <c r="BU20" i="5"/>
  <c r="EH58" i="5"/>
  <c r="DV43" i="5"/>
  <c r="ER16" i="5"/>
  <c r="AW63" i="5"/>
  <c r="CG20" i="5"/>
  <c r="G56" i="5"/>
  <c r="FK21" i="5"/>
  <c r="DR13" i="5"/>
  <c r="BB46" i="5"/>
  <c r="FG14" i="5"/>
  <c r="H64" i="5"/>
  <c r="DK25" i="5"/>
  <c r="EY44" i="5"/>
  <c r="CL63" i="5"/>
  <c r="BL43" i="5"/>
  <c r="DP23" i="5"/>
  <c r="BL20" i="5"/>
  <c r="AI49" i="5"/>
  <c r="EO33" i="5"/>
  <c r="FR18" i="5"/>
  <c r="EH20" i="5"/>
  <c r="FH48" i="5"/>
  <c r="Y54" i="5"/>
  <c r="AG7" i="5"/>
  <c r="L20" i="5"/>
  <c r="CG33" i="5"/>
  <c r="DQ31" i="5"/>
  <c r="BE64" i="5"/>
  <c r="S39" i="5"/>
  <c r="FL49" i="5"/>
  <c r="J52" i="5"/>
  <c r="DD16" i="5"/>
  <c r="AL54" i="5"/>
  <c r="EY54" i="5"/>
  <c r="J31" i="5"/>
  <c r="CS22" i="5"/>
  <c r="CL25" i="5"/>
  <c r="CP41" i="5"/>
  <c r="DT27" i="5"/>
  <c r="FM29" i="5"/>
  <c r="EO30" i="5"/>
  <c r="X43" i="5"/>
  <c r="FN34" i="5"/>
  <c r="FB13" i="5"/>
  <c r="AD62" i="5"/>
  <c r="CG8" i="5"/>
  <c r="BH51" i="5"/>
  <c r="CB25" i="5"/>
  <c r="FB42" i="5"/>
  <c r="DG18" i="5"/>
  <c r="EV29" i="5"/>
  <c r="ES23" i="5"/>
  <c r="BC11" i="5"/>
  <c r="DS45" i="5"/>
  <c r="CQ5" i="5"/>
  <c r="FB48" i="5"/>
  <c r="B56" i="5"/>
  <c r="CE10" i="5"/>
  <c r="CU44" i="5"/>
  <c r="EG18" i="5"/>
  <c r="CO41" i="5"/>
  <c r="CK59" i="5"/>
  <c r="DZ8" i="5"/>
  <c r="BU41" i="5"/>
  <c r="FM16" i="5"/>
  <c r="M16" i="5"/>
  <c r="AQ56" i="5"/>
  <c r="DH22" i="5"/>
  <c r="F39" i="5"/>
  <c r="B59" i="5"/>
  <c r="FH45" i="5"/>
  <c r="AO4" i="5"/>
  <c r="AD39" i="5"/>
  <c r="FK5" i="5"/>
  <c r="AD28" i="5"/>
  <c r="D62" i="5"/>
  <c r="EV8" i="5"/>
  <c r="BL47" i="5"/>
  <c r="EG49" i="5"/>
  <c r="DS64" i="5"/>
  <c r="CC9" i="5"/>
  <c r="CV16" i="5"/>
  <c r="E44" i="5"/>
  <c r="AB39" i="5"/>
  <c r="FL20" i="5"/>
  <c r="AG38" i="5"/>
  <c r="BV24" i="5"/>
  <c r="EB46" i="5"/>
  <c r="AG52" i="5"/>
  <c r="EH32" i="5"/>
  <c r="ER22" i="5"/>
  <c r="CA15" i="5"/>
  <c r="DG33" i="5"/>
  <c r="FE25" i="5"/>
  <c r="F47" i="5"/>
  <c r="CR8" i="5"/>
  <c r="DV23" i="5"/>
  <c r="E39" i="5"/>
  <c r="BR44" i="5"/>
  <c r="Q59" i="5"/>
  <c r="DN42" i="5"/>
  <c r="FH59" i="5"/>
  <c r="AI46" i="5"/>
  <c r="DV52" i="5"/>
  <c r="FM48" i="5"/>
  <c r="EZ44" i="5"/>
  <c r="FQ59" i="5"/>
  <c r="EC53" i="5"/>
  <c r="K54" i="5"/>
  <c r="EK53" i="5"/>
  <c r="ED36" i="5"/>
  <c r="X20" i="5"/>
  <c r="AK13" i="5"/>
  <c r="CF14" i="5"/>
  <c r="FE40" i="5"/>
  <c r="DE25" i="5"/>
  <c r="CE59" i="5"/>
  <c r="CL31" i="5"/>
  <c r="R43" i="5"/>
  <c r="ET36" i="5"/>
  <c r="EC14" i="5"/>
  <c r="H16" i="5"/>
  <c r="AO18" i="5"/>
  <c r="EF17" i="5"/>
  <c r="DO11" i="5"/>
  <c r="CY43" i="5"/>
  <c r="AG12" i="5"/>
  <c r="FK40" i="5"/>
  <c r="AO17" i="5"/>
  <c r="CU20" i="5"/>
  <c r="B20" i="5"/>
  <c r="CT4" i="5"/>
  <c r="FJ41" i="5"/>
  <c r="F27" i="5"/>
  <c r="BK54" i="5"/>
  <c r="DZ41" i="5"/>
  <c r="FF43" i="5"/>
  <c r="DU57" i="5"/>
  <c r="CS53" i="5"/>
  <c r="BR9" i="5"/>
  <c r="BX36" i="5"/>
  <c r="E40" i="5"/>
  <c r="CU6" i="5"/>
  <c r="AR26" i="5"/>
  <c r="AF4" i="5"/>
  <c r="CR19" i="5"/>
  <c r="CL27" i="5"/>
  <c r="ET59" i="5"/>
  <c r="AT54" i="5"/>
  <c r="AL24" i="5"/>
  <c r="CF48" i="5"/>
  <c r="AV46" i="5"/>
  <c r="EN13" i="5"/>
  <c r="DQ37" i="5"/>
  <c r="BQ14" i="5"/>
  <c r="BE42" i="5"/>
  <c r="D46" i="5"/>
  <c r="EO43" i="5"/>
  <c r="B32" i="5"/>
  <c r="F60" i="5"/>
  <c r="B49" i="5"/>
  <c r="BE8" i="5"/>
  <c r="BT25" i="5"/>
  <c r="N62" i="5"/>
  <c r="DZ54" i="5"/>
  <c r="D5" i="5"/>
  <c r="CO37" i="5"/>
  <c r="AH61" i="5"/>
  <c r="U61" i="5"/>
  <c r="M40" i="5"/>
  <c r="AD37" i="5"/>
  <c r="BQ58" i="5"/>
  <c r="AK27" i="5"/>
  <c r="BC51" i="5"/>
  <c r="CY53" i="5"/>
  <c r="EV19" i="5"/>
  <c r="X55" i="5"/>
  <c r="EJ58" i="5"/>
  <c r="L11" i="5"/>
  <c r="DD9" i="5"/>
  <c r="EM54" i="5"/>
  <c r="EW38" i="5"/>
  <c r="AU46" i="5"/>
  <c r="EO50" i="5"/>
  <c r="BD61" i="5"/>
  <c r="AT44" i="5"/>
  <c r="F61" i="5"/>
  <c r="AS14" i="5"/>
  <c r="S27" i="5"/>
  <c r="AW19" i="5"/>
  <c r="BH11" i="5"/>
  <c r="AB18" i="5"/>
  <c r="S13" i="5"/>
  <c r="D39" i="5"/>
  <c r="DI44" i="5"/>
  <c r="AZ4" i="5"/>
  <c r="BZ51" i="5"/>
  <c r="FJ39" i="5"/>
  <c r="B46" i="5"/>
  <c r="BL31" i="5"/>
  <c r="FT35" i="5"/>
  <c r="F51" i="5"/>
  <c r="W54" i="5"/>
  <c r="DZ21" i="5"/>
  <c r="EZ20" i="5"/>
  <c r="FL7" i="5"/>
  <c r="AE24" i="5"/>
  <c r="CS16" i="5"/>
  <c r="DJ26" i="5"/>
  <c r="DV20" i="5"/>
  <c r="CI14" i="5"/>
  <c r="AJ56" i="5"/>
  <c r="ET4" i="5"/>
  <c r="CA55" i="5"/>
  <c r="L4" i="5"/>
  <c r="FD37" i="5"/>
  <c r="AR35" i="5"/>
  <c r="DB27" i="5"/>
  <c r="FN40" i="5"/>
  <c r="DZ25" i="5"/>
  <c r="DU3" i="5"/>
  <c r="DL20" i="5"/>
  <c r="AF60" i="5"/>
  <c r="FJ29" i="5"/>
  <c r="B37" i="5"/>
  <c r="DA21" i="5"/>
  <c r="EE24" i="5"/>
  <c r="EQ29" i="5"/>
  <c r="FC33" i="5"/>
  <c r="Y53" i="5"/>
  <c r="CN26" i="5"/>
  <c r="EZ59" i="5"/>
  <c r="BV28" i="5"/>
  <c r="EV43" i="5"/>
  <c r="DR39" i="5"/>
  <c r="EB32" i="5"/>
  <c r="EI20" i="5"/>
  <c r="BV51" i="5"/>
  <c r="CE64" i="5"/>
  <c r="AY38" i="5"/>
  <c r="AS50" i="5"/>
  <c r="AL45" i="5"/>
  <c r="CQ15" i="5"/>
  <c r="E33" i="5"/>
  <c r="B53" i="5"/>
  <c r="CK46" i="5"/>
  <c r="DM34" i="5"/>
  <c r="BO30" i="5"/>
  <c r="BV33" i="5"/>
  <c r="DS59" i="5"/>
  <c r="CX54" i="5"/>
  <c r="DW25" i="5"/>
  <c r="EW17" i="5"/>
  <c r="EV60" i="5"/>
  <c r="ES35" i="5"/>
  <c r="FN58" i="5"/>
  <c r="CF36" i="5"/>
  <c r="CT54" i="5"/>
  <c r="EZ58" i="5"/>
  <c r="R36" i="5"/>
  <c r="DN3" i="5"/>
  <c r="BQ33" i="5"/>
  <c r="BP28" i="5"/>
  <c r="AN24" i="5"/>
  <c r="AM57" i="5"/>
  <c r="F58" i="5"/>
  <c r="EV44" i="5"/>
  <c r="ER14" i="5"/>
  <c r="DY17" i="5"/>
  <c r="DD25" i="5"/>
  <c r="AH31" i="5"/>
  <c r="V26" i="5"/>
  <c r="AS36" i="5"/>
  <c r="AI29" i="5"/>
  <c r="E50" i="5"/>
  <c r="BA26" i="5"/>
  <c r="BW27" i="5"/>
  <c r="EC38" i="5"/>
  <c r="CK64" i="5"/>
  <c r="E28" i="5"/>
  <c r="BH54" i="5"/>
  <c r="CW64" i="5"/>
  <c r="CB44" i="5"/>
  <c r="FQ52" i="5"/>
  <c r="AT55" i="5"/>
  <c r="CB40" i="5"/>
  <c r="CU36" i="5"/>
  <c r="CB37" i="5"/>
  <c r="AD7" i="5"/>
  <c r="AG50" i="5"/>
  <c r="O46" i="5"/>
  <c r="Z54" i="5"/>
  <c r="AK36" i="5"/>
  <c r="EX62" i="5"/>
  <c r="AG24" i="5"/>
  <c r="EL6" i="5"/>
  <c r="AB13" i="5"/>
  <c r="DQ62" i="5"/>
  <c r="EY30" i="5"/>
  <c r="BI16" i="5"/>
  <c r="EV12" i="5"/>
  <c r="AM17" i="5"/>
  <c r="AU16" i="5"/>
  <c r="CL39" i="5"/>
  <c r="U40" i="5"/>
  <c r="BS60" i="5"/>
  <c r="AX43" i="5"/>
  <c r="DR15" i="5"/>
  <c r="AN39" i="5"/>
  <c r="CL23" i="5"/>
  <c r="AZ10" i="5"/>
  <c r="CM46" i="5"/>
  <c r="BK47" i="5"/>
  <c r="FN52" i="5"/>
  <c r="C13" i="5"/>
  <c r="CR16" i="5"/>
  <c r="DF29" i="5"/>
  <c r="FJ10" i="5"/>
  <c r="BG57" i="5"/>
  <c r="BO19" i="5"/>
  <c r="CY63" i="5"/>
  <c r="P54" i="5"/>
  <c r="DF45" i="5"/>
  <c r="K46" i="5"/>
  <c r="Y28" i="5"/>
  <c r="CD37" i="5"/>
  <c r="EH12" i="5"/>
  <c r="AO48" i="5"/>
  <c r="CU54" i="5"/>
  <c r="CF34" i="5"/>
  <c r="FA42" i="5"/>
  <c r="FH32" i="5"/>
  <c r="DO45" i="5"/>
  <c r="BL40" i="5"/>
  <c r="CJ13" i="5"/>
  <c r="E30" i="5"/>
  <c r="CC55" i="5"/>
  <c r="EL62" i="5"/>
  <c r="AW64" i="5"/>
  <c r="CD49" i="5"/>
  <c r="CJ14" i="5"/>
  <c r="V19" i="5"/>
  <c r="F22" i="5"/>
  <c r="AI39" i="5"/>
  <c r="BW59" i="5"/>
  <c r="EO9" i="5"/>
  <c r="DW36" i="5"/>
  <c r="BX45" i="5"/>
  <c r="EB57" i="5"/>
  <c r="F30" i="5"/>
  <c r="F49" i="5"/>
  <c r="DA41" i="5"/>
  <c r="E36" i="5"/>
  <c r="DU43" i="5"/>
  <c r="DS7" i="5"/>
  <c r="DE41" i="5"/>
  <c r="CO3" i="5"/>
  <c r="BC3" i="5"/>
  <c r="DB35" i="5"/>
  <c r="FR48" i="5"/>
  <c r="EX54" i="5"/>
  <c r="ER39" i="5"/>
  <c r="FE23" i="5"/>
  <c r="EV20" i="5"/>
  <c r="E31" i="5"/>
  <c r="F32" i="5"/>
  <c r="FR3" i="5"/>
  <c r="FA25" i="5"/>
  <c r="V33" i="5"/>
  <c r="EF45" i="5"/>
  <c r="O22" i="5"/>
  <c r="BN18" i="5"/>
  <c r="BD9" i="5"/>
  <c r="AB35" i="5"/>
  <c r="CQ47" i="5"/>
  <c r="EA12" i="5"/>
  <c r="AB4" i="5"/>
  <c r="X41" i="5"/>
  <c r="AZ55" i="5"/>
  <c r="CL4" i="5"/>
  <c r="EA51" i="5"/>
  <c r="CI39" i="5"/>
  <c r="FP56" i="5"/>
  <c r="DY3" i="5"/>
  <c r="EP64" i="5"/>
  <c r="CW59" i="5"/>
  <c r="DF56" i="5"/>
  <c r="EI6" i="5"/>
  <c r="CA7" i="5"/>
  <c r="DF32" i="5"/>
  <c r="BC26" i="5"/>
  <c r="EE40" i="5"/>
  <c r="DW32" i="5"/>
  <c r="EA52" i="5"/>
  <c r="AT7" i="5"/>
  <c r="CY13" i="5"/>
  <c r="AY55" i="5"/>
  <c r="EQ48" i="5"/>
  <c r="FG13" i="5"/>
  <c r="FH4" i="5"/>
  <c r="Z40" i="5"/>
  <c r="DK62" i="5"/>
  <c r="BQ9" i="5"/>
  <c r="BC21" i="5"/>
  <c r="CI45" i="5"/>
  <c r="EZ11" i="5"/>
  <c r="CW29" i="5"/>
  <c r="FH60" i="5"/>
  <c r="FP44" i="5"/>
  <c r="B8" i="5"/>
  <c r="CN38" i="5"/>
  <c r="CZ51" i="5"/>
  <c r="EE13" i="5"/>
  <c r="CE61" i="5"/>
  <c r="BJ41" i="5"/>
  <c r="CI53" i="5"/>
  <c r="FH15" i="5"/>
  <c r="E51" i="5"/>
  <c r="FK50" i="5"/>
  <c r="S34" i="5"/>
  <c r="CK8" i="5"/>
  <c r="FQ7" i="5"/>
  <c r="BG45" i="5"/>
  <c r="EK29" i="5"/>
  <c r="AG46" i="5"/>
  <c r="AY25" i="5"/>
  <c r="K30" i="5"/>
  <c r="AA51" i="5"/>
  <c r="BM63" i="5"/>
  <c r="B42" i="5"/>
  <c r="DA57" i="5"/>
  <c r="O38" i="5"/>
  <c r="DO39" i="5"/>
  <c r="AE25" i="5"/>
  <c r="T29" i="5"/>
  <c r="CY41" i="5"/>
  <c r="F59" i="5"/>
  <c r="E34" i="5"/>
  <c r="U35" i="5"/>
  <c r="BU14" i="5"/>
  <c r="B4" i="5"/>
  <c r="FQ25" i="5"/>
  <c r="DC28" i="5"/>
  <c r="AO47" i="5"/>
  <c r="CH55" i="5"/>
  <c r="DG32" i="5"/>
  <c r="ET56" i="5"/>
  <c r="BJ59" i="5"/>
  <c r="BF25" i="5"/>
  <c r="CR39" i="5"/>
  <c r="CF7" i="5"/>
  <c r="EL12" i="5"/>
  <c r="DS48" i="5"/>
  <c r="AN38" i="5"/>
  <c r="BV39" i="5"/>
  <c r="CQ34" i="5"/>
  <c r="EN11" i="5"/>
  <c r="DX22" i="5"/>
  <c r="EL49" i="5"/>
  <c r="BG52" i="5"/>
  <c r="AO46" i="5"/>
  <c r="FG30" i="5"/>
  <c r="BL41" i="5"/>
  <c r="P9" i="5"/>
  <c r="DF49" i="5"/>
  <c r="BK11" i="5"/>
  <c r="DA24" i="5"/>
  <c r="M53" i="5"/>
  <c r="CU35" i="5"/>
  <c r="B41" i="5"/>
  <c r="BM24" i="5"/>
  <c r="FA56" i="5"/>
  <c r="EC46" i="5"/>
  <c r="AE15" i="5"/>
  <c r="BJ4" i="5"/>
  <c r="CE16" i="5"/>
  <c r="DG42" i="5"/>
  <c r="Y8" i="5"/>
  <c r="FC56" i="5"/>
  <c r="AR11" i="5"/>
  <c r="B40" i="5"/>
  <c r="CB39" i="5"/>
  <c r="BY46" i="5"/>
  <c r="AC40" i="5"/>
  <c r="AU7" i="5"/>
  <c r="DB34" i="5"/>
  <c r="FJ45" i="5"/>
  <c r="AZ13" i="5"/>
  <c r="P26" i="5"/>
  <c r="FT4" i="5"/>
  <c r="C14" i="5"/>
  <c r="E48" i="5"/>
  <c r="N12" i="5"/>
  <c r="EZ45" i="5"/>
  <c r="CI40" i="5"/>
  <c r="CP52" i="5"/>
  <c r="DB18" i="5"/>
  <c r="CR31" i="5"/>
  <c r="FA50" i="5"/>
  <c r="BS17" i="5"/>
  <c r="F44" i="5"/>
  <c r="CO13" i="5"/>
  <c r="DF14" i="5"/>
  <c r="AQ4" i="5"/>
  <c r="DG52" i="5"/>
  <c r="DY13" i="5"/>
  <c r="FO9" i="5"/>
  <c r="EX9" i="5"/>
  <c r="AN9" i="5"/>
  <c r="AY5" i="5"/>
  <c r="V31" i="5"/>
  <c r="DY45" i="5"/>
  <c r="ED46" i="5"/>
  <c r="BK36" i="5"/>
  <c r="B24" i="5"/>
  <c r="FT22" i="5"/>
  <c r="EV5" i="5"/>
  <c r="CI26" i="5"/>
  <c r="DG35" i="5"/>
  <c r="CU48" i="5"/>
  <c r="FJ33" i="5"/>
  <c r="FN51" i="5"/>
  <c r="DD20" i="5"/>
  <c r="CV28" i="5"/>
  <c r="BU58" i="5"/>
  <c r="EK11" i="5"/>
  <c r="CI42" i="5"/>
  <c r="CX24" i="5"/>
  <c r="DX54" i="5"/>
  <c r="CC13" i="5"/>
  <c r="AC50" i="5"/>
  <c r="CD27" i="5"/>
  <c r="EB21" i="5"/>
  <c r="FJ27" i="5"/>
  <c r="S55" i="5"/>
  <c r="DW9" i="5"/>
  <c r="FQ14" i="5"/>
  <c r="FF5" i="5"/>
  <c r="S30" i="5"/>
  <c r="DV4" i="5"/>
  <c r="AO42" i="5"/>
  <c r="EK30" i="5"/>
  <c r="CP25" i="5"/>
  <c r="AL20" i="5"/>
  <c r="CW24" i="5"/>
  <c r="BU57" i="5"/>
  <c r="EH18" i="5"/>
  <c r="CS13" i="5"/>
  <c r="BW58" i="5"/>
  <c r="EK9" i="5"/>
  <c r="FC15" i="5"/>
  <c r="AE26" i="5"/>
  <c r="CA31" i="5"/>
  <c r="FL30" i="5"/>
  <c r="BX35" i="5"/>
  <c r="CR49" i="5"/>
  <c r="BK43" i="5"/>
  <c r="BD36" i="5"/>
  <c r="EM18" i="5"/>
  <c r="EK48" i="5"/>
  <c r="Z48" i="5"/>
  <c r="FT12" i="5"/>
  <c r="DT29" i="5"/>
  <c r="ED31" i="5"/>
  <c r="AV3" i="5"/>
  <c r="J5" i="5"/>
  <c r="FS54" i="5"/>
  <c r="AT27" i="5"/>
  <c r="CJ6" i="5"/>
  <c r="AD48" i="5"/>
  <c r="N17" i="5"/>
  <c r="BG60" i="5"/>
  <c r="EQ28" i="5"/>
  <c r="AW25" i="5"/>
  <c r="BO40" i="5"/>
  <c r="M13" i="5"/>
  <c r="BM61" i="5"/>
  <c r="O32" i="5"/>
  <c r="AQ47" i="5"/>
  <c r="BJ17" i="5"/>
  <c r="DE62" i="5"/>
  <c r="EW47" i="5"/>
  <c r="BW23" i="5"/>
  <c r="FJ38" i="5"/>
  <c r="DK57" i="5"/>
  <c r="CZ26" i="5"/>
  <c r="AQ52" i="5"/>
  <c r="BP11" i="5"/>
  <c r="DG10" i="5"/>
  <c r="DJ48" i="5"/>
  <c r="AB40" i="5"/>
  <c r="FS34" i="5"/>
  <c r="FA62" i="5"/>
  <c r="DY24" i="5"/>
  <c r="DP4" i="5"/>
  <c r="BX32" i="5"/>
  <c r="CC26" i="5"/>
  <c r="BW3" i="5"/>
  <c r="BV52" i="5"/>
  <c r="AZ17" i="5"/>
  <c r="AS5" i="5"/>
  <c r="BF45" i="5"/>
  <c r="O64" i="5"/>
  <c r="BQ43" i="5"/>
  <c r="DV38" i="5"/>
  <c r="V11" i="5"/>
  <c r="T43" i="5"/>
  <c r="I26" i="5"/>
  <c r="DC42" i="5"/>
  <c r="EE36" i="5"/>
  <c r="CF21" i="5"/>
  <c r="FC52" i="5"/>
  <c r="FN27" i="5"/>
  <c r="BB9" i="5"/>
  <c r="DI26" i="5"/>
  <c r="DR35" i="5"/>
  <c r="EK46" i="5"/>
  <c r="S6" i="5"/>
  <c r="CF43" i="5"/>
  <c r="FJ7" i="5"/>
  <c r="EF58" i="5"/>
  <c r="W38" i="5"/>
  <c r="CQ16" i="5"/>
  <c r="DR52" i="5"/>
  <c r="Y33" i="5"/>
  <c r="DI31" i="5"/>
  <c r="M11" i="5"/>
  <c r="BI11" i="5"/>
  <c r="BT51" i="5"/>
  <c r="BA28" i="5"/>
  <c r="CN8" i="5"/>
  <c r="DA64" i="5"/>
  <c r="FD23" i="5"/>
  <c r="CU15" i="5"/>
  <c r="DH25" i="5"/>
  <c r="BO5" i="5"/>
  <c r="CZ15" i="5"/>
  <c r="CH33" i="5"/>
  <c r="BA63" i="5"/>
  <c r="BO38" i="5"/>
  <c r="W6" i="5"/>
  <c r="FG16" i="5"/>
  <c r="AQ38" i="5"/>
  <c r="BJ36" i="5"/>
  <c r="DM12" i="5"/>
  <c r="FR51" i="5"/>
  <c r="EV13" i="5"/>
  <c r="CX44" i="5"/>
  <c r="CM37" i="5"/>
  <c r="EH45" i="5"/>
  <c r="CL45" i="5"/>
  <c r="BS50" i="5"/>
  <c r="AZ43" i="5"/>
  <c r="ER46" i="5"/>
  <c r="CQ38" i="5"/>
  <c r="AN37" i="5"/>
  <c r="AX3" i="5"/>
  <c r="CN5" i="5"/>
  <c r="J27" i="5"/>
  <c r="ER23" i="5"/>
  <c r="DU16" i="5"/>
  <c r="CU38" i="5"/>
  <c r="CE13" i="5"/>
  <c r="EO53" i="5"/>
  <c r="EM59" i="5"/>
  <c r="F34" i="5"/>
  <c r="EN21" i="5"/>
  <c r="BU28" i="5"/>
  <c r="BU49" i="5"/>
  <c r="EA60" i="5"/>
  <c r="EA49" i="5"/>
  <c r="BY40" i="5"/>
  <c r="EW39" i="5"/>
  <c r="CC17" i="5"/>
  <c r="AG30" i="5"/>
  <c r="FM59" i="5"/>
  <c r="EX11" i="5"/>
  <c r="Q48" i="5"/>
  <c r="AH22" i="5"/>
  <c r="CZ29" i="5"/>
  <c r="DU49" i="5"/>
  <c r="CJ37" i="5"/>
  <c r="FL4" i="5"/>
  <c r="AP37" i="5"/>
  <c r="DO21" i="5"/>
  <c r="F24" i="5"/>
  <c r="CO46" i="5"/>
  <c r="EG44" i="5"/>
  <c r="R14" i="5"/>
  <c r="FG19" i="5"/>
  <c r="AF9" i="5"/>
  <c r="AI17" i="5"/>
  <c r="FB49" i="5"/>
  <c r="N37" i="5"/>
  <c r="X29" i="5"/>
  <c r="CB48" i="5"/>
  <c r="F36" i="5"/>
  <c r="DU9" i="5"/>
  <c r="CM47" i="5"/>
  <c r="DH29" i="5"/>
  <c r="AU52" i="5"/>
  <c r="CM28" i="5"/>
  <c r="BZ8" i="5"/>
  <c r="CK25" i="5"/>
  <c r="DK19" i="5"/>
  <c r="B51" i="5"/>
  <c r="EL17" i="5"/>
  <c r="C55" i="5"/>
  <c r="EM50" i="5"/>
  <c r="EY57" i="5"/>
  <c r="F42" i="5"/>
  <c r="DZ12" i="5"/>
  <c r="B52" i="5"/>
  <c r="CB27" i="5"/>
  <c r="CP20" i="5"/>
  <c r="FN13" i="5"/>
  <c r="AR20" i="5"/>
  <c r="AY32" i="5"/>
  <c r="BU62" i="5"/>
  <c r="K13" i="5"/>
  <c r="FB53" i="5"/>
  <c r="Q20" i="5"/>
  <c r="DZ4" i="5"/>
  <c r="CQ23" i="5"/>
  <c r="DL23" i="5"/>
  <c r="DO25" i="5"/>
  <c r="FQ20" i="5"/>
  <c r="FB62" i="5"/>
  <c r="DS40" i="5"/>
  <c r="DX30" i="5"/>
  <c r="DT6" i="5"/>
  <c r="DA49" i="5"/>
  <c r="CO63" i="5"/>
  <c r="BD17" i="5"/>
  <c r="DQ60" i="5"/>
  <c r="EN12" i="5"/>
  <c r="BS47" i="5"/>
  <c r="EW48" i="5"/>
  <c r="DP50" i="5"/>
  <c r="BV25" i="5"/>
  <c r="CR52" i="5"/>
  <c r="BQ64" i="5"/>
  <c r="R50" i="5"/>
  <c r="AO44" i="5"/>
  <c r="EA16" i="5"/>
  <c r="E63" i="5"/>
  <c r="E60" i="5"/>
  <c r="FO63" i="5"/>
  <c r="AQ20" i="5"/>
  <c r="EU29" i="5"/>
  <c r="BR46" i="5"/>
  <c r="CJ46" i="5"/>
  <c r="FI31" i="5"/>
  <c r="EB29" i="5"/>
  <c r="EC50" i="5"/>
  <c r="DE47" i="5"/>
  <c r="P40" i="5"/>
  <c r="Q9" i="5"/>
  <c r="AH45" i="5"/>
  <c r="BU43" i="5"/>
  <c r="C42" i="5"/>
  <c r="DX13" i="5"/>
  <c r="DZ49" i="5"/>
  <c r="FR45" i="5"/>
  <c r="EJ13" i="5"/>
  <c r="EQ44" i="5"/>
  <c r="DB55" i="5"/>
  <c r="DJ5" i="5"/>
  <c r="BX42" i="5"/>
  <c r="EB47" i="5"/>
  <c r="AN35" i="5"/>
  <c r="S57" i="5"/>
  <c r="AO10" i="5"/>
  <c r="CU10" i="5"/>
  <c r="CY5" i="5"/>
  <c r="AW9" i="5"/>
  <c r="CS11" i="5"/>
  <c r="BN29" i="5"/>
  <c r="CR55" i="5"/>
  <c r="BM32" i="5"/>
  <c r="CK14" i="5"/>
  <c r="W12" i="5"/>
  <c r="E43" i="5"/>
  <c r="CR45" i="5"/>
  <c r="FG50" i="5"/>
  <c r="EB9" i="5"/>
  <c r="CI16" i="5"/>
  <c r="P27" i="5"/>
  <c r="CM29" i="5"/>
  <c r="EP20" i="5"/>
  <c r="DJ42" i="5"/>
  <c r="FD25" i="5"/>
  <c r="AH38" i="5"/>
  <c r="BY24" i="5"/>
  <c r="FH29" i="5"/>
  <c r="AV10" i="5"/>
  <c r="FC9" i="5"/>
  <c r="EU56" i="5"/>
  <c r="AC38" i="5"/>
  <c r="CP46" i="5"/>
  <c r="BW37" i="5"/>
  <c r="FR52" i="5"/>
  <c r="FC23" i="5"/>
  <c r="D54" i="5"/>
  <c r="DT49" i="5"/>
  <c r="EW15" i="5"/>
  <c r="DD14" i="5"/>
  <c r="DJ17" i="5"/>
  <c r="N34" i="5"/>
  <c r="J29" i="5"/>
  <c r="EH28" i="5"/>
  <c r="O24" i="5"/>
  <c r="CD12" i="5"/>
  <c r="BL24" i="5"/>
  <c r="DH38" i="5"/>
  <c r="BE16" i="5"/>
  <c r="BS32" i="5"/>
  <c r="DR21" i="5"/>
  <c r="CO24" i="5"/>
  <c r="EN47" i="5"/>
  <c r="E49" i="5"/>
  <c r="EU28" i="5"/>
  <c r="AI47" i="5"/>
  <c r="EW49" i="5"/>
  <c r="DV49" i="5"/>
  <c r="CP30" i="5"/>
  <c r="BA38" i="5"/>
  <c r="FO13" i="5"/>
  <c r="BP22" i="5"/>
  <c r="CN57" i="5"/>
  <c r="DO57" i="5"/>
  <c r="BA27" i="5"/>
  <c r="CR21" i="5"/>
  <c r="CJ11" i="5"/>
  <c r="ED23" i="5"/>
  <c r="FD43" i="5"/>
  <c r="F56" i="5"/>
  <c r="BE36" i="5"/>
  <c r="AU39" i="5"/>
  <c r="CN36" i="5"/>
  <c r="AQ59" i="5"/>
  <c r="B47" i="5"/>
  <c r="CC46" i="5"/>
  <c r="BW28" i="5"/>
  <c r="BA40" i="5"/>
  <c r="CX41" i="5"/>
  <c r="P38" i="5"/>
  <c r="BR60" i="5"/>
  <c r="CB33" i="5"/>
  <c r="DB24" i="5"/>
  <c r="J16" i="5"/>
  <c r="AL52" i="5"/>
  <c r="AO26" i="5"/>
  <c r="DO52" i="5"/>
  <c r="DX34" i="5"/>
  <c r="DK41" i="5"/>
  <c r="BR54" i="5"/>
  <c r="FE62" i="5"/>
  <c r="DS8" i="5"/>
  <c r="DS12" i="5"/>
  <c r="D37" i="5"/>
  <c r="EG26" i="5"/>
  <c r="X59" i="5"/>
  <c r="DN12" i="5"/>
  <c r="BM48" i="5"/>
  <c r="CD23" i="5"/>
  <c r="F50" i="5"/>
  <c r="AF12" i="5"/>
  <c r="AE44" i="5"/>
  <c r="AD46" i="5"/>
  <c r="AO34" i="5"/>
  <c r="FI60" i="5"/>
  <c r="EY42" i="5"/>
  <c r="F48" i="5"/>
  <c r="K6" i="5"/>
  <c r="DN34" i="5"/>
  <c r="BF56" i="5"/>
  <c r="EZ18" i="5"/>
  <c r="CS24" i="5"/>
  <c r="EY41" i="5"/>
  <c r="CA43" i="5"/>
  <c r="ED62" i="5"/>
  <c r="AV24" i="5"/>
  <c r="X7" i="5"/>
  <c r="DV40" i="5"/>
  <c r="AN5" i="5"/>
  <c r="DK23" i="5"/>
  <c r="R52" i="5"/>
  <c r="F53" i="5"/>
  <c r="EF52" i="5"/>
  <c r="CY37" i="5"/>
  <c r="BY17" i="5"/>
  <c r="FI10" i="5"/>
  <c r="BZ25" i="5"/>
  <c r="EX34" i="5"/>
  <c r="CI18" i="5"/>
  <c r="FH21" i="5"/>
  <c r="ER57" i="5"/>
  <c r="AG40" i="5"/>
  <c r="AG6" i="5"/>
  <c r="BT21" i="5"/>
  <c r="FF7" i="5"/>
  <c r="BE9" i="5"/>
  <c r="FG40" i="5"/>
  <c r="DA62" i="5"/>
  <c r="BG27" i="5"/>
  <c r="DN30" i="5"/>
  <c r="DD59" i="5"/>
  <c r="EQ17" i="5"/>
  <c r="FH51" i="5"/>
  <c r="CP47" i="5"/>
  <c r="Z20" i="5"/>
  <c r="AA57" i="5"/>
  <c r="X39" i="5"/>
  <c r="FR19" i="5"/>
  <c r="AX26" i="5"/>
  <c r="FR12" i="5"/>
  <c r="DJ6" i="5"/>
  <c r="F33" i="5"/>
  <c r="BM25" i="5"/>
  <c r="CA20" i="5"/>
  <c r="FR50" i="5"/>
  <c r="Y58" i="5"/>
  <c r="DF10" i="5"/>
  <c r="EE6" i="5"/>
  <c r="EH14" i="5"/>
  <c r="BY57" i="5"/>
  <c r="AX64" i="5"/>
  <c r="AX60" i="5"/>
  <c r="AF16" i="5"/>
  <c r="B36" i="5"/>
  <c r="EJ14" i="5"/>
  <c r="E38" i="5"/>
  <c r="AC42" i="5"/>
  <c r="DE45" i="5"/>
  <c r="FF33" i="5"/>
  <c r="CJ62" i="5"/>
  <c r="B34" i="5"/>
  <c r="E29" i="5"/>
  <c r="E61" i="5"/>
  <c r="N44" i="5"/>
  <c r="EY18" i="5"/>
  <c r="EC43" i="5"/>
  <c r="U6" i="5"/>
  <c r="CE3" i="5"/>
  <c r="BW4" i="5"/>
  <c r="BX12" i="5"/>
  <c r="G25" i="5"/>
  <c r="B30" i="5"/>
  <c r="FN45" i="5"/>
  <c r="EJ54" i="5"/>
  <c r="Q6" i="5"/>
  <c r="EG41" i="5"/>
  <c r="EH64" i="5"/>
  <c r="DN14" i="5"/>
  <c r="DE3" i="5"/>
  <c r="FE41" i="5"/>
  <c r="DO18" i="5"/>
  <c r="BI20" i="5"/>
  <c r="E22" i="5"/>
  <c r="FH41" i="5"/>
  <c r="EP59" i="5"/>
  <c r="EW33" i="5"/>
  <c r="BB53" i="5"/>
  <c r="AO9" i="5"/>
  <c r="EG54" i="5"/>
  <c r="CE15" i="5"/>
  <c r="BT31" i="5"/>
  <c r="FN29" i="5"/>
  <c r="FS22" i="5"/>
  <c r="FR20" i="5"/>
  <c r="DK16" i="5"/>
  <c r="FO22" i="5"/>
  <c r="FS17" i="5"/>
  <c r="ER64" i="5"/>
  <c r="DS6" i="5"/>
  <c r="CW26" i="5"/>
  <c r="BQ13" i="5"/>
  <c r="AN34" i="5"/>
  <c r="DE37" i="5"/>
  <c r="AC59" i="5"/>
  <c r="FH24" i="5"/>
  <c r="BD14" i="5"/>
  <c r="EU59" i="5"/>
  <c r="BX37" i="5"/>
  <c r="F46" i="5"/>
  <c r="DI6" i="5"/>
  <c r="FS59" i="5"/>
  <c r="FQ41" i="5"/>
  <c r="ET26" i="5"/>
  <c r="BP14" i="5"/>
  <c r="CE24" i="5"/>
  <c r="CF9" i="5"/>
  <c r="EA55" i="5"/>
  <c r="AN48" i="5"/>
  <c r="V42" i="5"/>
  <c r="M27" i="5"/>
  <c r="EJ38" i="5"/>
  <c r="DM48" i="5"/>
  <c r="AU3" i="5"/>
  <c r="EX28" i="5"/>
  <c r="EQ20" i="5"/>
  <c r="AC24" i="5"/>
  <c r="FJ18" i="5"/>
  <c r="BE56" i="5"/>
  <c r="DP9" i="5"/>
  <c r="F13" i="5"/>
  <c r="CS31" i="5"/>
  <c r="DF37" i="5"/>
  <c r="DH49" i="5"/>
  <c r="CW36" i="5"/>
  <c r="BC55" i="5"/>
  <c r="FN16" i="5"/>
  <c r="FC25" i="5"/>
  <c r="FM47" i="5"/>
  <c r="CA38" i="5"/>
  <c r="EA8" i="5"/>
  <c r="AG51" i="5"/>
  <c r="DY40" i="5"/>
  <c r="BY34" i="5"/>
  <c r="DD52" i="5"/>
  <c r="EO17" i="5"/>
  <c r="DG13" i="5"/>
  <c r="CW22" i="5"/>
  <c r="CL49" i="5"/>
  <c r="CS7" i="5"/>
  <c r="E18" i="5"/>
  <c r="V37" i="5"/>
  <c r="CE43" i="5"/>
  <c r="F45" i="5"/>
  <c r="ER60" i="5"/>
  <c r="EW22" i="5"/>
  <c r="DI48" i="5"/>
  <c r="CM56" i="5"/>
  <c r="CY7" i="5"/>
  <c r="DP17" i="5"/>
  <c r="B57" i="5"/>
  <c r="E58" i="5"/>
  <c r="BC52" i="5"/>
  <c r="CP4" i="5"/>
  <c r="AX52" i="5"/>
  <c r="DO56" i="5"/>
  <c r="Q19" i="5"/>
  <c r="P14" i="5"/>
  <c r="BA23" i="5"/>
  <c r="I53" i="5"/>
  <c r="BP49" i="5"/>
  <c r="AP15" i="5"/>
  <c r="EB53" i="5"/>
  <c r="DW41" i="5"/>
  <c r="CD8" i="5"/>
  <c r="FM9" i="5"/>
  <c r="DH5" i="5"/>
  <c r="EW56" i="5"/>
  <c r="E23" i="5"/>
  <c r="BK18" i="5"/>
  <c r="BR34" i="5"/>
  <c r="AF13" i="5"/>
  <c r="DU62" i="5"/>
  <c r="DE16" i="5"/>
  <c r="EB36" i="5"/>
  <c r="FA38" i="5"/>
  <c r="DC19" i="5"/>
  <c r="CW35" i="5"/>
  <c r="T42" i="5"/>
  <c r="CX31" i="5"/>
  <c r="AM24" i="5"/>
  <c r="DW14" i="5"/>
  <c r="BC40" i="5"/>
  <c r="FF35" i="5"/>
  <c r="FH52" i="5"/>
  <c r="CL11" i="5"/>
  <c r="BL50" i="5"/>
  <c r="N35" i="5"/>
  <c r="ED27" i="5"/>
  <c r="EY17" i="5"/>
  <c r="CH34" i="5"/>
  <c r="AI53" i="5"/>
  <c r="F55" i="5"/>
  <c r="EC24" i="5"/>
  <c r="DF59" i="5"/>
  <c r="AY52" i="5"/>
  <c r="FF45" i="5"/>
  <c r="FT56" i="5"/>
  <c r="AA12" i="5"/>
  <c r="CA11" i="5"/>
  <c r="CD18" i="5"/>
  <c r="DO59" i="5"/>
  <c r="AN61" i="5"/>
  <c r="BT46" i="5"/>
  <c r="FL28" i="5"/>
  <c r="CV47" i="5"/>
  <c r="ER53" i="5"/>
  <c r="AL37" i="5"/>
  <c r="BC30" i="5"/>
  <c r="DC14" i="5"/>
  <c r="FM64" i="5"/>
  <c r="BM31" i="5"/>
  <c r="EB23" i="5"/>
  <c r="AG35" i="5"/>
  <c r="BD41" i="5"/>
  <c r="BI37" i="5"/>
  <c r="EV34" i="5"/>
  <c r="CP28" i="5"/>
  <c r="AO45" i="5"/>
  <c r="CY19" i="5"/>
  <c r="DJ54" i="5"/>
  <c r="W46" i="5"/>
  <c r="B45" i="5"/>
  <c r="DV11" i="5"/>
  <c r="FA17" i="5"/>
  <c r="Q35" i="5"/>
  <c r="AM31" i="5"/>
  <c r="DA13" i="5"/>
  <c r="BI9" i="5"/>
  <c r="DE61" i="5"/>
  <c r="FL32" i="5"/>
  <c r="B50" i="5"/>
  <c r="DK9" i="5"/>
  <c r="EQ37" i="5"/>
  <c r="DA55" i="5"/>
  <c r="AM45" i="5"/>
  <c r="DO12" i="5"/>
  <c r="CJ40" i="5"/>
  <c r="BS22" i="5"/>
  <c r="CL9" i="5"/>
  <c r="FM31" i="5"/>
  <c r="AJ24" i="5"/>
  <c r="BD3" i="5"/>
  <c r="AA40" i="5"/>
  <c r="CL48" i="5"/>
  <c r="E37" i="5"/>
  <c r="DW45" i="5"/>
  <c r="DQ4" i="5"/>
  <c r="V53" i="5"/>
  <c r="AP41" i="5"/>
  <c r="FA4" i="5"/>
  <c r="AF23" i="5"/>
  <c r="B55" i="5"/>
  <c r="DV30" i="5"/>
  <c r="DJ23" i="5"/>
  <c r="EG32" i="5"/>
  <c r="AM46" i="5"/>
  <c r="AH23" i="5"/>
  <c r="EN10" i="5"/>
  <c r="J15" i="5"/>
  <c r="CF18" i="5"/>
  <c r="CJ4" i="5"/>
  <c r="FI11" i="5"/>
  <c r="EK64" i="5"/>
  <c r="E42" i="5"/>
  <c r="FD30" i="5"/>
  <c r="AB17" i="5"/>
  <c r="Y37" i="5"/>
  <c r="DY43" i="5"/>
  <c r="CL61" i="5"/>
  <c r="AZ26" i="5"/>
  <c r="DK40" i="5"/>
  <c r="AI37" i="5"/>
  <c r="V55" i="5"/>
  <c r="AZ38" i="5"/>
  <c r="R17" i="5"/>
  <c r="BO29" i="5"/>
  <c r="AG33" i="5"/>
  <c r="BP41" i="5"/>
  <c r="FN7" i="5"/>
  <c r="FH54" i="5"/>
  <c r="DX33" i="5"/>
  <c r="DP48" i="5"/>
  <c r="BE45" i="5"/>
  <c r="EZ48" i="5"/>
  <c r="AG42" i="5"/>
  <c r="EW31" i="5"/>
  <c r="BI42" i="5"/>
  <c r="DE33" i="5"/>
  <c r="AX62" i="5"/>
  <c r="AH36" i="5"/>
  <c r="DK49" i="5"/>
  <c r="O34" i="5"/>
  <c r="BW31" i="5"/>
  <c r="BD24" i="5"/>
  <c r="BR17" i="5"/>
  <c r="CF40" i="5"/>
  <c r="FB35" i="5"/>
  <c r="DN33" i="5"/>
  <c r="BB22" i="5"/>
  <c r="AC46" i="5"/>
  <c r="EM6" i="5"/>
  <c r="EO13" i="5"/>
  <c r="AL58" i="5"/>
  <c r="BQ35" i="5"/>
  <c r="AE28" i="5"/>
  <c r="EQ54" i="5"/>
  <c r="B44" i="5"/>
  <c r="BS8" i="5"/>
  <c r="DF18" i="5"/>
  <c r="E35" i="5"/>
  <c r="EN36" i="5"/>
  <c r="BP13" i="5"/>
  <c r="AW12" i="5"/>
  <c r="EY24" i="5"/>
  <c r="DN28" i="5"/>
  <c r="X42" i="5"/>
  <c r="EO5" i="5"/>
  <c r="BX30" i="5"/>
  <c r="AJ43" i="5"/>
  <c r="DM25" i="5"/>
  <c r="CU57" i="5"/>
  <c r="AK57" i="5"/>
  <c r="AX51" i="5"/>
  <c r="CE52" i="5"/>
  <c r="E54" i="5"/>
  <c r="CM58" i="5"/>
  <c r="DM43" i="5"/>
  <c r="BX39" i="5"/>
  <c r="CF60" i="5"/>
  <c r="EF33" i="5"/>
  <c r="AD13" i="5"/>
  <c r="CX19" i="5"/>
  <c r="DH26" i="5"/>
  <c r="B58" i="5"/>
  <c r="FD27" i="5"/>
  <c r="BP19" i="5"/>
  <c r="S7" i="5"/>
  <c r="EG10" i="5"/>
  <c r="EI4" i="5"/>
  <c r="EF3" i="5"/>
  <c r="DS20" i="5"/>
  <c r="DM16" i="5"/>
  <c r="FL11" i="5"/>
  <c r="BZ52" i="5"/>
  <c r="FM30" i="5"/>
  <c r="ES18" i="5"/>
  <c r="EN34" i="5"/>
  <c r="FA13" i="5"/>
  <c r="BM8" i="5"/>
  <c r="CO9" i="5"/>
  <c r="DD27" i="5"/>
  <c r="FK29" i="5"/>
  <c r="CV34" i="5"/>
  <c r="AH28" i="5"/>
  <c r="L32" i="5"/>
  <c r="DF9" i="5"/>
  <c r="DX15" i="5"/>
  <c r="ED26" i="5"/>
  <c r="AO19" i="5"/>
  <c r="AK42" i="5"/>
  <c r="BR50" i="5"/>
  <c r="S3" i="5"/>
  <c r="FO8" i="5"/>
  <c r="CK3" i="5"/>
  <c r="FQ17" i="5"/>
  <c r="BF14" i="5"/>
  <c r="ER49" i="5"/>
  <c r="E45" i="5"/>
  <c r="AY62" i="5"/>
  <c r="AX33" i="5"/>
  <c r="AA28" i="5"/>
  <c r="X25" i="5"/>
  <c r="DR5" i="5"/>
  <c r="DS35" i="5"/>
  <c r="E56" i="5"/>
  <c r="B39" i="5"/>
  <c r="BN36" i="5"/>
  <c r="EU25" i="5"/>
  <c r="AN42" i="5"/>
  <c r="L39" i="5"/>
  <c r="DJ13" i="5"/>
  <c r="DQ26" i="5"/>
  <c r="DN17" i="5"/>
  <c r="M32" i="5"/>
  <c r="AM30" i="5"/>
  <c r="CV30" i="5"/>
  <c r="BP31" i="5"/>
  <c r="FE38" i="5"/>
  <c r="FB58" i="5"/>
  <c r="AT31" i="5"/>
  <c r="FR42" i="5"/>
  <c r="BS27" i="5"/>
  <c r="DZ60" i="5"/>
  <c r="FF39" i="5"/>
  <c r="AU21" i="5"/>
  <c r="EQ9" i="5"/>
  <c r="FI57" i="5"/>
  <c r="BK58" i="5"/>
  <c r="FH8" i="5"/>
  <c r="CE49" i="5"/>
  <c r="DQ64" i="5"/>
  <c r="CM45" i="5"/>
  <c r="FI21" i="5"/>
  <c r="EO39" i="5"/>
  <c r="BJ61" i="5"/>
  <c r="AL10" i="5"/>
  <c r="F54" i="5"/>
  <c r="FH35" i="5"/>
  <c r="DO63" i="5"/>
  <c r="CF5" i="5"/>
  <c r="AW15" i="5"/>
  <c r="EL59" i="5"/>
  <c r="EL14" i="5"/>
  <c r="DK46" i="5"/>
  <c r="EL25" i="5"/>
  <c r="AP3" i="5"/>
  <c r="DB54" i="5"/>
  <c r="CE14" i="5"/>
  <c r="CL40" i="5"/>
  <c r="BR21" i="5"/>
  <c r="ET33" i="5"/>
  <c r="F40" i="5"/>
  <c r="EY47" i="5"/>
  <c r="AM47" i="5"/>
  <c r="DQ48" i="5"/>
  <c r="FL41" i="5"/>
  <c r="DJ18" i="5"/>
  <c r="EH38" i="5"/>
  <c r="BD20" i="5"/>
  <c r="EU35" i="5"/>
  <c r="E46" i="5"/>
  <c r="DN21" i="5"/>
  <c r="E59" i="5"/>
  <c r="B63" i="5"/>
  <c r="DQ59" i="5"/>
  <c r="BZ18" i="5"/>
  <c r="BH45" i="5"/>
  <c r="CA52" i="5"/>
  <c r="R5" i="5"/>
  <c r="AS34" i="5"/>
  <c r="AL35" i="5"/>
  <c r="K17" i="5"/>
  <c r="EE17" i="5"/>
  <c r="DQ32" i="5"/>
  <c r="CS4" i="5"/>
  <c r="EP30" i="5"/>
  <c r="EV3" i="5"/>
  <c r="E20" i="5"/>
  <c r="U12" i="5"/>
  <c r="EG63" i="5"/>
  <c r="EM49" i="5"/>
  <c r="CN56" i="5"/>
  <c r="BM22" i="5"/>
  <c r="BS23" i="5"/>
  <c r="S15" i="5"/>
  <c r="EP51" i="5"/>
  <c r="BP21" i="5"/>
  <c r="DI50" i="5"/>
  <c r="AZ41" i="5"/>
  <c r="AZ40" i="5"/>
  <c r="CR18" i="5"/>
  <c r="DC44" i="5"/>
  <c r="EQ57" i="5"/>
  <c r="BE38" i="5"/>
  <c r="EJ56" i="5"/>
  <c r="AO31" i="5"/>
  <c r="EI29" i="5"/>
  <c r="X4" i="5"/>
  <c r="DG19" i="5"/>
  <c r="CL38" i="5"/>
  <c r="DH48" i="5"/>
  <c r="CZ34" i="5"/>
  <c r="EL11" i="5"/>
  <c r="FR15" i="5"/>
  <c r="DP52" i="5"/>
  <c r="BI61" i="5"/>
  <c r="BD53" i="5"/>
  <c r="CY21" i="5"/>
  <c r="CP50" i="5"/>
  <c r="AA49" i="5"/>
  <c r="DQ8" i="5"/>
  <c r="AT37" i="5"/>
  <c r="BI7" i="5"/>
  <c r="AC34" i="5"/>
  <c r="BN54" i="5"/>
  <c r="EJ60" i="5"/>
  <c r="FR58" i="5"/>
  <c r="EI51" i="5"/>
  <c r="H58" i="5"/>
  <c r="AO23" i="5"/>
  <c r="DY25" i="5"/>
  <c r="EZ26" i="5"/>
  <c r="DK22" i="5"/>
  <c r="BO25" i="5"/>
  <c r="AE51" i="5"/>
  <c r="E9" i="5"/>
  <c r="DT44" i="5"/>
  <c r="EO28" i="5"/>
  <c r="DC7" i="5"/>
  <c r="FP4" i="5"/>
  <c r="DG43" i="5"/>
  <c r="DD4" i="5"/>
  <c r="BJ11" i="5"/>
  <c r="O29" i="5"/>
  <c r="CG49" i="5"/>
  <c r="B61" i="5"/>
  <c r="BZ61" i="5"/>
  <c r="FM6" i="5"/>
  <c r="DH35" i="5"/>
  <c r="B33" i="5"/>
  <c r="O30" i="5"/>
  <c r="CT25" i="5"/>
  <c r="DB10" i="5"/>
  <c r="FQ33" i="5"/>
  <c r="EL35" i="5"/>
  <c r="DY38" i="5"/>
  <c r="FS62" i="5"/>
  <c r="DI51" i="5"/>
  <c r="BD16" i="5"/>
  <c r="AE50" i="5"/>
  <c r="EI49" i="5"/>
  <c r="BB29" i="5"/>
  <c r="CO50" i="5"/>
  <c r="CD40" i="5"/>
  <c r="CO45" i="5"/>
  <c r="AP22" i="5"/>
  <c r="FL10" i="5"/>
  <c r="AV27" i="5"/>
  <c r="FT64" i="5"/>
  <c r="CL6" i="5"/>
  <c r="S46" i="5"/>
  <c r="CW52" i="5"/>
  <c r="AH6" i="5"/>
  <c r="AM27" i="5"/>
  <c r="ED30" i="5"/>
  <c r="AH33" i="5"/>
  <c r="BL52" i="5"/>
  <c r="ED43" i="5"/>
  <c r="DD35" i="5"/>
  <c r="EU10" i="5"/>
  <c r="DS49" i="5"/>
  <c r="P32" i="5"/>
  <c r="AC33" i="5"/>
  <c r="CS37" i="5"/>
  <c r="EP38" i="5"/>
  <c r="BU36" i="5"/>
  <c r="FF31" i="5"/>
  <c r="AI44" i="5"/>
  <c r="AR33" i="5"/>
  <c r="F31" i="5"/>
  <c r="EP16" i="5"/>
  <c r="FH10" i="5"/>
  <c r="DI23" i="5"/>
  <c r="DF3" i="5"/>
  <c r="DH15" i="5"/>
  <c r="DL27" i="5"/>
  <c r="AB15" i="5"/>
  <c r="DC12" i="5"/>
  <c r="I62" i="5"/>
  <c r="BG10" i="5"/>
  <c r="CV36" i="5"/>
  <c r="AJ13" i="5"/>
  <c r="EU16" i="5"/>
  <c r="N49" i="5"/>
  <c r="DC47" i="5"/>
  <c r="FJ62" i="5"/>
  <c r="BJ55" i="5"/>
  <c r="AJ26" i="5"/>
  <c r="EN32" i="5"/>
  <c r="DG11" i="5"/>
  <c r="N27" i="5"/>
  <c r="EB45" i="5"/>
  <c r="AR49" i="5"/>
  <c r="EF8" i="5"/>
  <c r="DT11" i="5"/>
  <c r="BD51" i="5"/>
  <c r="DG40" i="5"/>
  <c r="EN18" i="5"/>
  <c r="EA42" i="5"/>
  <c r="DS3" i="5"/>
  <c r="BQ42" i="5"/>
  <c r="CI56" i="5"/>
  <c r="FA3" i="5"/>
  <c r="BT13" i="5"/>
  <c r="EA6" i="5"/>
  <c r="CA50" i="5"/>
  <c r="DN13" i="5"/>
  <c r="R117" i="15" l="1"/>
  <c r="P145" i="15"/>
  <c r="S97" i="15"/>
  <c r="S37" i="15"/>
  <c r="Q16" i="15"/>
  <c r="Q106" i="15"/>
  <c r="U52" i="15"/>
  <c r="U126" i="15"/>
  <c r="R131" i="15"/>
  <c r="P132" i="15"/>
  <c r="Q15" i="15"/>
  <c r="T94" i="15"/>
  <c r="Q96" i="15"/>
  <c r="T21" i="15"/>
  <c r="R106" i="15"/>
  <c r="T50" i="15"/>
  <c r="T123" i="15"/>
  <c r="P109" i="15"/>
  <c r="P42" i="15"/>
  <c r="R142" i="15"/>
  <c r="U138" i="15"/>
  <c r="S91" i="15"/>
  <c r="Q132" i="15"/>
  <c r="U132" i="15"/>
  <c r="S55" i="15"/>
  <c r="S133" i="15"/>
  <c r="Q90" i="15"/>
  <c r="T89" i="15"/>
  <c r="P13" i="15"/>
  <c r="P12" i="15" s="1"/>
  <c r="Q89" i="15"/>
  <c r="U30" i="15"/>
  <c r="U85" i="15"/>
  <c r="U95" i="15"/>
  <c r="T24" i="15"/>
  <c r="T96" i="15"/>
  <c r="Q133" i="15"/>
  <c r="Q55" i="15"/>
  <c r="T23" i="15"/>
  <c r="U16" i="15"/>
  <c r="Q148" i="15"/>
  <c r="U104" i="15"/>
  <c r="U38" i="15"/>
  <c r="S148" i="15"/>
  <c r="P114" i="15"/>
  <c r="P90" i="15"/>
  <c r="S94" i="15"/>
  <c r="T131" i="15"/>
  <c r="R139" i="15"/>
  <c r="P55" i="15"/>
  <c r="P133" i="15"/>
  <c r="Q108" i="15"/>
  <c r="S30" i="15"/>
  <c r="S85" i="15"/>
  <c r="P49" i="15"/>
  <c r="P119" i="15"/>
  <c r="U89" i="15"/>
  <c r="U91" i="15"/>
  <c r="S96" i="15"/>
  <c r="S90" i="15"/>
  <c r="T48" i="15"/>
  <c r="T118" i="15"/>
  <c r="P143" i="15"/>
  <c r="P15" i="15"/>
  <c r="U139" i="15"/>
  <c r="T116" i="15"/>
  <c r="U142" i="15"/>
  <c r="Q94" i="15"/>
  <c r="Q131" i="15"/>
  <c r="U106" i="15"/>
  <c r="Q145" i="15"/>
  <c r="R96" i="15"/>
  <c r="U145" i="15"/>
  <c r="R112" i="15"/>
  <c r="R44" i="15"/>
  <c r="Q143" i="15"/>
  <c r="U96" i="15"/>
  <c r="U125" i="15"/>
  <c r="U51" i="15"/>
  <c r="S117" i="15"/>
  <c r="Q126" i="15"/>
  <c r="Q52" i="15"/>
  <c r="T109" i="15"/>
  <c r="T42" i="15"/>
  <c r="R145" i="15"/>
  <c r="Q95" i="15"/>
  <c r="T37" i="15"/>
  <c r="T97" i="15"/>
  <c r="U114" i="15"/>
  <c r="T114" i="15"/>
  <c r="S108" i="15"/>
  <c r="T91" i="15"/>
  <c r="Q138" i="15"/>
  <c r="T95" i="15"/>
  <c r="Q49" i="15"/>
  <c r="Q119" i="15"/>
  <c r="R89" i="15"/>
  <c r="P131" i="15"/>
  <c r="P106" i="15"/>
  <c r="T132" i="15"/>
  <c r="R116" i="15"/>
  <c r="S89" i="15"/>
  <c r="R138" i="15"/>
  <c r="T52" i="15"/>
  <c r="T126" i="15"/>
  <c r="S142" i="15"/>
  <c r="T108" i="15"/>
  <c r="R123" i="15"/>
  <c r="R50" i="15"/>
  <c r="Q84" i="15"/>
  <c r="Q29" i="15"/>
  <c r="R20" i="15"/>
  <c r="R94" i="15"/>
  <c r="T144" i="15"/>
  <c r="Q114" i="15"/>
  <c r="R48" i="15"/>
  <c r="R118" i="15"/>
  <c r="S83" i="15"/>
  <c r="S28" i="15"/>
  <c r="U13" i="15"/>
  <c r="U12" i="15" s="1"/>
  <c r="R144" i="15"/>
  <c r="S131" i="15"/>
  <c r="U131" i="15"/>
  <c r="P116" i="15"/>
  <c r="P43" i="15"/>
  <c r="P111" i="15"/>
  <c r="U57" i="15"/>
  <c r="U137" i="15"/>
  <c r="S43" i="15"/>
  <c r="S111" i="15"/>
  <c r="U97" i="15"/>
  <c r="U37" i="15"/>
  <c r="P144" i="15"/>
  <c r="T139" i="15"/>
  <c r="T106" i="15"/>
  <c r="S56" i="15"/>
  <c r="S136" i="15"/>
  <c r="S95" i="15"/>
  <c r="R143" i="15"/>
  <c r="T143" i="15"/>
  <c r="Q43" i="15"/>
  <c r="Q111" i="15"/>
  <c r="P95" i="15"/>
  <c r="Q91" i="15"/>
  <c r="Q39" i="15"/>
  <c r="Q105" i="15"/>
  <c r="T136" i="15"/>
  <c r="T56" i="15"/>
  <c r="Q144" i="15"/>
  <c r="P24" i="15"/>
  <c r="U94" i="15"/>
  <c r="Q117" i="15"/>
  <c r="S145" i="15"/>
  <c r="P25" i="15"/>
  <c r="P125" i="15"/>
  <c r="P51" i="15"/>
  <c r="R133" i="15"/>
  <c r="R55" i="15"/>
  <c r="S116" i="15"/>
  <c r="S52" i="15"/>
  <c r="S126" i="15"/>
  <c r="S143" i="15"/>
  <c r="U133" i="15"/>
  <c r="U55" i="15"/>
  <c r="Q21" i="15"/>
  <c r="S15" i="15"/>
  <c r="R91" i="15"/>
  <c r="R119" i="15"/>
  <c r="R49" i="15"/>
  <c r="T44" i="15"/>
  <c r="T112" i="15"/>
  <c r="S106" i="15"/>
  <c r="P126" i="15"/>
  <c r="P52" i="15"/>
  <c r="P139" i="15"/>
  <c r="P148" i="15"/>
  <c r="Q83" i="15"/>
  <c r="Q28" i="15"/>
  <c r="Q139" i="15"/>
  <c r="U21" i="15"/>
  <c r="Q123" i="15"/>
  <c r="Q50" i="15"/>
  <c r="Q37" i="15"/>
  <c r="Q97" i="15"/>
  <c r="R149" i="15"/>
  <c r="P44" i="15"/>
  <c r="P112" i="15"/>
  <c r="Q56" i="15"/>
  <c r="Q136" i="15"/>
  <c r="Q24" i="15"/>
  <c r="S16" i="15"/>
  <c r="U44" i="15"/>
  <c r="U112" i="15"/>
  <c r="R21" i="15"/>
  <c r="R43" i="15"/>
  <c r="R111" i="15"/>
  <c r="S139" i="15"/>
  <c r="S144" i="15"/>
  <c r="R23" i="15"/>
  <c r="P20" i="15"/>
  <c r="R28" i="15"/>
  <c r="R83" i="15"/>
  <c r="Q149" i="15"/>
  <c r="S138" i="15"/>
  <c r="U144" i="15"/>
  <c r="U111" i="15"/>
  <c r="U43" i="15"/>
  <c r="P84" i="15"/>
  <c r="P29" i="15"/>
  <c r="U83" i="15"/>
  <c r="U28" i="15"/>
  <c r="T90" i="15"/>
  <c r="P96" i="15"/>
  <c r="U136" i="15"/>
  <c r="U56" i="15"/>
  <c r="R114" i="15"/>
  <c r="P38" i="15"/>
  <c r="P104" i="15"/>
  <c r="T125" i="15"/>
  <c r="T51" i="15"/>
  <c r="U108" i="15"/>
  <c r="T85" i="15"/>
  <c r="T30" i="15"/>
  <c r="T104" i="15"/>
  <c r="T38" i="15"/>
  <c r="P30" i="15"/>
  <c r="P85" i="15"/>
  <c r="P108" i="15"/>
  <c r="U116" i="15"/>
  <c r="P57" i="15"/>
  <c r="P137" i="15"/>
  <c r="S49" i="15"/>
  <c r="S119" i="15"/>
  <c r="R108" i="15"/>
  <c r="T25" i="15"/>
  <c r="S21" i="15"/>
  <c r="U90" i="15"/>
  <c r="P118" i="15"/>
  <c r="P48" i="15"/>
  <c r="S132" i="15"/>
  <c r="R13" i="15"/>
  <c r="R12" i="15" s="1"/>
  <c r="Q104" i="15"/>
  <c r="Q38" i="15"/>
  <c r="R105" i="15"/>
  <c r="R39" i="15"/>
  <c r="T20" i="15"/>
  <c r="P138" i="15"/>
  <c r="U42" i="15"/>
  <c r="U109" i="15"/>
  <c r="U149" i="15"/>
  <c r="S42" i="15"/>
  <c r="S109" i="15"/>
  <c r="P117" i="15"/>
  <c r="P16" i="15"/>
  <c r="U24" i="15"/>
  <c r="R90" i="15"/>
  <c r="R136" i="15"/>
  <c r="R56" i="15"/>
  <c r="T138" i="15"/>
  <c r="P149" i="15"/>
  <c r="P89" i="15"/>
  <c r="S118" i="15"/>
  <c r="S48" i="15"/>
  <c r="S149" i="15"/>
  <c r="U15" i="15"/>
  <c r="U148" i="15"/>
  <c r="P94" i="15"/>
  <c r="R95" i="15"/>
  <c r="R97" i="15"/>
  <c r="R37" i="15"/>
  <c r="P21" i="15"/>
  <c r="R51" i="15"/>
  <c r="R125" i="15"/>
  <c r="R15" i="15"/>
  <c r="Q109" i="15"/>
  <c r="Q42" i="15"/>
  <c r="S104" i="15"/>
  <c r="S38" i="15"/>
  <c r="U23" i="15"/>
  <c r="T105" i="15"/>
  <c r="T39" i="15"/>
  <c r="S114" i="15"/>
  <c r="Q118" i="15"/>
  <c r="Q48" i="15"/>
  <c r="P23" i="15"/>
  <c r="R52" i="15"/>
  <c r="R126" i="15"/>
  <c r="T117" i="15"/>
  <c r="Q20" i="15"/>
  <c r="T149" i="15"/>
  <c r="R25" i="15"/>
  <c r="P50" i="15"/>
  <c r="P123" i="15"/>
  <c r="Q137" i="15"/>
  <c r="Q57" i="15"/>
  <c r="U29" i="15"/>
  <c r="U84" i="15"/>
  <c r="S57" i="15"/>
  <c r="S137" i="15"/>
  <c r="R57" i="15"/>
  <c r="R137" i="15"/>
  <c r="R42" i="15"/>
  <c r="R109" i="15"/>
  <c r="U105" i="15"/>
  <c r="U39" i="15"/>
  <c r="S25" i="15"/>
  <c r="S44" i="15"/>
  <c r="S112" i="15"/>
  <c r="U20" i="15"/>
  <c r="R24" i="15"/>
  <c r="S20" i="15"/>
  <c r="U123" i="15"/>
  <c r="U50" i="15"/>
  <c r="T13" i="15"/>
  <c r="T12" i="15" s="1"/>
  <c r="U118" i="15"/>
  <c r="U48" i="15"/>
  <c r="P136" i="15"/>
  <c r="P56" i="15"/>
  <c r="R16" i="15"/>
  <c r="Q25" i="15"/>
  <c r="T142" i="15"/>
  <c r="U25" i="15"/>
  <c r="T15" i="15"/>
  <c r="R132" i="15"/>
  <c r="Q142" i="15"/>
  <c r="S24" i="15"/>
  <c r="P105" i="15"/>
  <c r="P39" i="15"/>
  <c r="R85" i="15"/>
  <c r="R30" i="15"/>
  <c r="U143" i="15"/>
  <c r="Q44" i="15"/>
  <c r="Q112" i="15"/>
  <c r="R84" i="15"/>
  <c r="R29" i="15"/>
  <c r="T83" i="15"/>
  <c r="T28" i="15"/>
  <c r="P91" i="15"/>
  <c r="S125" i="15"/>
  <c r="S51" i="15"/>
  <c r="R38" i="15"/>
  <c r="R104" i="15"/>
  <c r="R148" i="15"/>
  <c r="Q116" i="15"/>
  <c r="U49" i="15"/>
  <c r="U119" i="15"/>
  <c r="T137" i="15"/>
  <c r="T57" i="15"/>
  <c r="T55" i="15"/>
  <c r="T133" i="15"/>
  <c r="S13" i="15"/>
  <c r="S12" i="15" s="1"/>
  <c r="P37" i="15"/>
  <c r="P97" i="15"/>
  <c r="T43" i="15"/>
  <c r="T111" i="15"/>
  <c r="S23" i="15"/>
  <c r="T84" i="15"/>
  <c r="T29" i="15"/>
  <c r="P28" i="15"/>
  <c r="P83" i="15"/>
  <c r="Q125" i="15"/>
  <c r="Q124" i="15" s="1"/>
  <c r="Q51" i="15"/>
  <c r="T148" i="15"/>
  <c r="P142" i="15"/>
  <c r="Q13" i="15"/>
  <c r="Q12" i="15" s="1"/>
  <c r="Q23" i="15"/>
  <c r="S50" i="15"/>
  <c r="S123" i="15"/>
  <c r="S105" i="15"/>
  <c r="S39" i="15"/>
  <c r="T119" i="15"/>
  <c r="T49" i="15"/>
  <c r="Q30" i="15"/>
  <c r="Q85" i="15"/>
  <c r="T16" i="15"/>
  <c r="T145" i="15"/>
  <c r="U117" i="15"/>
  <c r="S29" i="15"/>
  <c r="S84" i="15"/>
  <c r="V97" i="15" l="1"/>
  <c r="V89" i="15"/>
  <c r="V96" i="15"/>
  <c r="V136" i="15"/>
  <c r="V91" i="15"/>
  <c r="V56" i="15"/>
  <c r="V37" i="15"/>
  <c r="S124" i="15"/>
  <c r="V94" i="15"/>
  <c r="T124" i="15"/>
  <c r="R41" i="15"/>
  <c r="U124" i="15"/>
  <c r="V142" i="15"/>
  <c r="V28" i="15"/>
  <c r="V123" i="15"/>
  <c r="V23" i="15"/>
  <c r="V22" i="15" s="1"/>
  <c r="P22" i="15"/>
  <c r="R124" i="15"/>
  <c r="U14" i="15"/>
  <c r="V117" i="15"/>
  <c r="U107" i="15"/>
  <c r="V38" i="15"/>
  <c r="V29" i="15"/>
  <c r="Q82" i="15"/>
  <c r="V126" i="15"/>
  <c r="V144" i="15"/>
  <c r="V43" i="15"/>
  <c r="Q130" i="15"/>
  <c r="V114" i="15"/>
  <c r="V83" i="15"/>
  <c r="P82" i="15"/>
  <c r="S22" i="15"/>
  <c r="T82" i="15"/>
  <c r="V50" i="15"/>
  <c r="Q41" i="15"/>
  <c r="V149" i="15"/>
  <c r="U41" i="15"/>
  <c r="P107" i="15"/>
  <c r="V108" i="15"/>
  <c r="V84" i="15"/>
  <c r="V20" i="15"/>
  <c r="V148" i="15"/>
  <c r="V51" i="15"/>
  <c r="V116" i="15"/>
  <c r="T41" i="15"/>
  <c r="P14" i="15"/>
  <c r="V15" i="15"/>
  <c r="V14" i="15" s="1"/>
  <c r="V119" i="15"/>
  <c r="Q107" i="15"/>
  <c r="T130" i="15"/>
  <c r="V42" i="15"/>
  <c r="P41" i="15"/>
  <c r="Q14" i="15"/>
  <c r="V105" i="15"/>
  <c r="T14" i="15"/>
  <c r="U22" i="15"/>
  <c r="S41" i="15"/>
  <c r="V138" i="15"/>
  <c r="V48" i="15"/>
  <c r="V137" i="15"/>
  <c r="V85" i="15"/>
  <c r="R22" i="15"/>
  <c r="V112" i="15"/>
  <c r="V139" i="15"/>
  <c r="P124" i="15"/>
  <c r="V125" i="15"/>
  <c r="V95" i="15"/>
  <c r="U130" i="15"/>
  <c r="T107" i="15"/>
  <c r="V106" i="15"/>
  <c r="S107" i="15"/>
  <c r="V143" i="15"/>
  <c r="V49" i="15"/>
  <c r="V133" i="15"/>
  <c r="T22" i="15"/>
  <c r="V109" i="15"/>
  <c r="V132" i="15"/>
  <c r="V145" i="15"/>
  <c r="Q22" i="15"/>
  <c r="R14" i="15"/>
  <c r="V118" i="15"/>
  <c r="R107" i="15"/>
  <c r="V104" i="15"/>
  <c r="U82" i="15"/>
  <c r="R82" i="15"/>
  <c r="S14" i="15"/>
  <c r="V24" i="15"/>
  <c r="V111" i="15"/>
  <c r="S130" i="15"/>
  <c r="S82" i="15"/>
  <c r="P130" i="15"/>
  <c r="V131" i="15"/>
  <c r="V55" i="15"/>
  <c r="V90" i="15"/>
  <c r="R130" i="15"/>
  <c r="V41" i="15" l="1"/>
  <c r="V107" i="15"/>
  <c r="V124" i="15"/>
  <c r="V82" i="15"/>
  <c r="V130" i="15"/>
</calcChain>
</file>

<file path=xl/comments1.xml><?xml version="1.0" encoding="utf-8"?>
<comments xmlns="http://schemas.openxmlformats.org/spreadsheetml/2006/main">
  <authors>
    <author>Skudneski, Sandyn</author>
  </authors>
  <commentList>
    <comment ref="C4" authorId="0">
      <text>
        <r>
          <rPr>
            <sz val="10"/>
            <color indexed="81"/>
            <rFont val="Tahoma"/>
            <family val="2"/>
          </rPr>
          <t>Clicking on the Presenter Name will open a preformatted email to that presenter.
Please do not contact Presenters or Principal investigators prior to the reivew to avoid the appearance of influence.</t>
        </r>
      </text>
    </comment>
    <comment ref="D6" authorId="0">
      <text>
        <r>
          <rPr>
            <sz val="10"/>
            <color indexed="81"/>
            <rFont val="Tahoma"/>
            <family val="2"/>
          </rPr>
          <t xml:space="preserve">If you have a conflict you may view the presentation. Please do not complete the score sheet and select "Yes" in the drop down menu of the cell below.
</t>
        </r>
      </text>
    </comment>
  </commentList>
</comments>
</file>

<file path=xl/comments2.xml><?xml version="1.0" encoding="utf-8"?>
<comments xmlns="http://schemas.openxmlformats.org/spreadsheetml/2006/main">
  <authors>
    <author>Skudneski, Sandyn</author>
  </authors>
  <commentList>
    <comment ref="C4" authorId="0">
      <text>
        <r>
          <rPr>
            <sz val="10"/>
            <color indexed="81"/>
            <rFont val="Tahoma"/>
            <family val="2"/>
          </rPr>
          <t>Clicking on the Presenter Name will open a preformatted email to that presenter.
Please do not contact Presenters or Principal investigators prior to the reivew to avoid the appearance of influence.</t>
        </r>
      </text>
    </comment>
    <comment ref="D6" authorId="0">
      <text>
        <r>
          <rPr>
            <sz val="10"/>
            <color indexed="81"/>
            <rFont val="Tahoma"/>
            <family val="2"/>
          </rPr>
          <t xml:space="preserve">If you have a conflict you may view the presentation. Please do not complete the score sheet and select "Yes" in the drop down menu of the cell below.
</t>
        </r>
      </text>
    </comment>
  </commentList>
</comments>
</file>

<file path=xl/comments3.xml><?xml version="1.0" encoding="utf-8"?>
<comments xmlns="http://schemas.openxmlformats.org/spreadsheetml/2006/main">
  <authors>
    <author>Skudneski, Sandyn</author>
  </authors>
  <commentList>
    <comment ref="C4" authorId="0">
      <text>
        <r>
          <rPr>
            <sz val="10"/>
            <color indexed="81"/>
            <rFont val="Tahoma"/>
            <family val="2"/>
          </rPr>
          <t>Clicking on the Presenter Name will open a preformatted email to that presenter.
Please do not contact Presenters or Principal investigators prior to the reivew to avoid the appearance of influence.</t>
        </r>
      </text>
    </comment>
    <comment ref="D6" authorId="0">
      <text>
        <r>
          <rPr>
            <sz val="10"/>
            <color indexed="81"/>
            <rFont val="Tahoma"/>
            <family val="2"/>
          </rPr>
          <t xml:space="preserve">If you have a conflict you may view the presentation. Please do not complete the score sheet and select "Yes" in the drop down menu of the cell below.
</t>
        </r>
      </text>
    </comment>
  </commentList>
</comments>
</file>

<file path=xl/sharedStrings.xml><?xml version="1.0" encoding="utf-8"?>
<sst xmlns="http://schemas.openxmlformats.org/spreadsheetml/2006/main" count="2602" uniqueCount="861">
  <si>
    <t>Presenter Name:</t>
  </si>
  <si>
    <t>Presenter Org:</t>
  </si>
  <si>
    <t>Provide specific, concise comments to support your evaluation.</t>
  </si>
  <si>
    <t>score</t>
  </si>
  <si>
    <t>5 -</t>
  </si>
  <si>
    <t>4 -</t>
  </si>
  <si>
    <t>3 -</t>
  </si>
  <si>
    <t>2 -</t>
  </si>
  <si>
    <t>1 -</t>
  </si>
  <si>
    <t>Q1</t>
  </si>
  <si>
    <t>NA -</t>
  </si>
  <si>
    <t>Outstanding</t>
  </si>
  <si>
    <t>Good</t>
  </si>
  <si>
    <t>Average</t>
  </si>
  <si>
    <t>Fair</t>
  </si>
  <si>
    <t>Poor</t>
  </si>
  <si>
    <t>Project is complete, so no future research is proposed.</t>
  </si>
  <si>
    <t>Proposed future research is marginally relevant and may achieve its intended impact.</t>
  </si>
  <si>
    <t>Excellent project design and technically feasible; approach will likely be successful.</t>
  </si>
  <si>
    <t>Well designed and technically feasible; continue to move forward with this approach.</t>
  </si>
  <si>
    <t>Generally effective.</t>
  </si>
  <si>
    <t>Ineffective approach to meet project objectives; new methods should be developed.</t>
  </si>
  <si>
    <t>Excellent accomplishments and progress; little to no monitoring needed for excellent project results.</t>
  </si>
  <si>
    <t>Good progress; successful outcome is likely.</t>
  </si>
  <si>
    <t>Accomplishments and progress appear behind schedule or short of original goals; extra project monitoring needed to improve outcome.</t>
  </si>
  <si>
    <t>Excellent project management demonstrated that should result in well-run, successful project.</t>
  </si>
  <si>
    <t>Project management appears successful and should result in an in-scope, on-time, within-budget project.</t>
  </si>
  <si>
    <t>Project management should result in completion of objectives mostly within scope, on-time, and within budget.</t>
  </si>
  <si>
    <t>Project management evidence indicates project may have issues with executing within scope, on-time, and/or within budget.</t>
  </si>
  <si>
    <t>Poor project management demonstrated. Project likely to have significant overruns in schedule or budget, and may need re-scoping.</t>
  </si>
  <si>
    <t>Close, appropriate coordination with other institutions; results reaching appropriate audiences.</t>
  </si>
  <si>
    <t>Some coordination across institutions; some technology transfer and communications demonstrated.</t>
  </si>
  <si>
    <t>Little coordination exists across institutions, to the detriment of the project; weak evidence of technology transfer and/or communications.</t>
  </si>
  <si>
    <t>Proposed future research is not relevant or does not appear likely to achieve results. Consider de-funding.</t>
  </si>
  <si>
    <t>Not Applicable</t>
  </si>
  <si>
    <r>
      <t xml:space="preserve">Reviewer:  </t>
    </r>
    <r>
      <rPr>
        <sz val="11"/>
        <color indexed="8"/>
        <rFont val="Arial"/>
        <family val="2"/>
      </rPr>
      <t xml:space="preserve"> </t>
    </r>
  </si>
  <si>
    <t>Q2</t>
  </si>
  <si>
    <t>Q3</t>
  </si>
  <si>
    <t>Q4</t>
  </si>
  <si>
    <t>Q5</t>
  </si>
  <si>
    <t>Q6</t>
  </si>
  <si>
    <t>Weight 30%</t>
  </si>
  <si>
    <t>Stand Alone Metric</t>
  </si>
  <si>
    <t>Weight 20%</t>
  </si>
  <si>
    <t>Weight 10%</t>
  </si>
  <si>
    <t>Comments</t>
  </si>
  <si>
    <t>Q7</t>
  </si>
  <si>
    <t>Q1.Score</t>
  </si>
  <si>
    <t>ProjectName</t>
  </si>
  <si>
    <t>PresenterName</t>
  </si>
  <si>
    <t>Reviewer</t>
  </si>
  <si>
    <t>PresenterOrg</t>
  </si>
  <si>
    <t>Q1C1</t>
  </si>
  <si>
    <t>Q1C2</t>
  </si>
  <si>
    <t>Q1C3</t>
  </si>
  <si>
    <t>Q1C4</t>
  </si>
  <si>
    <t>Q1C5</t>
  </si>
  <si>
    <t>Q1C6</t>
  </si>
  <si>
    <t>Q2C1</t>
  </si>
  <si>
    <t>Q2C2</t>
  </si>
  <si>
    <t>Q2C3</t>
  </si>
  <si>
    <t>Q2C4</t>
  </si>
  <si>
    <t>Q2C5</t>
  </si>
  <si>
    <t>Q2C6</t>
  </si>
  <si>
    <t>Q2.Score</t>
  </si>
  <si>
    <t>Q3C1</t>
  </si>
  <si>
    <t>Q3C2</t>
  </si>
  <si>
    <t>Q3C3</t>
  </si>
  <si>
    <t>Q3C4</t>
  </si>
  <si>
    <t>Q3C5</t>
  </si>
  <si>
    <t>Q3C6</t>
  </si>
  <si>
    <t>Q4.Score</t>
  </si>
  <si>
    <t>Q4C1</t>
  </si>
  <si>
    <t>Q4C2</t>
  </si>
  <si>
    <t>Q4C3</t>
  </si>
  <si>
    <t>Q4C4</t>
  </si>
  <si>
    <t>Q4C5</t>
  </si>
  <si>
    <t>Q4C6</t>
  </si>
  <si>
    <t>Q5.Score</t>
  </si>
  <si>
    <t>Q5C1</t>
  </si>
  <si>
    <t>Q5C2</t>
  </si>
  <si>
    <t>Q5C3</t>
  </si>
  <si>
    <t>Q5C4</t>
  </si>
  <si>
    <t>Q5C5</t>
  </si>
  <si>
    <t>Q5C6</t>
  </si>
  <si>
    <t>Q6.Score</t>
  </si>
  <si>
    <t>Q6C1</t>
  </si>
  <si>
    <t>Q6C2</t>
  </si>
  <si>
    <t>Q6C3</t>
  </si>
  <si>
    <t>Q6C4</t>
  </si>
  <si>
    <t>Q6C5</t>
  </si>
  <si>
    <t>Q6C6</t>
  </si>
  <si>
    <t>Q7C1</t>
  </si>
  <si>
    <t>Q7C2</t>
  </si>
  <si>
    <t>Q7C3</t>
  </si>
  <si>
    <t>Q7C4</t>
  </si>
  <si>
    <t>Q7C5</t>
  </si>
  <si>
    <t>Q7C6</t>
  </si>
  <si>
    <t>Q8C1</t>
  </si>
  <si>
    <t>Q8C2</t>
  </si>
  <si>
    <t>Q8C3</t>
  </si>
  <si>
    <t>Q8C4</t>
  </si>
  <si>
    <t>Q8C5</t>
  </si>
  <si>
    <t>Q8C6</t>
  </si>
  <si>
    <t>Q9C1</t>
  </si>
  <si>
    <t>Q9C2</t>
  </si>
  <si>
    <t>Q9C3</t>
  </si>
  <si>
    <t>Q9C4</t>
  </si>
  <si>
    <t>Q9C5</t>
  </si>
  <si>
    <t>Q9C6</t>
  </si>
  <si>
    <t>Page</t>
  </si>
  <si>
    <t>1 of 3</t>
  </si>
  <si>
    <t>2 of 3</t>
  </si>
  <si>
    <t>3 of 3</t>
  </si>
  <si>
    <t>Q1C1.KF</t>
  </si>
  <si>
    <t>Q1C1.Rating</t>
  </si>
  <si>
    <t>Q1C2.KF</t>
  </si>
  <si>
    <t>Q1C2.Rating</t>
  </si>
  <si>
    <t>Q1C3.KF</t>
  </si>
  <si>
    <t>Q1C3.Rating</t>
  </si>
  <si>
    <t>Q1C4.KF</t>
  </si>
  <si>
    <t>Q1C4.Rating</t>
  </si>
  <si>
    <t>Q1C5.KF</t>
  </si>
  <si>
    <t>Q1C5.Rating</t>
  </si>
  <si>
    <t>Q1C6.KF</t>
  </si>
  <si>
    <t>Q1C6.Rating</t>
  </si>
  <si>
    <t>Q2C1.KF</t>
  </si>
  <si>
    <t>Q2C1.Rating</t>
  </si>
  <si>
    <t>Q2C2.KF</t>
  </si>
  <si>
    <t>Q2C2.Rating</t>
  </si>
  <si>
    <t>Q2C3.KF</t>
  </si>
  <si>
    <t>Q2C3.Rating</t>
  </si>
  <si>
    <t>Q2C4.KF</t>
  </si>
  <si>
    <t>Q2C4.Rating</t>
  </si>
  <si>
    <t>Q2C5.KF</t>
  </si>
  <si>
    <t>Q2C5.Rating</t>
  </si>
  <si>
    <t>Q2C6.KF</t>
  </si>
  <si>
    <t>Q2C6.Rating</t>
  </si>
  <si>
    <t>Q3.Score</t>
  </si>
  <si>
    <t>Q3C1.KF</t>
  </si>
  <si>
    <t>Q3C1.Rating</t>
  </si>
  <si>
    <t>Q3C2.KF</t>
  </si>
  <si>
    <t>Q3C2.Rating</t>
  </si>
  <si>
    <t>Q3C3.KF</t>
  </si>
  <si>
    <t>Q3C3.Rating</t>
  </si>
  <si>
    <t>Q3C4.KF</t>
  </si>
  <si>
    <t>Q3C4.Rating</t>
  </si>
  <si>
    <t>Q3C5.KF</t>
  </si>
  <si>
    <t>Q3C5.Rating</t>
  </si>
  <si>
    <t>Q3C6.KF</t>
  </si>
  <si>
    <t>Q3C6.Rating</t>
  </si>
  <si>
    <t>Q4C1.KF</t>
  </si>
  <si>
    <t>Q4C1.Rating</t>
  </si>
  <si>
    <t>Q4C2.KF</t>
  </si>
  <si>
    <t>Q4C2.Rating</t>
  </si>
  <si>
    <t>Q4C3.KF</t>
  </si>
  <si>
    <t>Q4C3.Rating</t>
  </si>
  <si>
    <t>Q4C4.KF</t>
  </si>
  <si>
    <t>Q4C4.Rating</t>
  </si>
  <si>
    <t>Q4C5.KF</t>
  </si>
  <si>
    <t>Q4C5.Rating</t>
  </si>
  <si>
    <t>Q4C6.KF</t>
  </si>
  <si>
    <t>Q4C6.Rating</t>
  </si>
  <si>
    <t>Q5C1.KF</t>
  </si>
  <si>
    <t>Q5C1.Rating</t>
  </si>
  <si>
    <t>Q5C2.KF</t>
  </si>
  <si>
    <t>Q5C2.Rating</t>
  </si>
  <si>
    <t>Q5C3.KF</t>
  </si>
  <si>
    <t>Q5C3.Rating</t>
  </si>
  <si>
    <t>Q5C4.KF</t>
  </si>
  <si>
    <t>Q5C4.Rating</t>
  </si>
  <si>
    <t>Q5C5.KF</t>
  </si>
  <si>
    <t>Q5C5.Rating</t>
  </si>
  <si>
    <t>Q5C6.KF</t>
  </si>
  <si>
    <t>Q5C6.Rating</t>
  </si>
  <si>
    <t>Q6C1.KF</t>
  </si>
  <si>
    <t>Q6C1.Rating</t>
  </si>
  <si>
    <t>Q6C2.KF</t>
  </si>
  <si>
    <t>Q6C2.Rating</t>
  </si>
  <si>
    <t>Q6C3.KF</t>
  </si>
  <si>
    <t>Q6C3.Rating</t>
  </si>
  <si>
    <t>Q6C4.KF</t>
  </si>
  <si>
    <t>Q6C4.Rating</t>
  </si>
  <si>
    <t>Q6C5.KF</t>
  </si>
  <si>
    <t>Q6C5.Rating</t>
  </si>
  <si>
    <t>Q6C6.KF</t>
  </si>
  <si>
    <t>Q6C6.Rating</t>
  </si>
  <si>
    <t>Q7C1.KF</t>
  </si>
  <si>
    <t>Q7C1.Rating</t>
  </si>
  <si>
    <t>Q7C2.KF</t>
  </si>
  <si>
    <t>Q7C2.Rating</t>
  </si>
  <si>
    <t>Q7C3.KF</t>
  </si>
  <si>
    <t>Q7C3.Rating</t>
  </si>
  <si>
    <t>Q7C4.KF</t>
  </si>
  <si>
    <t>Q7C4.Rating</t>
  </si>
  <si>
    <t>Q7C5.KF</t>
  </si>
  <si>
    <t>Q7C5.Rating</t>
  </si>
  <si>
    <t>Q7C6.KF</t>
  </si>
  <si>
    <t>Q7C6.Rating</t>
  </si>
  <si>
    <t>Q8C1.KF</t>
  </si>
  <si>
    <t>Q8C1.Rating</t>
  </si>
  <si>
    <t>Q8C2.KF</t>
  </si>
  <si>
    <t>Q8C2.Rating</t>
  </si>
  <si>
    <t>Q8C3.KF</t>
  </si>
  <si>
    <t>Q8C3.Rating</t>
  </si>
  <si>
    <t>Q8C4.KF</t>
  </si>
  <si>
    <t>Q8C4.Rating</t>
  </si>
  <si>
    <t>Q8C5.KF</t>
  </si>
  <si>
    <t>Q8C5.Rating</t>
  </si>
  <si>
    <t>Q8C6.KF</t>
  </si>
  <si>
    <t>Q8C6.Rating</t>
  </si>
  <si>
    <t>Q9C1.KF</t>
  </si>
  <si>
    <t>Q9C1.Rating</t>
  </si>
  <si>
    <t>Q9C2.KF</t>
  </si>
  <si>
    <t>Q9C2.Rating</t>
  </si>
  <si>
    <t>Q9C3.KF</t>
  </si>
  <si>
    <t>Q9C3.Rating</t>
  </si>
  <si>
    <t>Q9C4.KF</t>
  </si>
  <si>
    <t>Q9C4.Rating</t>
  </si>
  <si>
    <t>Q9C5.KF</t>
  </si>
  <si>
    <t>Q9C5.Rating</t>
  </si>
  <si>
    <t>Q9C6.KF</t>
  </si>
  <si>
    <t>Q9C6.Rating</t>
  </si>
  <si>
    <t>Key Finding</t>
  </si>
  <si>
    <t>A16</t>
  </si>
  <si>
    <t>B16</t>
  </si>
  <si>
    <t>F16</t>
  </si>
  <si>
    <t>A17</t>
  </si>
  <si>
    <t>B17</t>
  </si>
  <si>
    <t>F17</t>
  </si>
  <si>
    <t>A18</t>
  </si>
  <si>
    <t>B18</t>
  </si>
  <si>
    <t>F18</t>
  </si>
  <si>
    <t>A19</t>
  </si>
  <si>
    <t>B19</t>
  </si>
  <si>
    <t>F19</t>
  </si>
  <si>
    <t>A20</t>
  </si>
  <si>
    <t>B20</t>
  </si>
  <si>
    <t>F20</t>
  </si>
  <si>
    <t>A31</t>
  </si>
  <si>
    <t>B31</t>
  </si>
  <si>
    <t>F31</t>
  </si>
  <si>
    <t>A32</t>
  </si>
  <si>
    <t>B32</t>
  </si>
  <si>
    <t>F32</t>
  </si>
  <si>
    <t>A33</t>
  </si>
  <si>
    <t>B33</t>
  </si>
  <si>
    <t>F33</t>
  </si>
  <si>
    <t>A34</t>
  </si>
  <si>
    <t>B34</t>
  </si>
  <si>
    <t>F34</t>
  </si>
  <si>
    <t>A35</t>
  </si>
  <si>
    <t>B35</t>
  </si>
  <si>
    <t>F35</t>
  </si>
  <si>
    <t>A46</t>
  </si>
  <si>
    <t>B46</t>
  </si>
  <si>
    <t>F46</t>
  </si>
  <si>
    <t>A47</t>
  </si>
  <si>
    <t>B47</t>
  </si>
  <si>
    <t>F47</t>
  </si>
  <si>
    <t>A48</t>
  </si>
  <si>
    <t>B48</t>
  </si>
  <si>
    <t>F48</t>
  </si>
  <si>
    <t>A49</t>
  </si>
  <si>
    <t>B49</t>
  </si>
  <si>
    <t>F49</t>
  </si>
  <si>
    <t>A50</t>
  </si>
  <si>
    <t>B50</t>
  </si>
  <si>
    <t>F50</t>
  </si>
  <si>
    <t>A68</t>
  </si>
  <si>
    <t>B68</t>
  </si>
  <si>
    <t>F68</t>
  </si>
  <si>
    <t>A69</t>
  </si>
  <si>
    <t>B69</t>
  </si>
  <si>
    <t>F69</t>
  </si>
  <si>
    <t>A70</t>
  </si>
  <si>
    <t>B70</t>
  </si>
  <si>
    <t>F70</t>
  </si>
  <si>
    <t>A71</t>
  </si>
  <si>
    <t>B71</t>
  </si>
  <si>
    <t>F71</t>
  </si>
  <si>
    <t>A83</t>
  </si>
  <si>
    <t>B83</t>
  </si>
  <si>
    <t>F83</t>
  </si>
  <si>
    <t>A84</t>
  </si>
  <si>
    <t>B84</t>
  </si>
  <si>
    <t>F84</t>
  </si>
  <si>
    <t>A85</t>
  </si>
  <si>
    <t>B85</t>
  </si>
  <si>
    <t>F85</t>
  </si>
  <si>
    <t>A86</t>
  </si>
  <si>
    <t>B86</t>
  </si>
  <si>
    <t>F86</t>
  </si>
  <si>
    <t>A99</t>
  </si>
  <si>
    <t>B99</t>
  </si>
  <si>
    <t>F99</t>
  </si>
  <si>
    <t>A100</t>
  </si>
  <si>
    <t>B100</t>
  </si>
  <si>
    <t>F100</t>
  </si>
  <si>
    <t>A101</t>
  </si>
  <si>
    <t>B101</t>
  </si>
  <si>
    <t>F101</t>
  </si>
  <si>
    <t>A102</t>
  </si>
  <si>
    <t>B102</t>
  </si>
  <si>
    <t>F102</t>
  </si>
  <si>
    <t>A115</t>
  </si>
  <si>
    <t>B115</t>
  </si>
  <si>
    <t>F115</t>
  </si>
  <si>
    <t>A116</t>
  </si>
  <si>
    <t>B116</t>
  </si>
  <si>
    <t>F116</t>
  </si>
  <si>
    <t>A117</t>
  </si>
  <si>
    <t>B117</t>
  </si>
  <si>
    <t>F117</t>
  </si>
  <si>
    <t>A124</t>
  </si>
  <si>
    <t>B124</t>
  </si>
  <si>
    <t>F124</t>
  </si>
  <si>
    <t>A125</t>
  </si>
  <si>
    <t>B125</t>
  </si>
  <si>
    <t>F125</t>
  </si>
  <si>
    <t>A126</t>
  </si>
  <si>
    <t>B126</t>
  </si>
  <si>
    <t>F126</t>
  </si>
  <si>
    <t>A133</t>
  </si>
  <si>
    <t>B133</t>
  </si>
  <si>
    <t>F133</t>
  </si>
  <si>
    <t>A134</t>
  </si>
  <si>
    <t>B134</t>
  </si>
  <si>
    <t>F134</t>
  </si>
  <si>
    <t>A135</t>
  </si>
  <si>
    <t>B135</t>
  </si>
  <si>
    <t>F135</t>
  </si>
  <si>
    <t>Q8</t>
  </si>
  <si>
    <t>Q9</t>
  </si>
  <si>
    <t xml:space="preserve"> </t>
  </si>
  <si>
    <t>Comment Category</t>
  </si>
  <si>
    <t>Recommendations</t>
  </si>
  <si>
    <t>Project Evaluation Form  for</t>
  </si>
  <si>
    <t>Sum1</t>
  </si>
  <si>
    <t>Pres1</t>
  </si>
  <si>
    <t>Sum2</t>
  </si>
  <si>
    <t>Pres2</t>
  </si>
  <si>
    <t>Enter comment in</t>
  </si>
  <si>
    <t>green shaded cells</t>
  </si>
  <si>
    <t>Date</t>
  </si>
  <si>
    <t>Project</t>
  </si>
  <si>
    <t>Presenter1</t>
  </si>
  <si>
    <t>Links for Assigned Reviews</t>
  </si>
  <si>
    <t>Room</t>
  </si>
  <si>
    <t>Start</t>
  </si>
  <si>
    <t>End</t>
  </si>
  <si>
    <t>ProjectID</t>
  </si>
  <si>
    <t>C4</t>
  </si>
  <si>
    <t>E4</t>
  </si>
  <si>
    <t>C5</t>
  </si>
  <si>
    <t>E5</t>
  </si>
  <si>
    <t>F11</t>
  </si>
  <si>
    <t>A21</t>
  </si>
  <si>
    <t>B21</t>
  </si>
  <si>
    <t>F21</t>
  </si>
  <si>
    <t>F26</t>
  </si>
  <si>
    <t>A36</t>
  </si>
  <si>
    <t>B36</t>
  </si>
  <si>
    <t>F36</t>
  </si>
  <si>
    <t>F41</t>
  </si>
  <si>
    <t>A51</t>
  </si>
  <si>
    <t>B51</t>
  </si>
  <si>
    <t>F51</t>
  </si>
  <si>
    <t>F63</t>
  </si>
  <si>
    <t>A72</t>
  </si>
  <si>
    <t>B72</t>
  </si>
  <si>
    <t>F72</t>
  </si>
  <si>
    <t>A73</t>
  </si>
  <si>
    <t>B73</t>
  </si>
  <si>
    <t>F73</t>
  </si>
  <si>
    <t>F78</t>
  </si>
  <si>
    <t>A87</t>
  </si>
  <si>
    <t>B87</t>
  </si>
  <si>
    <t>F87</t>
  </si>
  <si>
    <t>A88</t>
  </si>
  <si>
    <t>B88</t>
  </si>
  <si>
    <t>F88</t>
  </si>
  <si>
    <t>F93</t>
  </si>
  <si>
    <t>A103</t>
  </si>
  <si>
    <t>B103</t>
  </si>
  <si>
    <t>F103</t>
  </si>
  <si>
    <t>A104</t>
  </si>
  <si>
    <t>B104</t>
  </si>
  <si>
    <t>F104</t>
  </si>
  <si>
    <t>A118</t>
  </si>
  <si>
    <t>B118</t>
  </si>
  <si>
    <t>F118</t>
  </si>
  <si>
    <t>A119</t>
  </si>
  <si>
    <t>B119</t>
  </si>
  <si>
    <t>F119</t>
  </si>
  <si>
    <t>A120</t>
  </si>
  <si>
    <t>B120</t>
  </si>
  <si>
    <t>F120</t>
  </si>
  <si>
    <t>B127</t>
  </si>
  <si>
    <t>F127</t>
  </si>
  <si>
    <t>A127</t>
  </si>
  <si>
    <t>A128</t>
  </si>
  <si>
    <t>B128</t>
  </si>
  <si>
    <t>F128</t>
  </si>
  <si>
    <t>A129</t>
  </si>
  <si>
    <t>B129</t>
  </si>
  <si>
    <t>F129</t>
  </si>
  <si>
    <t>A136</t>
  </si>
  <si>
    <t>B136</t>
  </si>
  <si>
    <t>F136</t>
  </si>
  <si>
    <t>A137</t>
  </si>
  <si>
    <t>B137</t>
  </si>
  <si>
    <t>F137</t>
  </si>
  <si>
    <t>A138</t>
  </si>
  <si>
    <t>B138</t>
  </si>
  <si>
    <t>F138</t>
  </si>
  <si>
    <t>Not Scored</t>
  </si>
  <si>
    <r>
      <t xml:space="preserve">Project Weaknesses
</t>
    </r>
    <r>
      <rPr>
        <sz val="10"/>
        <rFont val="Arial"/>
        <family val="2"/>
      </rPr>
      <t>Discuss the aspects of the project that hinder successful outcomes or that disadvantages the project. Factors may be internal or external.</t>
    </r>
  </si>
  <si>
    <t>Has significant weaknesses in methods; requires significant improvement.</t>
  </si>
  <si>
    <t>Close coordination with other institutions strengthens project impact; results well-documented and being communicated to appropriate audiences.</t>
  </si>
  <si>
    <t>No collaboration or coordination with other institutions significantly weakens the project; no evidence of technology transfer and/or communications.</t>
  </si>
  <si>
    <r>
      <rPr>
        <b/>
        <u/>
        <sz val="11"/>
        <rFont val="Arial"/>
        <family val="2"/>
      </rPr>
      <t>Project Management</t>
    </r>
    <r>
      <rPr>
        <sz val="11"/>
        <color indexed="8"/>
        <rFont val="Arial"/>
        <family val="2"/>
      </rPr>
      <t xml:space="preserve">
</t>
    </r>
    <r>
      <rPr>
        <sz val="10"/>
        <color indexed="8"/>
        <rFont val="Arial"/>
        <family val="2"/>
      </rPr>
      <t>The effectiveness of the project's management, including project planning, project execution, and allocation of resources to complete the project within scope, on-time, and within budget.</t>
    </r>
  </si>
  <si>
    <r>
      <rPr>
        <b/>
        <u/>
        <sz val="11"/>
        <rFont val="Arial"/>
        <family val="2"/>
      </rPr>
      <t>Proposed Future Research (if applicable)</t>
    </r>
    <r>
      <rPr>
        <sz val="11"/>
        <color indexed="8"/>
        <rFont val="Arial"/>
        <family val="2"/>
      </rPr>
      <t xml:space="preserve">
</t>
    </r>
    <r>
      <rPr>
        <sz val="10"/>
        <color indexed="8"/>
        <rFont val="Arial"/>
        <family val="2"/>
      </rPr>
      <t>The degree to which the future research proposed is relevant, well-planned, and worthwhile of continued funding.</t>
    </r>
  </si>
  <si>
    <t/>
  </si>
  <si>
    <t>PRID</t>
  </si>
  <si>
    <t>Reviewer:</t>
  </si>
  <si>
    <t>Reviewer Schedule Notes</t>
  </si>
  <si>
    <t xml:space="preserve">PR Project ID: </t>
  </si>
  <si>
    <t>Score ?'s / Notes:</t>
  </si>
  <si>
    <t>C3</t>
  </si>
  <si>
    <t>2014 U.S. DOE Wind Power Peer Review</t>
  </si>
  <si>
    <t>Day</t>
  </si>
  <si>
    <t>Conflict?</t>
  </si>
  <si>
    <t>D7</t>
  </si>
  <si>
    <t>E6</t>
  </si>
  <si>
    <t>ConflictYN</t>
  </si>
  <si>
    <t>ConflictNotes</t>
  </si>
  <si>
    <t>Track</t>
  </si>
  <si>
    <t>PI Bio</t>
  </si>
  <si>
    <t>Enter comment in green shaded cells</t>
  </si>
  <si>
    <t>Budget Information</t>
  </si>
  <si>
    <r>
      <t>Links to published papers</t>
    </r>
    <r>
      <rPr>
        <b/>
        <u/>
        <sz val="8"/>
        <color theme="1"/>
        <rFont val="Arial"/>
        <family val="2"/>
      </rPr>
      <t xml:space="preserve"> (if available)</t>
    </r>
  </si>
  <si>
    <t>Adequate accomplishments and progress. Continue monitoring.</t>
  </si>
  <si>
    <t>Little or no demonstrated progress made. Major course correction needed to achieve success.</t>
  </si>
  <si>
    <r>
      <rPr>
        <b/>
        <u/>
        <sz val="11"/>
        <rFont val="Arial"/>
        <family val="2"/>
      </rPr>
      <t>Research Integration, Collaboration, and Technology Transfer</t>
    </r>
    <r>
      <rPr>
        <sz val="11"/>
        <color indexed="8"/>
        <rFont val="Arial"/>
        <family val="2"/>
      </rPr>
      <t xml:space="preserve"> 
</t>
    </r>
    <r>
      <rPr>
        <sz val="10"/>
        <color indexed="8"/>
        <rFont val="Arial"/>
        <family val="2"/>
      </rPr>
      <t>With industry/universities/other laboratories – the degree to which the project successfully interacts, interfaces, or coordinates with other institutions and projects, and the degree to which projects are disseminating the results of the R&amp;D.</t>
    </r>
  </si>
  <si>
    <t>Proposed future research is critical for Water Energy Office and industry success, appears well-planned and achievable, and should be prioritized for funding.</t>
  </si>
  <si>
    <t>Proposed future research aligns well with Water Energy Office and industry needs, and appears likely to deliver results.</t>
  </si>
  <si>
    <t>Proposed future research is moderately relevant to Water Energy Office and industry needs, with moderate likelihood for impact.</t>
  </si>
  <si>
    <r>
      <t xml:space="preserve">Project Strengths
</t>
    </r>
    <r>
      <rPr>
        <sz val="10"/>
        <rFont val="Arial"/>
        <family val="2"/>
      </rPr>
      <t>Discuss the aspects of the project that support successful outcomes or that provides an advantage to the project. Factors may be internal or external.</t>
    </r>
  </si>
  <si>
    <t>Conflict Note: Replace this text with conflict notes if desired.</t>
  </si>
  <si>
    <t>Alana Duerr</t>
  </si>
  <si>
    <t>Charlton Clark</t>
  </si>
  <si>
    <t>Jocelyn Brown-Saracino</t>
  </si>
  <si>
    <t>Joel Cline</t>
  </si>
  <si>
    <t>Megan McCluer</t>
  </si>
  <si>
    <t>Patrick Gilman</t>
  </si>
  <si>
    <r>
      <rPr>
        <b/>
        <u/>
        <sz val="11"/>
        <rFont val="Arial"/>
        <family val="2"/>
      </rPr>
      <t xml:space="preserve">Methods/Approach
</t>
    </r>
    <r>
      <rPr>
        <sz val="10"/>
        <color indexed="8"/>
        <rFont val="Arial"/>
        <family val="2"/>
      </rPr>
      <t>the degree to which the project is well designed, technically feasible, and likely to overcome the technical and non-technical barriers.</t>
    </r>
  </si>
  <si>
    <r>
      <rPr>
        <b/>
        <u/>
        <sz val="11"/>
        <rFont val="Arial"/>
        <family val="2"/>
      </rPr>
      <t>Technical Accomplishments and Progress</t>
    </r>
    <r>
      <rPr>
        <sz val="11"/>
        <color indexed="8"/>
        <rFont val="Arial"/>
        <family val="2"/>
      </rPr>
      <t xml:space="preserve">
</t>
    </r>
    <r>
      <rPr>
        <sz val="10"/>
        <color indexed="8"/>
        <rFont val="Arial"/>
        <family val="2"/>
      </rPr>
      <t>The degree to which the project has delivered results and/or progressed technically compared to the stated project schedule and goals.</t>
    </r>
  </si>
  <si>
    <t>Video1OfflineLink</t>
  </si>
  <si>
    <t>Video2OfflineLink</t>
  </si>
  <si>
    <t>ProjectTitle</t>
  </si>
  <si>
    <t>PresentationTitle</t>
  </si>
  <si>
    <t>Presentation.Minutes</t>
  </si>
  <si>
    <t>QA.Minutes</t>
  </si>
  <si>
    <t>Start Time</t>
  </si>
  <si>
    <t>End Time</t>
  </si>
  <si>
    <t>EvaluationArea</t>
  </si>
  <si>
    <t>Awardee(s)</t>
  </si>
  <si>
    <t>PI.Name</t>
  </si>
  <si>
    <t>PI.Email</t>
  </si>
  <si>
    <t>Presenter1.Email</t>
  </si>
  <si>
    <t>Presenter1.Org</t>
  </si>
  <si>
    <t>Presenter2</t>
  </si>
  <si>
    <t>Presenter2.Email</t>
  </si>
  <si>
    <t>Presenter2.Org</t>
  </si>
  <si>
    <t>Reviewer1</t>
  </si>
  <si>
    <t>Reviewer2</t>
  </si>
  <si>
    <t>Reviewer3</t>
  </si>
  <si>
    <t>Reviewer4</t>
  </si>
  <si>
    <t>Reviewer5</t>
  </si>
  <si>
    <t>Reviewer6</t>
  </si>
  <si>
    <t>ProgramReview</t>
  </si>
  <si>
    <t>Moderator</t>
  </si>
  <si>
    <t>NoteTaker</t>
  </si>
  <si>
    <t>Notes</t>
  </si>
  <si>
    <t>Sum1Title</t>
  </si>
  <si>
    <t>Pres1Title</t>
  </si>
  <si>
    <t>Poster1Title</t>
  </si>
  <si>
    <t>Sum2Title</t>
  </si>
  <si>
    <t>Pres2Title</t>
  </si>
  <si>
    <t>Poster2Title</t>
  </si>
  <si>
    <t>Sum1OfflineLink</t>
  </si>
  <si>
    <t>Pres1OfflineLink</t>
  </si>
  <si>
    <t>Poster1OfflineLink</t>
  </si>
  <si>
    <t>Poster2OfflineLink</t>
  </si>
  <si>
    <t>Sum1OnlineLink</t>
  </si>
  <si>
    <t>Pres1OnlineLink</t>
  </si>
  <si>
    <t>Poster1OnlineLink</t>
  </si>
  <si>
    <t>Sum2OnlineLink</t>
  </si>
  <si>
    <t>Pres2OnlineLink</t>
  </si>
  <si>
    <t>Poster2OnlineLink</t>
  </si>
  <si>
    <t>ProjectAwardID</t>
  </si>
  <si>
    <t>ProjectAwardType</t>
  </si>
  <si>
    <t>Pre-FY12.DOE</t>
  </si>
  <si>
    <t>FY12-FY13.DOE</t>
  </si>
  <si>
    <t>FY12-FY13.SHARE</t>
  </si>
  <si>
    <t>FY12-FY13.TOTAL</t>
  </si>
  <si>
    <t>FY14-Estimate.DOE</t>
  </si>
  <si>
    <t>PIBio</t>
  </si>
  <si>
    <t>PublishLink1</t>
  </si>
  <si>
    <t>PublishLink2</t>
  </si>
  <si>
    <t>PublishLink3</t>
  </si>
  <si>
    <t>PublishLink4</t>
  </si>
  <si>
    <t>PublishLink5</t>
  </si>
  <si>
    <t>PublishLink6</t>
  </si>
  <si>
    <t>PublishLink7</t>
  </si>
  <si>
    <t>DOE</t>
  </si>
  <si>
    <t>Jose Zayas</t>
  </si>
  <si>
    <t>Chairperson Welcome and Intro to Panel</t>
  </si>
  <si>
    <t>NREL</t>
  </si>
  <si>
    <t>BREAK</t>
  </si>
  <si>
    <t>LUNCH</t>
  </si>
  <si>
    <t>tbd</t>
  </si>
  <si>
    <t>Bri-Mathias Hodge</t>
  </si>
  <si>
    <t>Jim Wilczak</t>
  </si>
  <si>
    <t>PNNL</t>
  </si>
  <si>
    <t>Mike Derby</t>
  </si>
  <si>
    <t>Alan Wright</t>
  </si>
  <si>
    <t>Amy Robertson</t>
  </si>
  <si>
    <t>SNL</t>
  </si>
  <si>
    <t>Jesse Roberts</t>
  </si>
  <si>
    <t>SRNL</t>
  </si>
  <si>
    <t>Todd Griffith</t>
  </si>
  <si>
    <t>Brian Naughton</t>
  </si>
  <si>
    <t>Jonathan Keller</t>
  </si>
  <si>
    <t>ANL</t>
  </si>
  <si>
    <t>Will Shaw</t>
  </si>
  <si>
    <t>Karin Sinclair</t>
  </si>
  <si>
    <t>Grid</t>
  </si>
  <si>
    <t>Jason Fields</t>
  </si>
  <si>
    <t>Eric Smith</t>
  </si>
  <si>
    <t>Chris Wissemann</t>
  </si>
  <si>
    <t>Project Icebreaker</t>
  </si>
  <si>
    <t>Lake Erie Energy Development Corporation</t>
  </si>
  <si>
    <t>Principle Power, Inc.</t>
  </si>
  <si>
    <t>WindFloat Pacific Project</t>
  </si>
  <si>
    <t>Hywind Maine Project</t>
  </si>
  <si>
    <t>The University of Maine's New England Aqua Ventus I Program</t>
  </si>
  <si>
    <t>University of Maine</t>
  </si>
  <si>
    <t>Dave Simms</t>
  </si>
  <si>
    <t>Jon White</t>
  </si>
  <si>
    <t>Andrea Copping</t>
  </si>
  <si>
    <t>Ian Baring-Gould</t>
  </si>
  <si>
    <t>Ben Karlson</t>
  </si>
  <si>
    <t>Aaron Bloom</t>
  </si>
  <si>
    <t>INL</t>
  </si>
  <si>
    <t>Audun Botterud</t>
  </si>
  <si>
    <t>LBNL</t>
  </si>
  <si>
    <t>General</t>
  </si>
  <si>
    <t>Travel and Check In</t>
  </si>
  <si>
    <t>NULL</t>
  </si>
  <si>
    <t>No-host Happy Hour at the Potomac Bar</t>
  </si>
  <si>
    <t>Joint Breakfast with Wind and Water Attendees</t>
  </si>
  <si>
    <t>Commonwealth Ballroom</t>
  </si>
  <si>
    <t>Facilitator Welcome</t>
  </si>
  <si>
    <t>Alex Lemke</t>
  </si>
  <si>
    <t>WPG16001</t>
  </si>
  <si>
    <t>Wind Director Welcome</t>
  </si>
  <si>
    <t>HPG16001</t>
  </si>
  <si>
    <t>Water Director Welcome</t>
  </si>
  <si>
    <t>TRANSITION</t>
  </si>
  <si>
    <t>Program Lead Presentation</t>
  </si>
  <si>
    <t>Chair</t>
  </si>
  <si>
    <t>ORNL</t>
  </si>
  <si>
    <t>Breakfast</t>
  </si>
  <si>
    <t>Daily Recap</t>
  </si>
  <si>
    <t>Recap</t>
  </si>
  <si>
    <t>Walt Musial</t>
  </si>
  <si>
    <t>All Panels Debrief with ALL DOE (working lunch)</t>
  </si>
  <si>
    <t>Reviewer Note Taking Time</t>
  </si>
  <si>
    <t>Foyer</t>
  </si>
  <si>
    <t>Cavalier C</t>
  </si>
  <si>
    <t>Session</t>
  </si>
  <si>
    <t>Wrap-up</t>
  </si>
  <si>
    <t>PublishLink8</t>
  </si>
  <si>
    <t>PublishLink9</t>
  </si>
  <si>
    <t>PublishLink10</t>
  </si>
  <si>
    <t>Sandy Butterfield</t>
  </si>
  <si>
    <t>MA&amp;D</t>
  </si>
  <si>
    <t>Stu Webster</t>
  </si>
  <si>
    <t>General Electric</t>
  </si>
  <si>
    <t>Andrea Nina Eugster</t>
  </si>
  <si>
    <t>Statoil</t>
  </si>
  <si>
    <t>Ben Hoen</t>
  </si>
  <si>
    <t>Brian Post</t>
  </si>
  <si>
    <t>Chitra Sivaraman</t>
  </si>
  <si>
    <t>Fishermen's Energy</t>
  </si>
  <si>
    <t>Cris Hein</t>
  </si>
  <si>
    <t>Bat Conservation International</t>
  </si>
  <si>
    <t>Dave Corbus</t>
  </si>
  <si>
    <t>Dave Karpinski</t>
  </si>
  <si>
    <t>Edward Muljadi</t>
  </si>
  <si>
    <t>Elise DeGeorge</t>
  </si>
  <si>
    <t>Keystone Tower Systems</t>
  </si>
  <si>
    <t>Habib Dagher</t>
  </si>
  <si>
    <t>Jake Gentle</t>
  </si>
  <si>
    <t>Jason Biddle</t>
  </si>
  <si>
    <t>MIT LL</t>
  </si>
  <si>
    <t>Jeroen VanDam</t>
  </si>
  <si>
    <t>Jim McCaa</t>
  </si>
  <si>
    <t>Vaisala</t>
  </si>
  <si>
    <t>John Schroeder</t>
  </si>
  <si>
    <t>Texas Tech University</t>
  </si>
  <si>
    <t>Jon Keller</t>
  </si>
  <si>
    <t>Jonathan Bird</t>
  </si>
  <si>
    <t>University of North Carolina at Charlotte</t>
  </si>
  <si>
    <t>Josh Paquette</t>
  </si>
  <si>
    <t>Katherine Dykes</t>
  </si>
  <si>
    <t>Kevin Banister</t>
  </si>
  <si>
    <t>Mark Jacobson</t>
  </si>
  <si>
    <t>Michael Booth</t>
  </si>
  <si>
    <t>Mike Sprague</t>
  </si>
  <si>
    <t>Myron Miller</t>
  </si>
  <si>
    <t>Paul Sievert</t>
  </si>
  <si>
    <t>University of Massachusetts Amherst</t>
  </si>
  <si>
    <t>Ralph Nichols</t>
  </si>
  <si>
    <t>Ryan Wiser</t>
  </si>
  <si>
    <t>Scott Hughes</t>
  </si>
  <si>
    <t>Shari Matzner</t>
  </si>
  <si>
    <t>Iowa State University</t>
  </si>
  <si>
    <t>Sue Haupt</t>
  </si>
  <si>
    <t>Victoria Bennett</t>
  </si>
  <si>
    <t>Texas Christian University</t>
  </si>
  <si>
    <t>Wei Qiao</t>
  </si>
  <si>
    <t>University of Nebraska–Lincoln</t>
  </si>
  <si>
    <t>Yingchen Zhang</t>
  </si>
  <si>
    <t>eof</t>
  </si>
  <si>
    <t>Overview of Analysis and Modeling</t>
  </si>
  <si>
    <t>Analysis</t>
  </si>
  <si>
    <t>Overview of Stakeholder Engagement</t>
  </si>
  <si>
    <t>Stakeholders</t>
  </si>
  <si>
    <t>Recap – Stakeholder Engagement</t>
  </si>
  <si>
    <t>Overview of Grid Systems Planning and Operation</t>
  </si>
  <si>
    <t>Recap – Grid Systems Planning and Operation</t>
  </si>
  <si>
    <t>POSTER SESSION - Hotel Breezeway</t>
  </si>
  <si>
    <t>Overview of Siting, Radar, and Environmental</t>
  </si>
  <si>
    <t>Siting</t>
  </si>
  <si>
    <t>Recap – Siting, Radar, and Environmental</t>
  </si>
  <si>
    <t>Frontier Wind LLC</t>
  </si>
  <si>
    <t>Biodiversity Research Institute</t>
  </si>
  <si>
    <t>Evan Adams</t>
  </si>
  <si>
    <t>Closing Thoughts-Chairperson</t>
  </si>
  <si>
    <t>Closing Thoughts-Director</t>
  </si>
  <si>
    <t>Mezzanine 1</t>
  </si>
  <si>
    <t>MA&amp;D / DOE Debrief</t>
  </si>
  <si>
    <t>Chairs</t>
  </si>
  <si>
    <t>Sandy Butterfield and Stu Webster</t>
  </si>
  <si>
    <t>Tech RD&amp;T and RC</t>
  </si>
  <si>
    <t>Mezzanine 3</t>
  </si>
  <si>
    <t>Overview of Innovation, Manufacturing, Reliability and Testing</t>
  </si>
  <si>
    <t>Innovation</t>
  </si>
  <si>
    <t>Sri Sritharan</t>
  </si>
  <si>
    <t>Recap – Innovation, Manufacturing, Reliability and Testing</t>
  </si>
  <si>
    <t>Overview of A2e, HPC, RC, Flow Field Analysis, and Testing</t>
  </si>
  <si>
    <t>A2e</t>
  </si>
  <si>
    <t>Senate Member</t>
  </si>
  <si>
    <t>Recap – A2e, HPC, RC, Flow Field Analysis, and Testing</t>
  </si>
  <si>
    <t>217, 192, 148 - WFIP II: Q&amp;A</t>
  </si>
  <si>
    <t>Jim Wilczak, Jim McCaa</t>
  </si>
  <si>
    <t>Overview of Distributed Wind Research, Development, and Testing</t>
  </si>
  <si>
    <t>DWT</t>
  </si>
  <si>
    <t xml:space="preserve">Overview of Offshore Wind Unique RD&amp;T </t>
  </si>
  <si>
    <t>OSW</t>
  </si>
  <si>
    <t>Recap – Offshore Wind Unique RD&amp;T</t>
  </si>
  <si>
    <t>Closing Thoughts-Chairperson  (Tech RD&amp;T and RC)</t>
  </si>
  <si>
    <t>Closing Thoughts-Director (Tech RD&amp;T and RC)</t>
  </si>
  <si>
    <r>
      <t xml:space="preserve">Tech RD&amp;T and RC Panel Debrief </t>
    </r>
    <r>
      <rPr>
        <b/>
        <sz val="11"/>
        <color rgb="FFFF0000"/>
        <rFont val="Calibri"/>
        <family val="2"/>
        <scheme val="minor"/>
      </rPr>
      <t>(closed session)</t>
    </r>
  </si>
  <si>
    <t>Tech R&amp;T / DOE Debrief</t>
  </si>
  <si>
    <t>Developing a Commons for Understanding Environmental Effects of MRE, Int'l Journal of Marine Energy 2013</t>
  </si>
  <si>
    <t>An International Assessment of the Environmental Effects of MRE, Ocean &amp; Coastal Management 2014</t>
  </si>
  <si>
    <t>Renewable Ocean Energy Development and the Environment, Estuaries and Coasts 2015</t>
  </si>
  <si>
    <t>Sharing Information on Environmental Effects of Wind Energy Development: WREN Hub, Conference on Wind and Wildlife, published by Springer 2016</t>
  </si>
  <si>
    <t>Adaptive Management White Paper - WREN, Prepared for IEA Wind Committee 2016</t>
  </si>
  <si>
    <t>Offshore Wind Environmental Data Evaluation Report, Preapred for DOE</t>
  </si>
  <si>
    <t>WREN Hub - Disseminating Information and Facilitating Collaboration, NWCC 2014</t>
  </si>
  <si>
    <t>Offshore Wind Environmental Data Evaluation Presentation, Presented to BOEM 2015</t>
  </si>
  <si>
    <t>Adaptive Management in the Wind Industry, WREN webinar 2016</t>
  </si>
  <si>
    <t>Managing Wind Farms - What is the Role of Adaptive Management?, NWCC 2016</t>
  </si>
  <si>
    <t>WPG16002</t>
  </si>
  <si>
    <t>WPG16003</t>
  </si>
  <si>
    <t>WPG16004</t>
  </si>
  <si>
    <t>WPG16005</t>
  </si>
  <si>
    <t>WPG16006</t>
  </si>
  <si>
    <t>WPG16007</t>
  </si>
  <si>
    <t>WPG16008</t>
  </si>
  <si>
    <t>WPG16009</t>
  </si>
  <si>
    <t>WPG16010</t>
  </si>
  <si>
    <r>
      <t xml:space="preserve">MA&amp;D Panel Debrief </t>
    </r>
    <r>
      <rPr>
        <b/>
        <sz val="11"/>
        <color rgb="FFFF0000"/>
        <rFont val="Calibri"/>
        <family val="2"/>
        <scheme val="minor"/>
      </rPr>
      <t>(closed session)</t>
    </r>
  </si>
  <si>
    <t>WPG16011</t>
  </si>
  <si>
    <t>https://emp.lbl.gov/publications/2015-wind-technologies-market-report</t>
  </si>
  <si>
    <t>Cost of Energy, Policy Impact Analysis, and Market Report</t>
  </si>
  <si>
    <t>Public Acceptance Baseline Analysis</t>
  </si>
  <si>
    <t>WindExchange and Regional Resource Centers</t>
  </si>
  <si>
    <t>Collegiate Wind Competition (CWC)</t>
  </si>
  <si>
    <t>Wind for Schools</t>
  </si>
  <si>
    <t>Wind Integration Studies (ERGIS and WWSIS 3)</t>
  </si>
  <si>
    <t>Wind Generator Modeling</t>
  </si>
  <si>
    <t>Stochastic Tool Evaluation</t>
  </si>
  <si>
    <t>Distributed Wind Integration</t>
  </si>
  <si>
    <t>Grid Integration Support, UVIG, IEEE, NERC, IEA Task 25</t>
  </si>
  <si>
    <t>Concurrent Cooling</t>
  </si>
  <si>
    <t>Connecting the National Wind Test Center to the Energy Systems Integration Facility</t>
  </si>
  <si>
    <t>Analysis Using PMU Data and Dynamic analysis</t>
  </si>
  <si>
    <t>Active Power Controls</t>
  </si>
  <si>
    <t>SNL Wind-Turbine RCS Mitigation</t>
  </si>
  <si>
    <t>MIT Lincoln Labs Radar Mitigation R&amp;D</t>
  </si>
  <si>
    <t>Wind Environmental Collaborative Research and Support</t>
  </si>
  <si>
    <t>Texturizing Wind Turbine Towers to Reduce Bat Mortality</t>
  </si>
  <si>
    <t>A Biomimetic Ultrasonic Whistle for Use as a Bat Deterrent on Wind Turbines</t>
  </si>
  <si>
    <t>Rotor-Mounted Bat Impact Mitigation System</t>
  </si>
  <si>
    <t>Ultrasonic Bat Deterrent Technology</t>
  </si>
  <si>
    <t>Evaluating the Effectiveness of Ultrasonic Acoustic Deterrents in Reducing Bat Fatalities at Wind Energy Facilities</t>
  </si>
  <si>
    <t>Stereo-Optic High Definition Imaging: A New Technology to Understand Bird and Bat Avoidance of Wind Turbines</t>
  </si>
  <si>
    <t>Avian Remote Sensing</t>
  </si>
  <si>
    <t>Development of On-Site Tapered Spiral Welding for Large Turbine Towers</t>
  </si>
  <si>
    <t>Hexcrete Tower for Harvesting Wind Energy at Taller Hub Heights</t>
  </si>
  <si>
    <t>Testing Facilities and Capabilities at SNL</t>
  </si>
  <si>
    <t>Testing Facilities and Capabilities at NWTC</t>
  </si>
  <si>
    <t>Innovative Blade Test Methodology</t>
  </si>
  <si>
    <t>Rotor Reliability (Collaboratives, Monitoring, and O&amp;M)</t>
  </si>
  <si>
    <t>Drivetrain Reliability (Collaboratives, Monitoring, and O&amp;M)</t>
  </si>
  <si>
    <t>Innovative Drivetrain Concepts FOA Phase II: Next Generation Drivetrain</t>
  </si>
  <si>
    <t>Online Intelligent Prognostic Health Monitoring</t>
  </si>
  <si>
    <t>Wind Standards Development</t>
  </si>
  <si>
    <t>Advanced High Torque Density Magnetically Geared Generator</t>
  </si>
  <si>
    <t>The Incubation of Next-Generation Radar Technologies to Lower the Cost of Wind Energy</t>
  </si>
  <si>
    <t>PRUF: Performance Risk, Uncertainty, and Finance</t>
  </si>
  <si>
    <t>High-Fidelity Modeling</t>
  </si>
  <si>
    <t>Wake Dynamics Measurement, Testing, and Validation</t>
  </si>
  <si>
    <t>Wind Plant Flow Control</t>
  </si>
  <si>
    <t>ISDA: Integrated Systems Design and Analysis</t>
  </si>
  <si>
    <t>MMC: Model Development and Validation</t>
  </si>
  <si>
    <t>WFIP II: Mesoscale Physics and Inflow</t>
  </si>
  <si>
    <t>WFIP II: Field Testing</t>
  </si>
  <si>
    <t>WFIP II: Modeling</t>
  </si>
  <si>
    <t>DAP: Data Archive and Portal</t>
  </si>
  <si>
    <t>Distributed Wind Research, Development, and Testing</t>
  </si>
  <si>
    <t>Competitive Improvement Project</t>
  </si>
  <si>
    <t>Modeling and Validation for Offshore Wind</t>
  </si>
  <si>
    <t>Wave Impacts on Fixed Offshore Wind Foundations</t>
  </si>
  <si>
    <t>Sediment Transport Impacts on Offshore Wind Projects</t>
  </si>
  <si>
    <t>Instrumentation Planning for the Offshore Wind Advanced Technology Demonstration Projects</t>
  </si>
  <si>
    <t>Structural Health and Prognostic Management for Offshore Wind Projects</t>
  </si>
  <si>
    <t>DOE Offshore Wind Lidar Buoy Deployment Program</t>
  </si>
  <si>
    <t>National Offshore Wind Strategy Supporting Analysis</t>
  </si>
  <si>
    <t>Turbine Advanced Controls for Offshore Wind Floating Applications</t>
  </si>
  <si>
    <t>Fishermen's Atlantic City Wind Farm</t>
  </si>
  <si>
    <t xml:space="preserve">https://emp.lbl.gov/iea-wind-expert-survey   </t>
  </si>
  <si>
    <t xml:space="preserve">http://rdcu.be/khRk   </t>
  </si>
  <si>
    <t>https://emp.lbl.gov/news</t>
  </si>
  <si>
    <t>doi:10.1016/j.energy.2016.07.068</t>
  </si>
  <si>
    <t>http://energy.gov/eere/wind/wind-vision</t>
  </si>
  <si>
    <t>http://www.sciencedirect.com/science/article/pii/S1040619015001992</t>
  </si>
  <si>
    <t xml:space="preserve">doi:10.1016/j.apenergy.2016.07.023 </t>
  </si>
  <si>
    <t>https://emp.lbl.gov/publications/relationship-between-wind-turbines</t>
  </si>
  <si>
    <t xml:space="preserve">http://link.springer.com/article/10.1007%2Fs11146-014-9477-9 </t>
  </si>
  <si>
    <t>Relevance</t>
  </si>
  <si>
    <t>Approach</t>
  </si>
  <si>
    <t>Progress</t>
  </si>
  <si>
    <t>PM</t>
  </si>
  <si>
    <t>TechTrans</t>
  </si>
  <si>
    <t>Future</t>
  </si>
  <si>
    <t>Overall</t>
  </si>
  <si>
    <t>2016 U.S. DOE Wind Power Peer Review</t>
  </si>
  <si>
    <t>Eval</t>
  </si>
  <si>
    <t>Project is critical to objectives and goals of the Wind Energy Office and meeting Wind industry needs.</t>
  </si>
  <si>
    <t>Project has valuable impact to Wind Energy Office goals and objectives and meeting Wind industry needs.</t>
  </si>
  <si>
    <t>Project has moderate relevance with objectives and goals of the Wind Energy Office and Wind industry needs.</t>
  </si>
  <si>
    <t>Project is marginally relevant to the objectives and goals of the Wind Energy Office and Wind industry.</t>
  </si>
  <si>
    <t>Project has little relevance to Wind Energy Office goals and objectives and Wind industry needs.</t>
  </si>
  <si>
    <r>
      <t xml:space="preserve">Relevance to Wind Power industry needs and overall DOE objectives
</t>
    </r>
    <r>
      <rPr>
        <sz val="10"/>
        <rFont val="Arial"/>
        <family val="2"/>
      </rPr>
      <t>The degree to which the project aligns with objectives and goals of the Wind Energy Office and meets the needs of the Wind power industry at large.</t>
    </r>
  </si>
  <si>
    <t>$M DOE + $M Share ($M Total FY 14-16)</t>
  </si>
  <si>
    <t>stdev - Panel, stdev - Wind program</t>
  </si>
  <si>
    <t>Dhiraj Arora</t>
  </si>
  <si>
    <t>Kristina Johnson</t>
  </si>
  <si>
    <t>Suzanne Tegen</t>
  </si>
  <si>
    <t>Alejandro Moreno</t>
  </si>
  <si>
    <t>Additive Manufacturing in Wind Turbine Components and Tooling</t>
  </si>
  <si>
    <t>OSW Environmental Data Aggregation, Analysis and Dissemination</t>
  </si>
  <si>
    <t>Eric Smith is founder and CEO of Keystone Tower Systems, where he leads Keystone’s efforts to develop and commercialize a new tower manufacturing process designed to bring low cost wind energy to all 50 states. Eric holds graduate degrees in mechanical and electrical engineering from Massachusetts Institute Technology. Prior to founding Keystone, Eric ran a consulting company focused on developing and evaluating new technologies that could significantly reduce the cost of wind energy, in addition to teaching wind turbine engineering in the Mechanical Engineering Department at MIT. Eric is a fifth-generation energy entrepreneur, with his great-great grandfather building the modern hydro industry, and his grandfather building the first megawatt-scale wind turbine.</t>
  </si>
  <si>
    <t>see 217</t>
  </si>
  <si>
    <t>Mike Kelly</t>
  </si>
  <si>
    <t>Impressive innovation and advancement of developing technology.</t>
  </si>
  <si>
    <t>Solid approach to understanding industry needs/opportunities</t>
  </si>
  <si>
    <t>Continuous development/improvement/scaling.  Blades currently being made by TPI.</t>
  </si>
  <si>
    <t>The project's success to date, as clearly indicated by actual industry deployment, speaks fo being well managed</t>
  </si>
  <si>
    <t>Process is multi-step, mold part initiall manufactured and they requires subsequent fiberglassing and machining to be usable.</t>
  </si>
  <si>
    <t xml:space="preserve">Much potential, can be used for site,near-site mfg'g.  Material 30% and machine time 30% and are related. Glass vs. carbon fiber material.  </t>
  </si>
  <si>
    <t xml:space="preserve">Originally cost effectiveness not a priority but part of next steps.  What about just printing blades directly vs. indirection through mold mfg'g.  Big design challenge with material orientation.  Can control metal rate of cooling to effect grain orientation.  </t>
  </si>
  <si>
    <t>Extreemly relevent to industry and market needs and DOE objectives</t>
  </si>
  <si>
    <t>Spiral welding comes from pipeline industry.  Leveraged bridge industry and oil&amp;gas recovery industries.</t>
  </si>
  <si>
    <t>Focused on meeting tollerences and specifications.  Initially working with Vestas buy also working with other OEMs.  Attention to certificaiton neeeds of towers.</t>
  </si>
  <si>
    <t xml:space="preserve">Can take 200T out of tower weight.  Cost increase less than energy increase of turbine.  </t>
  </si>
  <si>
    <t>Mfg'g aligned with field deployment.</t>
  </si>
  <si>
    <t xml:space="preserve">3MW turbine project.  Construction time and quanity reduction, can cut turbine requirement in half for same energy delivery.  40% reduction in LCOE.  8%-10% added cost for 20-yr to 40-yr life.  Working with tooling mfg's </t>
  </si>
  <si>
    <t xml:space="preserve">Can do inline inspection along with the welding process.  Spiral welding is 3x faster and 20% cheaper.  </t>
  </si>
  <si>
    <t xml:space="preserve">No weaknesses detected beyond normal uncertainties.    </t>
  </si>
  <si>
    <t>Clear industry value-add opportunity.</t>
  </si>
  <si>
    <t>Further opportunities for incremental value-add improvements exist.</t>
  </si>
  <si>
    <t>Pursue accuracy improvements in fabrication and assembly processes to reduce incremental machinging, etc. steps</t>
  </si>
  <si>
    <t>Portable factories require substantial, temporary space.</t>
  </si>
  <si>
    <t>Portable factory setup/storage/relocation is a substantial effort and cost.</t>
  </si>
  <si>
    <t>Produce quality assurance has added challenges for in-field/portable manufacturing facilities.</t>
  </si>
  <si>
    <t>Leverages existing technology.</t>
  </si>
  <si>
    <t>More of a logistical than a technical challenge</t>
  </si>
  <si>
    <t>Highly promissing opportunity to provide subtantial LCOE reductions</t>
  </si>
  <si>
    <t>Highly enables lower wind resource regions to deliver wind energy competitively.</t>
  </si>
  <si>
    <t>Invest in dialogues with wind project developers and constructors from multiple organizations for exchanges of information on temporary land use, logistics and costs.</t>
  </si>
  <si>
    <t>More asthetically pleasing finished product than other tall tower options.</t>
  </si>
  <si>
    <t>Solid engineering approach.  Targets comprehensive needs.</t>
  </si>
  <si>
    <t>Leverages bridge/bldg design and technology and existing precast industry.  Enables local manufacturing. Addresses transportation challenges</t>
  </si>
  <si>
    <t>While tower height has DOE goal relevance, objectionable aesthetics is a substantial distractor.</t>
  </si>
  <si>
    <t>Technically feasible design, however, continued investment not recommended.</t>
  </si>
  <si>
    <t xml:space="preserve">The wind industry has been and remains challenged with public acceptance most significantely due to visual impact and what is sometimes charactorized as "industrialization". </t>
  </si>
  <si>
    <t>Consider a design approach that provides smooth, clean visual lines.</t>
  </si>
  <si>
    <t>Defunding of current approach recommended due to objectionable aesthetics.</t>
  </si>
  <si>
    <t>Appears technically well managed but public acceptance overlooked.</t>
  </si>
  <si>
    <t>Consider larger footprint to reduce costs.</t>
  </si>
  <si>
    <t xml:space="preserve">Leverages existing precast concrete industry. </t>
  </si>
  <si>
    <t>Albeit subjective, and precisely the point, individual turbine and tower and overall plant design must include a high degree of sensitivity to aesthetics to maintain and improve public acceptance.  Clean, smooth, less industrial shapes, transitions and symetry are necessary for visual acceptance, even attractiveness.  This project's efforts are not sufficiently sensitive to this point.</t>
  </si>
  <si>
    <t xml:space="preserve">Leveraging of bridge/bldg design and technology and existing precast industry reduces risk.. </t>
  </si>
  <si>
    <t>Agenda</t>
  </si>
  <si>
    <t>187</t>
  </si>
  <si>
    <t>237</t>
  </si>
  <si>
    <t>238</t>
  </si>
  <si>
    <t>projectPRName</t>
  </si>
  <si>
    <t>projectPRTrack</t>
  </si>
  <si>
    <t>projectPRPanel</t>
  </si>
  <si>
    <t>projectProgramStrategicGoals</t>
  </si>
  <si>
    <t>projectWBS</t>
  </si>
  <si>
    <t>projectTotalBudget</t>
  </si>
  <si>
    <t>projectPI_Name</t>
  </si>
  <si>
    <t>projectPI_Org</t>
  </si>
  <si>
    <t>projectPI_OrgType</t>
  </si>
  <si>
    <t>reviewerName</t>
  </si>
  <si>
    <t>reviewerOrg</t>
  </si>
  <si>
    <t>reviewerOrgType</t>
  </si>
  <si>
    <t>reviewerConflictYN</t>
  </si>
  <si>
    <t>reviewerConflictNotes</t>
  </si>
  <si>
    <t>metricShortName</t>
  </si>
  <si>
    <t>metricScore</t>
  </si>
  <si>
    <t>metricComment</t>
  </si>
  <si>
    <t>metricComment_KeyFlag</t>
  </si>
  <si>
    <t>metricComment_Category</t>
  </si>
  <si>
    <t>Comment Rows - 16, 31, 46, 68, 83, 99, 115, 124, 133</t>
  </si>
  <si>
    <t>Take data off of forms: 187, 237 and 238</t>
  </si>
  <si>
    <t>Scores go into ProjectScoreTBL</t>
  </si>
  <si>
    <t>Comment go into ProjectCommentsTBL</t>
  </si>
  <si>
    <t>Score Rows - 11, 26, 41, 63, 78, 93</t>
  </si>
  <si>
    <t>Score column - F</t>
  </si>
  <si>
    <t>Comment column - A, B &amp; F</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</si>
</sst>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4" formatCode="_(&quot;$&quot;* #,##0.00_);_(&quot;$&quot;* \(#,##0.00\);_(&quot;$&quot;* &quot;-&quot;??_);_(@_)"/>
    <numFmt numFmtId="43" formatCode="_(* #,##0.00_);_(* \(#,##0.00\);_(* &quot;-&quot;??_);_(@_)"/>
    <numFmt numFmtId="164" formatCode="0.0"/>
    <numFmt numFmtId="165" formatCode="[$-409]h:mm\ AM/PM;@"/>
    <numFmt numFmtId="167" formatCode="#,##0.0,,_);\-#,##0.0,_);\—\—_)"/>
    <numFmt numFmtId="168" formatCode="\+#,##0.0,,_);\-#,##0.0,_);\—\—_)"/>
    <numFmt numFmtId="169" formatCode="#,##0_);\-#,##0_);\—\—_)"/>
    <numFmt numFmtId="170" formatCode="\—\—_)"/>
    <numFmt numFmtId="171" formatCode="#,##0.0_);\-#,##0.0_);\—\—_)"/>
    <numFmt numFmtId="172" formatCode="\+#,##0_);\-#,##0_);\—\—_)"/>
    <numFmt numFmtId="173" formatCode="#,##0\¹;\-#,##0\¹;\—\—\¹"/>
    <numFmt numFmtId="174" formatCode="#,##0\²;\-#,##0\²;\—\—\²"/>
    <numFmt numFmtId="175" formatCode="#,##0\³;\-#,##0\³;\—\—\³"/>
    <numFmt numFmtId="176" formatCode="#,##0.0,_);\-#,##0.0,_);\—\—_)"/>
    <numFmt numFmtId="177" formatCode="\+#,##0.0,_);\-#,##0.0,_);\—\—_)"/>
    <numFmt numFmtId="178" formatCode="\(#,##0\);\(\-#,##0\);\(\—\—\)"/>
    <numFmt numFmtId="179" formatCode="\(\+#,##0\);\(\-#,##0\);\(\—\—\)"/>
    <numFmt numFmtId="180" formatCode="\(#,##0.0,\);\(\-#,##0.0,\);\(\—\—\)"/>
    <numFmt numFmtId="181" formatCode="\(\+#,##0.0,\);\(\-#,##0.0,\);\(\—\—\)"/>
    <numFmt numFmtId="182" formatCode="##,##0_)"/>
    <numFmt numFmtId="183" formatCode="\+#,##0.0%;\-#,##0.0%;\—\—"/>
    <numFmt numFmtId="184" formatCode="\(\+#,##0.0%\);\(\-#,##0.0%\);\—\—"/>
    <numFmt numFmtId="185" formatCode="@*."/>
    <numFmt numFmtId="186" formatCode="ddd\ mm/dd/yyyy"/>
    <numFmt numFmtId="187" formatCode="ddd\ m/dd"/>
  </numFmts>
  <fonts count="94" x14ac:knownFonts="1">
    <font>
      <sz val="11"/>
      <color theme="1"/>
      <name val="Calibri"/>
      <family val="2"/>
      <scheme val="minor"/>
    </font>
    <font>
      <b/>
      <sz val="10"/>
      <name val="Arial"/>
      <family val="2"/>
    </font>
    <font>
      <b/>
      <sz val="11"/>
      <name val="Arial"/>
      <family val="2"/>
    </font>
    <font>
      <sz val="11"/>
      <name val="Arial"/>
      <family val="2"/>
    </font>
    <font>
      <b/>
      <u/>
      <sz val="11"/>
      <name val="Arial"/>
      <family val="2"/>
    </font>
    <font>
      <sz val="10"/>
      <name val="Arial"/>
      <family val="2"/>
    </font>
    <font>
      <b/>
      <sz val="9"/>
      <name val="Arial"/>
      <family val="2"/>
    </font>
    <font>
      <sz val="9"/>
      <name val="Arial"/>
      <family val="2"/>
    </font>
    <font>
      <sz val="12"/>
      <name val="Arial"/>
      <family val="2"/>
    </font>
    <font>
      <sz val="10"/>
      <name val="Arial"/>
      <family val="2"/>
    </font>
    <font>
      <sz val="8"/>
      <name val="Arial"/>
      <family val="2"/>
    </font>
    <font>
      <sz val="10"/>
      <name val="Arial"/>
      <family val="2"/>
    </font>
    <font>
      <sz val="11"/>
      <color indexed="8"/>
      <name val="Arial"/>
      <family val="2"/>
    </font>
    <font>
      <b/>
      <sz val="8"/>
      <name val="Arial"/>
      <family val="2"/>
    </font>
    <font>
      <b/>
      <sz val="12"/>
      <name val="Arial"/>
      <family val="2"/>
    </font>
    <font>
      <sz val="10"/>
      <color indexed="8"/>
      <name val="Arial"/>
      <family val="2"/>
    </font>
    <font>
      <i/>
      <sz val="10"/>
      <name val="Arial"/>
      <family val="2"/>
    </font>
    <font>
      <b/>
      <sz val="14"/>
      <name val="Arial"/>
      <family val="2"/>
    </font>
    <font>
      <i/>
      <sz val="9"/>
      <name val="Arial"/>
      <family val="2"/>
    </font>
    <font>
      <u/>
      <sz val="11"/>
      <color theme="10"/>
      <name val="Calibri"/>
      <family val="2"/>
      <scheme val="minor"/>
    </font>
    <font>
      <sz val="11"/>
      <color theme="1"/>
      <name val="Arial"/>
      <family val="2"/>
    </font>
    <font>
      <b/>
      <sz val="16"/>
      <color theme="0"/>
      <name val="Arial"/>
      <family val="2"/>
    </font>
    <font>
      <b/>
      <sz val="10"/>
      <color theme="0"/>
      <name val="Arial"/>
      <family val="2"/>
    </font>
    <font>
      <b/>
      <sz val="11"/>
      <color theme="1"/>
      <name val="Arial"/>
      <family val="2"/>
    </font>
    <font>
      <b/>
      <sz val="9"/>
      <color theme="1"/>
      <name val="Arial"/>
      <family val="2"/>
    </font>
    <font>
      <b/>
      <sz val="14"/>
      <color theme="0"/>
      <name val="Arial"/>
      <family val="2"/>
    </font>
    <font>
      <i/>
      <sz val="11"/>
      <color theme="1"/>
      <name val="Arial"/>
      <family val="2"/>
    </font>
    <font>
      <b/>
      <sz val="8"/>
      <color theme="1"/>
      <name val="Arial"/>
      <family val="2"/>
    </font>
    <font>
      <sz val="10"/>
      <color theme="1"/>
      <name val="Arial"/>
      <family val="2"/>
    </font>
    <font>
      <b/>
      <sz val="14"/>
      <color theme="6" tint="0.39997558519241921"/>
      <name val="Arial"/>
      <family val="2"/>
    </font>
    <font>
      <i/>
      <sz val="10"/>
      <color theme="1"/>
      <name val="Arial"/>
      <family val="2"/>
    </font>
    <font>
      <i/>
      <sz val="9"/>
      <color theme="1"/>
      <name val="Arial"/>
      <family val="2"/>
    </font>
    <font>
      <b/>
      <u/>
      <sz val="14"/>
      <color theme="0"/>
      <name val="Arial"/>
      <family val="2"/>
    </font>
    <font>
      <b/>
      <sz val="8"/>
      <color theme="0"/>
      <name val="Arial"/>
      <family val="2"/>
    </font>
    <font>
      <b/>
      <u/>
      <sz val="11"/>
      <color theme="0"/>
      <name val="Arial"/>
      <family val="2"/>
    </font>
    <font>
      <b/>
      <sz val="11"/>
      <color theme="0"/>
      <name val="Arial"/>
      <family val="2"/>
    </font>
    <font>
      <b/>
      <i/>
      <u/>
      <sz val="11"/>
      <color rgb="FF0000CC"/>
      <name val="Calibri"/>
      <family val="2"/>
      <scheme val="minor"/>
    </font>
    <font>
      <sz val="10"/>
      <color theme="1"/>
      <name val="Calibri"/>
      <family val="2"/>
      <scheme val="minor"/>
    </font>
    <font>
      <sz val="1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color theme="4"/>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u/>
      <sz val="8"/>
      <color rgb="FF80008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u/>
      <sz val="8"/>
      <color rgb="FF0000FF"/>
      <name val="Calibri"/>
      <family val="2"/>
      <scheme val="minor"/>
    </font>
    <font>
      <u/>
      <sz val="9.35"/>
      <color theme="10"/>
      <name val="Calibri"/>
      <family val="2"/>
    </font>
    <font>
      <sz val="11"/>
      <color indexed="62"/>
      <name val="Calibri"/>
      <family val="2"/>
    </font>
    <font>
      <sz val="11"/>
      <color indexed="52"/>
      <name val="Calibri"/>
      <family val="2"/>
    </font>
    <font>
      <sz val="11"/>
      <color indexed="60"/>
      <name val="Calibri"/>
      <family val="2"/>
    </font>
    <font>
      <sz val="10"/>
      <color rgb="FF00000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name val="Calibri"/>
      <family val="2"/>
    </font>
    <font>
      <b/>
      <sz val="11"/>
      <color theme="3" tint="0.39994506668294322"/>
      <name val="Calibri"/>
      <family val="2"/>
      <scheme val="minor"/>
    </font>
    <font>
      <sz val="10"/>
      <name val="Calibri"/>
      <family val="2"/>
      <scheme val="minor"/>
    </font>
    <font>
      <sz val="10"/>
      <color theme="4"/>
      <name val="Calibri"/>
      <family val="2"/>
      <scheme val="minor"/>
    </font>
    <font>
      <u/>
      <sz val="10"/>
      <color rgb="FF0000CC"/>
      <name val="Calibri"/>
      <family val="2"/>
      <scheme val="minor"/>
    </font>
    <font>
      <sz val="8"/>
      <color theme="1"/>
      <name val="Arial"/>
      <family val="2"/>
    </font>
    <font>
      <sz val="11"/>
      <color theme="0"/>
      <name val="Calibri"/>
      <family val="2"/>
      <scheme val="minor"/>
    </font>
    <font>
      <sz val="10"/>
      <color theme="0"/>
      <name val="Calibri"/>
      <family val="2"/>
      <scheme val="minor"/>
    </font>
    <font>
      <sz val="10"/>
      <color indexed="81"/>
      <name val="Tahoma"/>
      <family val="2"/>
    </font>
    <font>
      <u/>
      <sz val="10"/>
      <name val="Calibri"/>
      <family val="2"/>
      <scheme val="minor"/>
    </font>
    <font>
      <b/>
      <u/>
      <sz val="11"/>
      <color theme="1"/>
      <name val="Arial"/>
      <family val="2"/>
    </font>
    <font>
      <i/>
      <sz val="9"/>
      <color theme="0"/>
      <name val="Arial"/>
      <family val="2"/>
    </font>
    <font>
      <i/>
      <sz val="10"/>
      <color theme="0"/>
      <name val="Arial"/>
      <family val="2"/>
    </font>
    <font>
      <sz val="11"/>
      <color theme="0"/>
      <name val="Arial"/>
      <family val="2"/>
    </font>
    <font>
      <sz val="9"/>
      <color theme="1"/>
      <name val="Arial"/>
      <family val="2"/>
    </font>
    <font>
      <b/>
      <u/>
      <sz val="8"/>
      <color theme="1"/>
      <name val="Arial"/>
      <family val="2"/>
    </font>
    <font>
      <sz val="10"/>
      <name val="Arial"/>
      <family val="2"/>
    </font>
    <font>
      <b/>
      <sz val="11"/>
      <color rgb="FF006892"/>
      <name val="Calibri"/>
      <family val="2"/>
      <scheme val="minor"/>
    </font>
    <font>
      <sz val="11"/>
      <color rgb="FF006892"/>
      <name val="Calibri"/>
      <family val="2"/>
      <scheme val="minor"/>
    </font>
    <font>
      <b/>
      <sz val="11"/>
      <color rgb="FFFF0000"/>
      <name val="Calibri"/>
      <family val="2"/>
      <scheme val="minor"/>
    </font>
    <font>
      <u/>
      <sz val="12"/>
      <color theme="10"/>
      <name val="Calibri"/>
      <family val="2"/>
      <scheme val="minor"/>
    </font>
    <font>
      <u/>
      <sz val="11"/>
      <color rgb="FF0000CC"/>
      <name val="Calibri"/>
      <family val="2"/>
      <scheme val="minor"/>
    </font>
    <font>
      <sz val="10"/>
      <color rgb="FF006892"/>
      <name val="Calibri"/>
      <family val="2"/>
      <scheme val="minor"/>
    </font>
    <font>
      <sz val="9"/>
      <color theme="0"/>
      <name val="Arial"/>
      <family val="2"/>
    </font>
    <font>
      <sz val="10"/>
      <color theme="0"/>
      <name val="Arial"/>
      <family val="2"/>
    </font>
    <font>
      <sz val="9"/>
      <name val="Calibri"/>
      <family val="2"/>
      <scheme val="minor"/>
    </font>
    <font>
      <sz val="12"/>
      <color theme="1"/>
      <name val="Calibri"/>
      <family val="2"/>
      <scheme val="minor"/>
    </font>
    <font>
      <sz val="10"/>
      <color theme="1" tint="0.499984740745262"/>
      <name val="Calibri"/>
      <family val="2"/>
      <scheme val="minor"/>
    </font>
  </fonts>
  <fills count="42">
    <fill>
      <patternFill patternType="none"/>
    </fill>
    <fill>
      <patternFill patternType="gray125"/>
    </fill>
    <fill>
      <patternFill patternType="solid">
        <fgColor rgb="FF00689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00FFFF"/>
        <bgColor indexed="64"/>
      </patternFill>
    </fill>
    <fill>
      <patternFill patternType="lightUp">
        <fgColor theme="0" tint="-0.34998626667073579"/>
        <bgColor rgb="FF00FFFF"/>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3" tint="0.39994506668294322"/>
        <bgColor indexed="64"/>
      </patternFill>
    </fill>
    <fill>
      <patternFill patternType="solid">
        <fgColor rgb="FF0DBAFF"/>
        <bgColor indexed="64"/>
      </patternFill>
    </fill>
    <fill>
      <patternFill patternType="solid">
        <fgColor theme="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66FFFF"/>
        <bgColor indexed="64"/>
      </patternFill>
    </fill>
    <fill>
      <patternFill patternType="solid">
        <fgColor theme="9"/>
        <bgColor indexed="64"/>
      </patternFill>
    </fill>
    <fill>
      <patternFill patternType="solid">
        <fgColor theme="6" tint="0.39994506668294322"/>
        <bgColor indexed="64"/>
      </patternFill>
    </fill>
    <fill>
      <patternFill patternType="solid">
        <fgColor theme="4" tint="0.39994506668294322"/>
        <bgColor indexed="64"/>
      </patternFill>
    </fill>
  </fills>
  <borders count="105">
    <border>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medium">
        <color indexed="64"/>
      </top>
      <bottom/>
      <diagonal/>
    </border>
    <border>
      <left style="thin">
        <color indexed="64"/>
      </left>
      <right style="medium">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64"/>
      </right>
      <top style="medium">
        <color indexed="64"/>
      </top>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medium">
        <color indexed="64"/>
      </bottom>
      <diagonal/>
    </border>
    <border>
      <left/>
      <right/>
      <top style="thin">
        <color indexed="64"/>
      </top>
      <bottom style="medium">
        <color indexed="64"/>
      </bottom>
      <diagonal/>
    </border>
    <border>
      <left/>
      <right/>
      <top style="thin">
        <color theme="0"/>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style="thin">
        <color theme="0"/>
      </left>
      <right/>
      <top style="thin">
        <color theme="0"/>
      </top>
      <bottom style="thin">
        <color theme="0"/>
      </bottom>
      <diagonal/>
    </border>
    <border>
      <left/>
      <right style="thin">
        <color auto="1"/>
      </right>
      <top/>
      <bottom/>
      <diagonal/>
    </border>
    <border>
      <left/>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auto="1"/>
      </right>
      <top/>
      <bottom/>
      <diagonal/>
    </border>
    <border>
      <left style="thin">
        <color auto="1"/>
      </left>
      <right style="thin">
        <color auto="1"/>
      </right>
      <top style="thin">
        <color auto="1"/>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auto="1"/>
      </left>
      <right/>
      <top style="medium">
        <color auto="1"/>
      </top>
      <bottom style="medium">
        <color auto="1"/>
      </bottom>
      <diagonal/>
    </border>
    <border>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right style="medium">
        <color indexed="64"/>
      </right>
      <top style="medium">
        <color indexed="64"/>
      </top>
      <bottom style="thin">
        <color theme="0"/>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theme="0"/>
      </right>
      <top/>
      <bottom/>
      <diagonal/>
    </border>
    <border>
      <left style="thin">
        <color theme="0"/>
      </left>
      <right style="thin">
        <color theme="0"/>
      </right>
      <top/>
      <bottom/>
      <diagonal/>
    </border>
    <border>
      <left style="thin">
        <color theme="0"/>
      </left>
      <right style="thin">
        <color theme="0"/>
      </right>
      <top style="thin">
        <color theme="0"/>
      </top>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right style="thin">
        <color theme="0"/>
      </right>
      <top style="thin">
        <color theme="0"/>
      </top>
      <bottom/>
      <diagonal/>
    </border>
    <border>
      <left/>
      <right style="thin">
        <color theme="0"/>
      </right>
      <top/>
      <bottom style="medium">
        <color indexed="64"/>
      </bottom>
      <diagonal/>
    </border>
    <border>
      <left style="thin">
        <color theme="0"/>
      </left>
      <right style="thin">
        <color theme="0"/>
      </right>
      <top/>
      <bottom style="medium">
        <color indexed="64"/>
      </bottom>
      <diagonal/>
    </border>
    <border>
      <left/>
      <right/>
      <top/>
      <bottom style="thick">
        <color indexed="64"/>
      </bottom>
      <diagonal/>
    </border>
    <border>
      <left style="thin">
        <color theme="0"/>
      </left>
      <right style="thin">
        <color theme="1"/>
      </right>
      <top style="thin">
        <color theme="0"/>
      </top>
      <bottom/>
      <diagonal/>
    </border>
    <border>
      <left style="thin">
        <color theme="0"/>
      </left>
      <right style="thin">
        <color theme="1"/>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style="thick">
        <color indexed="64"/>
      </bottom>
      <diagonal/>
    </border>
    <border>
      <left/>
      <right/>
      <top style="double">
        <color indexed="64"/>
      </top>
      <bottom style="double">
        <color indexed="64"/>
      </bottom>
      <diagonal/>
    </border>
    <border>
      <left/>
      <right/>
      <top style="thin">
        <color indexed="64"/>
      </top>
      <bottom style="thick">
        <color auto="1"/>
      </bottom>
      <diagonal/>
    </border>
    <border>
      <left/>
      <right/>
      <top style="thick">
        <color indexed="64"/>
      </top>
      <bottom style="mediumDashed">
        <color indexed="64"/>
      </bottom>
      <diagonal/>
    </border>
    <border>
      <left style="thin">
        <color indexed="64"/>
      </left>
      <right/>
      <top style="thick">
        <color indexed="64"/>
      </top>
      <bottom style="mediumDashed">
        <color indexed="64"/>
      </bottom>
      <diagonal/>
    </border>
    <border>
      <left/>
      <right style="thin">
        <color indexed="64"/>
      </right>
      <top style="thin">
        <color indexed="64"/>
      </top>
      <bottom style="thick">
        <color indexed="64"/>
      </bottom>
      <diagonal/>
    </border>
    <border>
      <left/>
      <right style="thin">
        <color indexed="64"/>
      </right>
      <top style="thick">
        <color indexed="64"/>
      </top>
      <bottom style="mediumDashed">
        <color indexed="64"/>
      </bottom>
      <diagonal/>
    </border>
    <border>
      <left/>
      <right style="thin">
        <color auto="1"/>
      </right>
      <top/>
      <bottom style="thick">
        <color auto="1"/>
      </bottom>
      <diagonal/>
    </border>
    <border>
      <left/>
      <right style="thin">
        <color indexed="64"/>
      </right>
      <top style="double">
        <color indexed="64"/>
      </top>
      <bottom style="double">
        <color indexed="64"/>
      </bottom>
      <diagonal/>
    </border>
    <border>
      <left/>
      <right/>
      <top/>
      <bottom style="mediumDashed">
        <color auto="1"/>
      </bottom>
      <diagonal/>
    </border>
    <border>
      <left/>
      <right style="thin">
        <color auto="1"/>
      </right>
      <top/>
      <bottom style="mediumDashed">
        <color auto="1"/>
      </bottom>
      <diagonal/>
    </border>
    <border>
      <left/>
      <right/>
      <top style="thin">
        <color auto="1"/>
      </top>
      <bottom/>
      <diagonal/>
    </border>
    <border>
      <left/>
      <right style="thin">
        <color auto="1"/>
      </right>
      <top style="thin">
        <color auto="1"/>
      </top>
      <bottom/>
      <diagonal/>
    </border>
    <border>
      <left style="thin">
        <color auto="1"/>
      </left>
      <right/>
      <top/>
      <bottom style="mediumDashed">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s>
  <cellStyleXfs count="112">
    <xf numFmtId="0" fontId="0" fillId="0" borderId="0"/>
    <xf numFmtId="0" fontId="19" fillId="0" borderId="0" applyNumberFormat="0" applyFill="0" applyBorder="0" applyAlignment="0" applyProtection="0"/>
    <xf numFmtId="0" fontId="5" fillId="0" borderId="0"/>
    <xf numFmtId="0" fontId="9" fillId="0" borderId="0"/>
    <xf numFmtId="0" fontId="11" fillId="0" borderId="0"/>
    <xf numFmtId="165" fontId="39" fillId="0" borderId="0"/>
    <xf numFmtId="0" fontId="45" fillId="11" borderId="0" applyNumberFormat="0" applyBorder="0" applyAlignment="0" applyProtection="0"/>
    <xf numFmtId="0" fontId="45" fillId="12"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5" fillId="14" borderId="0" applyNumberFormat="0" applyBorder="0" applyAlignment="0" applyProtection="0"/>
    <xf numFmtId="0" fontId="45" fillId="17" borderId="0" applyNumberFormat="0" applyBorder="0" applyAlignment="0" applyProtection="0"/>
    <xf numFmtId="0" fontId="45" fillId="20" borderId="0" applyNumberFormat="0" applyBorder="0" applyAlignment="0" applyProtection="0"/>
    <xf numFmtId="0" fontId="46" fillId="21" borderId="0" applyNumberFormat="0" applyBorder="0" applyAlignment="0" applyProtection="0"/>
    <xf numFmtId="0" fontId="46" fillId="18" borderId="0" applyNumberFormat="0" applyBorder="0" applyAlignment="0" applyProtection="0"/>
    <xf numFmtId="0" fontId="46" fillId="19" borderId="0" applyNumberFormat="0" applyBorder="0" applyAlignment="0" applyProtection="0"/>
    <xf numFmtId="0" fontId="46" fillId="22" borderId="0" applyNumberFormat="0" applyBorder="0" applyAlignment="0" applyProtection="0"/>
    <xf numFmtId="0" fontId="46" fillId="23" borderId="0" applyNumberFormat="0" applyBorder="0" applyAlignment="0" applyProtection="0"/>
    <xf numFmtId="0" fontId="46" fillId="24" borderId="0" applyNumberFormat="0" applyBorder="0" applyAlignment="0" applyProtection="0"/>
    <xf numFmtId="0" fontId="46" fillId="25" borderId="0" applyNumberFormat="0" applyBorder="0" applyAlignment="0" applyProtection="0"/>
    <xf numFmtId="0" fontId="46" fillId="26" borderId="0" applyNumberFormat="0" applyBorder="0" applyAlignment="0" applyProtection="0"/>
    <xf numFmtId="0" fontId="46" fillId="27" borderId="0" applyNumberFormat="0" applyBorder="0" applyAlignment="0" applyProtection="0"/>
    <xf numFmtId="0" fontId="46" fillId="22" borderId="0" applyNumberFormat="0" applyBorder="0" applyAlignment="0" applyProtection="0"/>
    <xf numFmtId="0" fontId="46" fillId="23" borderId="0" applyNumberFormat="0" applyBorder="0" applyAlignment="0" applyProtection="0"/>
    <xf numFmtId="0" fontId="46" fillId="28" borderId="0" applyNumberFormat="0" applyBorder="0" applyAlignment="0" applyProtection="0"/>
    <xf numFmtId="0" fontId="47" fillId="12" borderId="0" applyNumberFormat="0" applyBorder="0" applyAlignment="0" applyProtection="0"/>
    <xf numFmtId="167" fontId="5" fillId="0" borderId="0" applyFont="0" applyFill="0" applyBorder="0" applyAlignment="0" applyProtection="0">
      <alignment horizontal="left" vertical="top" wrapText="1"/>
    </xf>
    <xf numFmtId="168" fontId="5" fillId="0" borderId="0" applyFont="0" applyFill="0" applyBorder="0" applyAlignment="0" applyProtection="0">
      <alignment horizontal="left" vertical="top" wrapText="1"/>
    </xf>
    <xf numFmtId="0" fontId="48" fillId="29" borderId="45" applyNumberFormat="0" applyAlignment="0" applyProtection="0"/>
    <xf numFmtId="0" fontId="49" fillId="30" borderId="46" applyNumberFormat="0" applyAlignment="0" applyProtection="0"/>
    <xf numFmtId="169" fontId="5" fillId="0" borderId="47" applyNumberFormat="0" applyFont="0" applyFill="0" applyProtection="0">
      <alignment horizontal="center" vertical="center" wrapText="1"/>
    </xf>
    <xf numFmtId="0" fontId="15" fillId="0" borderId="0" applyNumberFormat="0" applyFill="0" applyBorder="0" applyProtection="0">
      <alignment horizontal="center"/>
    </xf>
    <xf numFmtId="43" fontId="45" fillId="0" borderId="0" applyFont="0" applyFill="0" applyBorder="0" applyAlignment="0" applyProtection="0"/>
    <xf numFmtId="43" fontId="45" fillId="0" borderId="0" applyFont="0" applyFill="0" applyBorder="0" applyAlignment="0" applyProtection="0"/>
    <xf numFmtId="44" fontId="5" fillId="0" borderId="0" applyFont="0" applyFill="0" applyBorder="0" applyAlignment="0" applyProtection="0"/>
    <xf numFmtId="44" fontId="45" fillId="0" borderId="0" applyFont="0" applyFill="0" applyBorder="0" applyAlignment="0" applyProtection="0"/>
    <xf numFmtId="44" fontId="45" fillId="0" borderId="0" applyFont="0" applyFill="0" applyBorder="0" applyAlignment="0" applyProtection="0"/>
    <xf numFmtId="170" fontId="5" fillId="0" borderId="0" applyFont="0" applyFill="0" applyBorder="0" applyAlignment="0" applyProtection="0"/>
    <xf numFmtId="171" fontId="5" fillId="0" borderId="0" applyFont="0" applyFill="0" applyBorder="0" applyAlignment="0" applyProtection="0"/>
    <xf numFmtId="172" fontId="5" fillId="0" borderId="0" applyFont="0" applyFill="0" applyBorder="0" applyAlignment="0" applyProtection="0">
      <alignment horizontal="left" vertical="top" wrapText="1"/>
    </xf>
    <xf numFmtId="0" fontId="45" fillId="0" borderId="0"/>
    <xf numFmtId="0" fontId="50" fillId="0" borderId="0" applyNumberFormat="0" applyFill="0" applyBorder="0" applyAlignment="0" applyProtection="0"/>
    <xf numFmtId="0" fontId="51" fillId="0" borderId="0" applyNumberFormat="0" applyFill="0" applyBorder="0" applyAlignment="0" applyProtection="0"/>
    <xf numFmtId="173" fontId="5" fillId="0" borderId="0" applyFont="0" applyFill="0" applyBorder="0" applyAlignment="0" applyProtection="0"/>
    <xf numFmtId="174" fontId="5" fillId="0" borderId="0" applyFont="0" applyFill="0" applyBorder="0" applyAlignment="0" applyProtection="0"/>
    <xf numFmtId="175" fontId="5" fillId="0" borderId="0" applyFont="0" applyFill="0" applyBorder="0" applyAlignment="0" applyProtection="0"/>
    <xf numFmtId="0" fontId="52" fillId="13" borderId="0" applyNumberFormat="0" applyBorder="0" applyAlignment="0" applyProtection="0"/>
    <xf numFmtId="0" fontId="5" fillId="0" borderId="47" applyNumberFormat="0" applyFont="0" applyFill="0" applyProtection="0">
      <alignment horizontal="center"/>
    </xf>
    <xf numFmtId="0" fontId="5" fillId="0" borderId="0" applyNumberFormat="0" applyFont="0" applyFill="0" applyBorder="0" applyProtection="0">
      <alignment horizontal="center"/>
    </xf>
    <xf numFmtId="0" fontId="5" fillId="0" borderId="0" applyNumberFormat="0" applyFont="0" applyFill="0" applyBorder="0" applyProtection="0">
      <alignment horizontal="left"/>
    </xf>
    <xf numFmtId="0" fontId="5" fillId="0" borderId="0" applyNumberFormat="0" applyFont="0" applyFill="0" applyBorder="0" applyProtection="0">
      <alignment horizontal="right"/>
    </xf>
    <xf numFmtId="0" fontId="5" fillId="0" borderId="11" applyNumberFormat="0" applyFont="0" applyFill="0" applyProtection="0">
      <alignment horizontal="center"/>
    </xf>
    <xf numFmtId="0" fontId="5" fillId="0" borderId="11" applyNumberFormat="0" applyFont="0" applyFill="0" applyProtection="0">
      <alignment horizontal="left"/>
    </xf>
    <xf numFmtId="0" fontId="5" fillId="0" borderId="11" applyNumberFormat="0" applyFont="0" applyFill="0" applyProtection="0">
      <alignment horizontal="right"/>
    </xf>
    <xf numFmtId="0" fontId="5" fillId="0" borderId="18" applyNumberFormat="0" applyFont="0" applyFill="0" applyProtection="0">
      <alignment horizontal="center"/>
    </xf>
    <xf numFmtId="0" fontId="53" fillId="0" borderId="48" applyNumberFormat="0" applyFill="0" applyAlignment="0" applyProtection="0"/>
    <xf numFmtId="0" fontId="54" fillId="0" borderId="49" applyNumberFormat="0" applyFill="0" applyAlignment="0" applyProtection="0"/>
    <xf numFmtId="0" fontId="55" fillId="0" borderId="50" applyNumberFormat="0" applyFill="0" applyAlignment="0" applyProtection="0"/>
    <xf numFmtId="0" fontId="55" fillId="0" borderId="50" applyNumberFormat="0" applyFill="0" applyAlignment="0" applyProtection="0"/>
    <xf numFmtId="0" fontId="55" fillId="0" borderId="0" applyNumberFormat="0" applyFill="0" applyBorder="0" applyAlignment="0" applyProtection="0"/>
    <xf numFmtId="0" fontId="5" fillId="0" borderId="51" applyNumberFormat="0" applyFont="0" applyFill="0" applyProtection="0">
      <alignment horizontal="center"/>
    </xf>
    <xf numFmtId="0" fontId="5" fillId="0" borderId="52" applyNumberFormat="0" applyFont="0" applyFill="0" applyProtection="0">
      <alignment horizontal="center"/>
    </xf>
    <xf numFmtId="0" fontId="56" fillId="0" borderId="0" applyNumberFormat="0" applyFill="0" applyBorder="0" applyAlignment="0" applyProtection="0"/>
    <xf numFmtId="165" fontId="57" fillId="0" borderId="0" applyNumberFormat="0" applyFill="0" applyBorder="0" applyAlignment="0" applyProtection="0">
      <alignment vertical="top"/>
      <protection locked="0"/>
    </xf>
    <xf numFmtId="0" fontId="58" fillId="16" borderId="45" applyNumberFormat="0" applyAlignment="0" applyProtection="0"/>
    <xf numFmtId="0" fontId="59" fillId="0" borderId="53" applyNumberFormat="0" applyFill="0" applyAlignment="0" applyProtection="0"/>
    <xf numFmtId="176" fontId="5" fillId="0" borderId="0" applyFont="0" applyFill="0" applyBorder="0" applyAlignment="0" applyProtection="0">
      <alignment horizontal="left" vertical="top" wrapText="1"/>
    </xf>
    <xf numFmtId="177" fontId="5" fillId="0" borderId="0" applyFont="0" applyFill="0" applyBorder="0" applyAlignment="0" applyProtection="0">
      <alignment horizontal="left" vertical="top" wrapText="1"/>
    </xf>
    <xf numFmtId="0" fontId="60" fillId="31" borderId="0" applyNumberFormat="0" applyBorder="0" applyAlignment="0" applyProtection="0"/>
    <xf numFmtId="178" fontId="16" fillId="0" borderId="0" applyFont="0" applyFill="0" applyBorder="0" applyAlignment="0" applyProtection="0">
      <alignment horizontal="left" vertical="top" wrapText="1"/>
    </xf>
    <xf numFmtId="179" fontId="5" fillId="0" borderId="0" applyFont="0" applyFill="0" applyBorder="0" applyAlignment="0" applyProtection="0">
      <alignment horizontal="left" vertical="top" wrapText="1"/>
    </xf>
    <xf numFmtId="180" fontId="5" fillId="0" borderId="0" applyFont="0" applyFill="0" applyBorder="0" applyAlignment="0" applyProtection="0">
      <alignment horizontal="left" vertical="top" wrapText="1"/>
    </xf>
    <xf numFmtId="181" fontId="5" fillId="0" borderId="0" applyFont="0" applyFill="0" applyBorder="0" applyAlignment="0" applyProtection="0">
      <alignment horizontal="left" vertical="top" wrapText="1"/>
    </xf>
    <xf numFmtId="169" fontId="5" fillId="0" borderId="0" applyFont="0" applyFill="0" applyBorder="0" applyAlignment="0" applyProtection="0"/>
    <xf numFmtId="0" fontId="61" fillId="0" borderId="0"/>
    <xf numFmtId="0" fontId="5" fillId="0" borderId="0"/>
    <xf numFmtId="0" fontId="5" fillId="0" borderId="0"/>
    <xf numFmtId="0" fontId="39" fillId="0" borderId="0"/>
    <xf numFmtId="0" fontId="28" fillId="0" borderId="0"/>
    <xf numFmtId="0" fontId="28" fillId="0" borderId="0"/>
    <xf numFmtId="0" fontId="5" fillId="0" borderId="0"/>
    <xf numFmtId="0" fontId="5" fillId="0" borderId="0"/>
    <xf numFmtId="0" fontId="5" fillId="0" borderId="0">
      <alignment vertical="top"/>
    </xf>
    <xf numFmtId="169" fontId="5" fillId="0" borderId="0" applyFont="0" applyFill="0" applyBorder="0" applyAlignment="0" applyProtection="0"/>
    <xf numFmtId="169" fontId="15" fillId="0" borderId="0" applyFill="0" applyBorder="0" applyAlignment="0" applyProtection="0"/>
    <xf numFmtId="0" fontId="5" fillId="32" borderId="54" applyNumberFormat="0" applyFont="0" applyAlignment="0" applyProtection="0"/>
    <xf numFmtId="182" fontId="5" fillId="0" borderId="0" applyFont="0" applyFill="0" applyBorder="0" applyProtection="0">
      <alignment horizontal="right"/>
    </xf>
    <xf numFmtId="0" fontId="62" fillId="29" borderId="55" applyNumberFormat="0" applyAlignment="0" applyProtection="0"/>
    <xf numFmtId="169" fontId="5" fillId="0" borderId="0" applyNumberFormat="0" applyFont="0" applyFill="0" applyBorder="0" applyProtection="0">
      <alignment horizontal="centerContinuous"/>
    </xf>
    <xf numFmtId="9" fontId="5" fillId="0" borderId="0" applyFont="0" applyFill="0" applyBorder="0" applyAlignment="0" applyProtection="0"/>
    <xf numFmtId="183" fontId="5" fillId="0" borderId="0" applyFont="0" applyFill="0" applyBorder="0" applyAlignment="0" applyProtection="0"/>
    <xf numFmtId="184" fontId="15" fillId="0" borderId="0" applyFont="0" applyFill="0" applyBorder="0" applyAlignment="0" applyProtection="0">
      <alignment horizontal="right"/>
    </xf>
    <xf numFmtId="185" fontId="5" fillId="0" borderId="0" applyFont="0" applyFill="0" applyBorder="0" applyAlignment="0" applyProtection="0">
      <alignment horizontal="left" vertical="top"/>
    </xf>
    <xf numFmtId="169" fontId="5" fillId="0" borderId="0" applyNumberFormat="0" applyFont="0" applyFill="0" applyBorder="0" applyProtection="0">
      <alignment horizontal="left" vertical="top" wrapText="1"/>
    </xf>
    <xf numFmtId="0" fontId="5" fillId="0" borderId="0" applyNumberFormat="0" applyFont="0" applyFill="0" applyBorder="0" applyProtection="0">
      <alignment horizontal="left"/>
    </xf>
    <xf numFmtId="0" fontId="63" fillId="0" borderId="0" applyNumberFormat="0" applyFill="0" applyBorder="0" applyAlignment="0" applyProtection="0"/>
    <xf numFmtId="0" fontId="64" fillId="0" borderId="56" applyNumberFormat="0" applyFill="0" applyAlignment="0" applyProtection="0"/>
    <xf numFmtId="185" fontId="5" fillId="0" borderId="0" applyFont="0" applyFill="0" applyBorder="0" applyAlignment="0" applyProtection="0">
      <alignment horizontal="left"/>
    </xf>
    <xf numFmtId="0" fontId="65" fillId="0" borderId="0" applyNumberFormat="0" applyFill="0" applyBorder="0" applyAlignment="0" applyProtection="0"/>
    <xf numFmtId="0" fontId="66" fillId="0" borderId="0" applyNumberFormat="0" applyFill="0" applyBorder="0" applyAlignment="0"/>
    <xf numFmtId="0" fontId="67" fillId="33" borderId="57" applyBorder="0">
      <alignment horizontal="center"/>
    </xf>
    <xf numFmtId="0" fontId="82" fillId="0" borderId="0"/>
    <xf numFmtId="0" fontId="86" fillId="0" borderId="0" applyNumberFormat="0" applyFill="0" applyBorder="0" applyAlignment="0" applyProtection="0"/>
    <xf numFmtId="0" fontId="92" fillId="0" borderId="0"/>
    <xf numFmtId="0" fontId="39" fillId="0" borderId="0"/>
    <xf numFmtId="0" fontId="39" fillId="0" borderId="0"/>
    <xf numFmtId="0" fontId="39" fillId="0" borderId="0"/>
  </cellStyleXfs>
  <cellXfs count="461">
    <xf numFmtId="0" fontId="0" fillId="0" borderId="0" xfId="0"/>
    <xf numFmtId="0" fontId="1" fillId="0" borderId="0" xfId="0" applyFont="1" applyFill="1" applyBorder="1" applyAlignment="1" applyProtection="1">
      <alignment horizontal="right" vertical="top"/>
    </xf>
    <xf numFmtId="0" fontId="3" fillId="0" borderId="0" xfId="0" applyFont="1" applyFill="1" applyBorder="1" applyProtection="1"/>
    <xf numFmtId="0" fontId="20" fillId="0" borderId="0" xfId="0" applyFont="1" applyFill="1" applyBorder="1" applyProtection="1"/>
    <xf numFmtId="0" fontId="20" fillId="0" borderId="0" xfId="0" applyFont="1" applyFill="1" applyBorder="1" applyAlignment="1" applyProtection="1">
      <alignment horizontal="left" vertical="top" indent="2"/>
    </xf>
    <xf numFmtId="0" fontId="3" fillId="0" borderId="0" xfId="0" applyFont="1" applyFill="1" applyBorder="1" applyAlignment="1" applyProtection="1">
      <alignment vertical="center"/>
    </xf>
    <xf numFmtId="0" fontId="22" fillId="2" borderId="0" xfId="0" applyFont="1" applyFill="1" applyBorder="1" applyAlignment="1" applyProtection="1">
      <alignment horizontal="right" vertical="center"/>
    </xf>
    <xf numFmtId="164" fontId="8" fillId="0" borderId="1" xfId="0" applyNumberFormat="1" applyFont="1" applyFill="1" applyBorder="1" applyAlignment="1" applyProtection="1">
      <alignment vertical="center"/>
    </xf>
    <xf numFmtId="0" fontId="5" fillId="0" borderId="0" xfId="0" applyFont="1" applyFill="1" applyBorder="1" applyProtection="1"/>
    <xf numFmtId="0" fontId="20" fillId="0" borderId="1" xfId="0" applyFont="1" applyFill="1" applyBorder="1" applyAlignment="1" applyProtection="1">
      <alignment horizontal="left" vertical="top" indent="2"/>
    </xf>
    <xf numFmtId="0" fontId="20" fillId="0" borderId="0" xfId="0" applyFont="1" applyFill="1" applyBorder="1" applyAlignment="1" applyProtection="1">
      <alignment vertical="center"/>
    </xf>
    <xf numFmtId="0" fontId="13" fillId="3" borderId="2" xfId="0" applyFont="1" applyFill="1" applyBorder="1" applyAlignment="1" applyProtection="1">
      <alignment horizontal="center" vertical="center"/>
      <protection locked="0"/>
    </xf>
    <xf numFmtId="0" fontId="7" fillId="3" borderId="3" xfId="0" applyFont="1" applyFill="1" applyBorder="1" applyAlignment="1" applyProtection="1">
      <alignment vertical="top" wrapText="1"/>
      <protection locked="0"/>
    </xf>
    <xf numFmtId="0" fontId="13" fillId="3" borderId="4" xfId="0" applyFont="1" applyFill="1" applyBorder="1" applyAlignment="1" applyProtection="1">
      <alignment horizontal="center" vertical="center"/>
      <protection locked="0"/>
    </xf>
    <xf numFmtId="0" fontId="7" fillId="3" borderId="5" xfId="0" applyFont="1" applyFill="1" applyBorder="1" applyAlignment="1" applyProtection="1">
      <alignment vertical="top" wrapText="1"/>
      <protection locked="0"/>
    </xf>
    <xf numFmtId="0" fontId="3" fillId="0" borderId="0" xfId="0" applyFont="1" applyFill="1" applyBorder="1" applyAlignment="1" applyProtection="1">
      <alignment horizontal="center" vertical="center"/>
    </xf>
    <xf numFmtId="0" fontId="22" fillId="2" borderId="37" xfId="0" applyFont="1" applyFill="1" applyBorder="1" applyAlignment="1" applyProtection="1">
      <alignment horizontal="left" vertical="center"/>
    </xf>
    <xf numFmtId="0" fontId="22" fillId="2" borderId="37" xfId="0" applyFont="1" applyFill="1" applyBorder="1" applyAlignment="1" applyProtection="1">
      <alignment horizontal="right" vertical="center"/>
    </xf>
    <xf numFmtId="0" fontId="22" fillId="2" borderId="37" xfId="0" applyFont="1" applyFill="1" applyBorder="1" applyAlignment="1" applyProtection="1">
      <alignment horizontal="right" vertical="center" wrapText="1"/>
    </xf>
    <xf numFmtId="0" fontId="13" fillId="3" borderId="6" xfId="0" applyFont="1" applyFill="1" applyBorder="1" applyAlignment="1" applyProtection="1">
      <alignment horizontal="center" vertical="center"/>
      <protection locked="0"/>
    </xf>
    <xf numFmtId="0" fontId="1" fillId="0" borderId="7" xfId="0" applyFont="1" applyFill="1" applyBorder="1" applyAlignment="1" applyProtection="1">
      <alignment horizontal="center" vertical="center" wrapText="1"/>
    </xf>
    <xf numFmtId="0" fontId="23" fillId="0" borderId="1" xfId="0" applyFont="1" applyFill="1" applyBorder="1" applyAlignment="1" applyProtection="1">
      <alignment horizontal="center" vertical="center"/>
    </xf>
    <xf numFmtId="0" fontId="23" fillId="4" borderId="9" xfId="0" applyFont="1" applyFill="1" applyBorder="1" applyAlignment="1" applyProtection="1">
      <alignment horizontal="center" vertical="center"/>
    </xf>
    <xf numFmtId="0" fontId="7" fillId="3" borderId="10" xfId="0" applyFont="1" applyFill="1" applyBorder="1" applyAlignment="1" applyProtection="1">
      <alignment vertical="top" wrapText="1"/>
      <protection locked="0"/>
    </xf>
    <xf numFmtId="0" fontId="2" fillId="0" borderId="12" xfId="0" applyFont="1" applyFill="1" applyBorder="1" applyAlignment="1" applyProtection="1">
      <alignment horizontal="centerContinuous" vertical="center" wrapText="1"/>
    </xf>
    <xf numFmtId="0" fontId="3" fillId="0" borderId="12" xfId="0" applyFont="1" applyFill="1" applyBorder="1" applyAlignment="1" applyProtection="1">
      <alignment horizontal="centerContinuous" vertical="center"/>
    </xf>
    <xf numFmtId="0" fontId="10" fillId="0" borderId="3" xfId="0" applyFont="1" applyFill="1" applyBorder="1" applyAlignment="1" applyProtection="1">
      <alignment horizontal="center" vertical="center" wrapText="1"/>
    </xf>
    <xf numFmtId="0" fontId="13" fillId="3" borderId="13" xfId="0" applyFont="1" applyFill="1" applyBorder="1" applyAlignment="1" applyProtection="1">
      <alignment horizontal="center" vertical="center"/>
      <protection locked="0"/>
    </xf>
    <xf numFmtId="0" fontId="13" fillId="3" borderId="14" xfId="0"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protection locked="0"/>
    </xf>
    <xf numFmtId="0" fontId="25" fillId="2" borderId="0" xfId="0" applyFont="1" applyFill="1" applyBorder="1" applyAlignment="1" applyProtection="1">
      <alignment horizontal="centerContinuous" vertical="center" wrapText="1"/>
    </xf>
    <xf numFmtId="0" fontId="25" fillId="2" borderId="0" xfId="0" applyFont="1" applyFill="1" applyBorder="1" applyAlignment="1" applyProtection="1">
      <alignment horizontal="center" vertical="center" wrapText="1"/>
    </xf>
    <xf numFmtId="0" fontId="20" fillId="0" borderId="0" xfId="0" applyFont="1" applyFill="1" applyBorder="1" applyAlignment="1" applyProtection="1">
      <alignment horizontal="center" vertical="center"/>
    </xf>
    <xf numFmtId="0" fontId="22" fillId="2" borderId="0" xfId="0" applyFont="1" applyFill="1" applyBorder="1" applyAlignment="1" applyProtection="1">
      <alignment horizontal="center" vertical="center" wrapText="1"/>
    </xf>
    <xf numFmtId="0" fontId="26" fillId="0" borderId="0" xfId="0" applyFont="1" applyFill="1" applyBorder="1" applyAlignment="1" applyProtection="1">
      <alignment vertical="center"/>
    </xf>
    <xf numFmtId="0" fontId="6" fillId="0" borderId="8" xfId="0" applyFont="1" applyFill="1" applyBorder="1" applyAlignment="1" applyProtection="1">
      <alignment horizontal="right" vertical="center"/>
    </xf>
    <xf numFmtId="0" fontId="24" fillId="0" borderId="0" xfId="0" applyFont="1" applyFill="1" applyBorder="1" applyAlignment="1" applyProtection="1">
      <alignment horizontal="left" vertical="center"/>
    </xf>
    <xf numFmtId="0" fontId="7" fillId="0" borderId="0" xfId="0" applyFont="1" applyFill="1" applyBorder="1" applyAlignment="1" applyProtection="1">
      <alignment horizontal="left" vertical="center"/>
    </xf>
    <xf numFmtId="0" fontId="2" fillId="0" borderId="0" xfId="0" applyFont="1" applyFill="1" applyBorder="1" applyAlignment="1" applyProtection="1">
      <alignment horizontal="center" vertical="center"/>
    </xf>
    <xf numFmtId="0" fontId="6" fillId="0" borderId="0" xfId="0" applyFont="1" applyFill="1" applyBorder="1" applyAlignment="1" applyProtection="1">
      <alignment vertical="center"/>
    </xf>
    <xf numFmtId="0" fontId="27" fillId="0" borderId="0" xfId="0" applyFont="1" applyFill="1" applyBorder="1" applyAlignment="1" applyProtection="1">
      <alignment horizontal="left" vertical="center"/>
    </xf>
    <xf numFmtId="0" fontId="21" fillId="0" borderId="0" xfId="0" applyFont="1" applyFill="1" applyBorder="1" applyAlignment="1" applyProtection="1">
      <alignment horizontal="centerContinuous" vertical="center" wrapText="1"/>
    </xf>
    <xf numFmtId="0" fontId="10" fillId="5" borderId="2" xfId="0" applyFont="1" applyFill="1" applyBorder="1" applyAlignment="1" applyProtection="1">
      <alignment horizontal="center" vertical="center" wrapText="1"/>
    </xf>
    <xf numFmtId="0" fontId="1" fillId="0" borderId="16" xfId="0" applyFont="1" applyFill="1" applyBorder="1" applyAlignment="1" applyProtection="1">
      <alignment horizontal="center" vertical="center" wrapText="1"/>
    </xf>
    <xf numFmtId="0" fontId="0" fillId="4" borderId="0" xfId="0" applyFill="1"/>
    <xf numFmtId="0" fontId="22" fillId="2" borderId="38" xfId="0" applyFont="1" applyFill="1" applyBorder="1" applyAlignment="1" applyProtection="1">
      <alignment horizontal="right" vertical="center"/>
    </xf>
    <xf numFmtId="0" fontId="22" fillId="2" borderId="38" xfId="0" applyFont="1" applyFill="1" applyBorder="1" applyAlignment="1" applyProtection="1">
      <alignment horizontal="right" vertical="center" wrapText="1"/>
    </xf>
    <xf numFmtId="0" fontId="29" fillId="2" borderId="0" xfId="0" applyFont="1" applyFill="1" applyBorder="1" applyAlignment="1" applyProtection="1">
      <alignment horizontal="centerContinuous" vertical="center" wrapText="1"/>
    </xf>
    <xf numFmtId="0" fontId="16" fillId="0" borderId="0" xfId="0" applyFont="1" applyFill="1" applyBorder="1" applyProtection="1"/>
    <xf numFmtId="0" fontId="30" fillId="0" borderId="0" xfId="0" applyFont="1" applyFill="1" applyBorder="1" applyAlignment="1" applyProtection="1">
      <alignment horizontal="left" vertical="top" indent="2"/>
    </xf>
    <xf numFmtId="0" fontId="30" fillId="0" borderId="0" xfId="0" applyFont="1" applyFill="1" applyBorder="1" applyAlignment="1" applyProtection="1">
      <alignment horizontal="left" indent="2"/>
    </xf>
    <xf numFmtId="0" fontId="31" fillId="3" borderId="0" xfId="0" applyFont="1" applyFill="1" applyBorder="1" applyAlignment="1" applyProtection="1">
      <alignment horizontal="centerContinuous" vertical="center" wrapText="1"/>
    </xf>
    <xf numFmtId="0" fontId="18" fillId="3" borderId="0" xfId="0" applyFont="1" applyFill="1" applyBorder="1" applyAlignment="1" applyProtection="1">
      <alignment horizontal="centerContinuous" vertical="center" wrapText="1"/>
    </xf>
    <xf numFmtId="0" fontId="32" fillId="2" borderId="0" xfId="0" applyFont="1" applyFill="1" applyBorder="1" applyAlignment="1" applyProtection="1">
      <alignment horizontal="centerContinuous" vertical="center"/>
    </xf>
    <xf numFmtId="0" fontId="25" fillId="2" borderId="0" xfId="0" applyFont="1" applyFill="1" applyBorder="1" applyAlignment="1" applyProtection="1">
      <alignment horizontal="centerContinuous" vertical="center"/>
    </xf>
    <xf numFmtId="0" fontId="0" fillId="0" borderId="0" xfId="0" applyAlignment="1">
      <alignment horizontal="center"/>
    </xf>
    <xf numFmtId="0" fontId="0" fillId="0" borderId="0" xfId="0" applyFill="1"/>
    <xf numFmtId="0" fontId="38" fillId="0" borderId="0" xfId="0" applyFont="1" applyAlignment="1" applyProtection="1">
      <alignment horizontal="center" vertical="top"/>
    </xf>
    <xf numFmtId="0" fontId="68" fillId="0" borderId="0" xfId="0" applyFont="1" applyAlignment="1" applyProtection="1">
      <alignment horizontal="center" vertical="top"/>
    </xf>
    <xf numFmtId="0" fontId="68" fillId="0" borderId="0" xfId="0" applyFont="1" applyAlignment="1" applyProtection="1">
      <alignment vertical="top"/>
    </xf>
    <xf numFmtId="0" fontId="38" fillId="0" borderId="0" xfId="0" applyFont="1" applyAlignment="1" applyProtection="1">
      <alignment vertical="top"/>
    </xf>
    <xf numFmtId="0" fontId="68" fillId="0" borderId="0" xfId="0" applyFont="1" applyAlignment="1" applyProtection="1">
      <alignment horizontal="left" vertical="top" wrapText="1"/>
    </xf>
    <xf numFmtId="0" fontId="36" fillId="4" borderId="40" xfId="0" applyFont="1" applyFill="1" applyBorder="1" applyAlignment="1" applyProtection="1">
      <alignment horizontal="center" vertical="center" wrapText="1"/>
    </xf>
    <xf numFmtId="0" fontId="36" fillId="0" borderId="41" xfId="0" applyFont="1" applyFill="1" applyBorder="1" applyAlignment="1" applyProtection="1">
      <alignment horizontal="center" vertical="center" wrapText="1"/>
    </xf>
    <xf numFmtId="0" fontId="36" fillId="4" borderId="41" xfId="0" applyFont="1" applyFill="1" applyBorder="1" applyAlignment="1" applyProtection="1">
      <alignment horizontal="center" vertical="center" wrapText="1"/>
    </xf>
    <xf numFmtId="0" fontId="32" fillId="2" borderId="0" xfId="0" applyFont="1" applyFill="1" applyBorder="1" applyAlignment="1" applyProtection="1">
      <alignment horizontal="centerContinuous" vertical="center" wrapText="1"/>
    </xf>
    <xf numFmtId="0" fontId="2" fillId="3" borderId="39" xfId="0" applyFont="1" applyFill="1" applyBorder="1" applyAlignment="1" applyProtection="1">
      <alignment horizontal="center" vertical="center"/>
    </xf>
    <xf numFmtId="0" fontId="2" fillId="3" borderId="42" xfId="0" applyFont="1" applyFill="1" applyBorder="1" applyAlignment="1" applyProtection="1">
      <alignment horizontal="center" vertical="center"/>
    </xf>
    <xf numFmtId="0" fontId="10" fillId="0" borderId="10" xfId="0" applyFont="1" applyFill="1" applyBorder="1" applyAlignment="1" applyProtection="1">
      <alignment horizontal="center" vertical="center" wrapText="1"/>
    </xf>
    <xf numFmtId="0" fontId="10" fillId="5" borderId="6" xfId="0" applyFont="1" applyFill="1" applyBorder="1" applyAlignment="1" applyProtection="1">
      <alignment horizontal="center" vertical="center" wrapText="1"/>
    </xf>
    <xf numFmtId="0" fontId="2" fillId="0" borderId="11" xfId="0" applyFont="1" applyFill="1" applyBorder="1" applyAlignment="1" applyProtection="1">
      <alignment horizontal="centerContinuous" vertical="center" wrapText="1"/>
    </xf>
    <xf numFmtId="0" fontId="3" fillId="0" borderId="11" xfId="0" applyFont="1" applyFill="1" applyBorder="1" applyAlignment="1" applyProtection="1">
      <alignment horizontal="centerContinuous" vertical="center"/>
    </xf>
    <xf numFmtId="164" fontId="8" fillId="0" borderId="0" xfId="0" applyNumberFormat="1" applyFont="1" applyFill="1" applyBorder="1" applyAlignment="1" applyProtection="1">
      <alignment vertical="center"/>
    </xf>
    <xf numFmtId="49" fontId="71" fillId="0" borderId="62" xfId="0" applyNumberFormat="1" applyFont="1" applyFill="1" applyBorder="1" applyAlignment="1" applyProtection="1">
      <alignment horizontal="left" vertical="top"/>
      <protection locked="0"/>
    </xf>
    <xf numFmtId="0" fontId="0" fillId="0" borderId="0" xfId="0" applyBorder="1"/>
    <xf numFmtId="0" fontId="0" fillId="4" borderId="0" xfId="0" applyFill="1" applyBorder="1"/>
    <xf numFmtId="0" fontId="0" fillId="0" borderId="0" xfId="0" applyFill="1" applyBorder="1"/>
    <xf numFmtId="0" fontId="41" fillId="0" borderId="0" xfId="83" applyFont="1" applyBorder="1" applyAlignment="1">
      <alignment horizontal="left" vertical="top" wrapText="1"/>
    </xf>
    <xf numFmtId="0" fontId="70" fillId="0" borderId="64" xfId="0" applyFont="1" applyFill="1" applyBorder="1" applyAlignment="1" applyProtection="1">
      <alignment horizontal="center" vertical="top"/>
    </xf>
    <xf numFmtId="0" fontId="70" fillId="0" borderId="64" xfId="0" applyNumberFormat="1" applyFont="1" applyFill="1" applyBorder="1" applyAlignment="1" applyProtection="1">
      <alignment horizontal="center" vertical="top"/>
    </xf>
    <xf numFmtId="1" fontId="70" fillId="0" borderId="64" xfId="0" applyNumberFormat="1" applyFont="1" applyFill="1" applyBorder="1" applyAlignment="1" applyProtection="1">
      <alignment horizontal="center" vertical="top"/>
    </xf>
    <xf numFmtId="0" fontId="36" fillId="0" borderId="0" xfId="0" applyFont="1" applyFill="1" applyBorder="1" applyAlignment="1" applyProtection="1">
      <alignment horizontal="center" vertical="center" wrapText="1"/>
    </xf>
    <xf numFmtId="0" fontId="36" fillId="4" borderId="44" xfId="0" applyFont="1" applyFill="1" applyBorder="1" applyAlignment="1" applyProtection="1">
      <alignment horizontal="center" vertical="center" wrapText="1"/>
    </xf>
    <xf numFmtId="0" fontId="42" fillId="8" borderId="64" xfId="83" applyFont="1" applyFill="1" applyBorder="1" applyAlignment="1" applyProtection="1">
      <alignment horizontal="left" vertical="top" wrapText="1"/>
    </xf>
    <xf numFmtId="0" fontId="42" fillId="8" borderId="64" xfId="83" applyFont="1" applyFill="1" applyBorder="1" applyAlignment="1" applyProtection="1">
      <alignment horizontal="center" vertical="top" wrapText="1"/>
    </xf>
    <xf numFmtId="0" fontId="42" fillId="6" borderId="64" xfId="83" applyFont="1" applyFill="1" applyBorder="1" applyAlignment="1" applyProtection="1">
      <alignment horizontal="center" vertical="top" wrapText="1"/>
    </xf>
    <xf numFmtId="0" fontId="38" fillId="8" borderId="64" xfId="83" applyFont="1" applyFill="1" applyBorder="1" applyAlignment="1" applyProtection="1">
      <alignment horizontal="left" vertical="top" wrapText="1"/>
    </xf>
    <xf numFmtId="0" fontId="42" fillId="6" borderId="64" xfId="83" applyFont="1" applyFill="1" applyBorder="1" applyAlignment="1" applyProtection="1">
      <alignment horizontal="left" vertical="top" wrapText="1"/>
    </xf>
    <xf numFmtId="0" fontId="38" fillId="9" borderId="64" xfId="83" applyFont="1" applyFill="1" applyBorder="1" applyAlignment="1" applyProtection="1">
      <alignment vertical="top" wrapText="1"/>
    </xf>
    <xf numFmtId="0" fontId="42" fillId="9" borderId="64" xfId="83" applyFont="1" applyFill="1" applyBorder="1" applyAlignment="1" applyProtection="1">
      <alignment vertical="top" wrapText="1"/>
    </xf>
    <xf numFmtId="0" fontId="41" fillId="8" borderId="64" xfId="83" applyFont="1" applyFill="1" applyBorder="1" applyAlignment="1" applyProtection="1">
      <alignment horizontal="left" vertical="top" wrapText="1"/>
    </xf>
    <xf numFmtId="0" fontId="70" fillId="0" borderId="18" xfId="0" applyFont="1" applyFill="1" applyBorder="1" applyAlignment="1" applyProtection="1">
      <alignment horizontal="center" vertical="top"/>
    </xf>
    <xf numFmtId="1" fontId="70" fillId="0" borderId="18" xfId="0" applyNumberFormat="1" applyFont="1" applyFill="1" applyBorder="1" applyAlignment="1" applyProtection="1">
      <alignment horizontal="center" vertical="top"/>
    </xf>
    <xf numFmtId="0" fontId="70" fillId="0" borderId="18" xfId="0" applyNumberFormat="1" applyFont="1" applyFill="1" applyBorder="1" applyAlignment="1" applyProtection="1">
      <alignment horizontal="center" vertical="top"/>
    </xf>
    <xf numFmtId="0" fontId="76" fillId="0" borderId="0" xfId="0" applyFont="1" applyFill="1" applyBorder="1" applyAlignment="1" applyProtection="1">
      <alignment horizontal="center" vertical="center"/>
    </xf>
    <xf numFmtId="0" fontId="77" fillId="2" borderId="0" xfId="0" applyFont="1" applyFill="1" applyBorder="1" applyAlignment="1" applyProtection="1">
      <alignment horizontal="left" vertical="top"/>
    </xf>
    <xf numFmtId="0" fontId="77" fillId="2" borderId="0" xfId="0" applyFont="1" applyFill="1" applyBorder="1" applyAlignment="1" applyProtection="1">
      <alignment horizontal="centerContinuous" vertical="center" wrapText="1"/>
    </xf>
    <xf numFmtId="0" fontId="78" fillId="2" borderId="78" xfId="0" applyFont="1" applyFill="1" applyBorder="1" applyAlignment="1" applyProtection="1">
      <alignment vertical="center"/>
    </xf>
    <xf numFmtId="0" fontId="79" fillId="2" borderId="79" xfId="0" applyFont="1" applyFill="1" applyBorder="1" applyProtection="1"/>
    <xf numFmtId="0" fontId="22" fillId="2" borderId="70" xfId="0" applyFont="1" applyFill="1" applyBorder="1" applyAlignment="1" applyProtection="1">
      <alignment horizontal="center" vertical="center" wrapText="1"/>
    </xf>
    <xf numFmtId="0" fontId="80"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center" vertical="top"/>
    </xf>
    <xf numFmtId="0" fontId="19" fillId="0" borderId="0" xfId="1" applyAlignment="1">
      <alignment vertical="top"/>
    </xf>
    <xf numFmtId="186" fontId="42" fillId="6" borderId="64" xfId="83" applyNumberFormat="1" applyFont="1" applyFill="1" applyBorder="1" applyAlignment="1" applyProtection="1">
      <alignment horizontal="center" vertical="top" wrapText="1"/>
    </xf>
    <xf numFmtId="186" fontId="0" fillId="0" borderId="64" xfId="83" applyNumberFormat="1" applyFont="1" applyFill="1" applyBorder="1" applyAlignment="1" applyProtection="1">
      <alignment horizontal="center" vertical="center"/>
    </xf>
    <xf numFmtId="0" fontId="0" fillId="0" borderId="0" xfId="0" applyAlignment="1">
      <alignment horizontal="left"/>
    </xf>
    <xf numFmtId="1" fontId="38" fillId="8" borderId="64" xfId="0" applyNumberFormat="1" applyFont="1" applyFill="1" applyBorder="1" applyAlignment="1">
      <alignment horizontal="center" vertical="top"/>
    </xf>
    <xf numFmtId="20" fontId="0" fillId="0" borderId="64" xfId="0" applyNumberFormat="1" applyFont="1" applyBorder="1" applyAlignment="1">
      <alignment vertical="top"/>
    </xf>
    <xf numFmtId="0" fontId="40" fillId="2" borderId="87" xfId="0" applyFont="1" applyFill="1" applyBorder="1" applyAlignment="1">
      <alignment horizontal="left" vertical="top"/>
    </xf>
    <xf numFmtId="0" fontId="40" fillId="2" borderId="66" xfId="0" applyFont="1" applyFill="1" applyBorder="1" applyAlignment="1">
      <alignment horizontal="left" vertical="top"/>
    </xf>
    <xf numFmtId="0" fontId="43" fillId="2" borderId="87" xfId="0" applyFont="1" applyFill="1" applyBorder="1" applyAlignment="1">
      <alignment horizontal="center" vertical="top"/>
    </xf>
    <xf numFmtId="0" fontId="40" fillId="2" borderId="81" xfId="0" applyFont="1" applyFill="1" applyBorder="1" applyAlignment="1">
      <alignment horizontal="left" vertical="top"/>
    </xf>
    <xf numFmtId="0" fontId="43" fillId="2" borderId="88" xfId="0" applyFont="1" applyFill="1" applyBorder="1" applyAlignment="1">
      <alignment horizontal="left" vertical="top"/>
    </xf>
    <xf numFmtId="0" fontId="43" fillId="2" borderId="81" xfId="0" applyFont="1" applyFill="1" applyBorder="1" applyAlignment="1">
      <alignment horizontal="center" vertical="top"/>
    </xf>
    <xf numFmtId="0" fontId="0" fillId="0" borderId="76" xfId="0" applyFont="1" applyFill="1" applyBorder="1" applyAlignment="1">
      <alignment horizontal="left" vertical="top"/>
    </xf>
    <xf numFmtId="0" fontId="72" fillId="2" borderId="87" xfId="0" applyFont="1" applyFill="1" applyBorder="1" applyAlignment="1">
      <alignment horizontal="left" vertical="top"/>
    </xf>
    <xf numFmtId="0" fontId="72" fillId="2" borderId="0" xfId="0" applyFont="1" applyFill="1" applyBorder="1" applyAlignment="1">
      <alignment horizontal="left" vertical="top"/>
    </xf>
    <xf numFmtId="0" fontId="83" fillId="0" borderId="63" xfId="0" applyFont="1" applyFill="1" applyBorder="1" applyAlignment="1">
      <alignment horizontal="left" vertical="top"/>
    </xf>
    <xf numFmtId="0" fontId="40" fillId="2" borderId="89" xfId="0" applyFont="1" applyFill="1" applyBorder="1" applyAlignment="1">
      <alignment horizontal="left" vertical="top"/>
    </xf>
    <xf numFmtId="1" fontId="38" fillId="8" borderId="74" xfId="0" applyNumberFormat="1" applyFont="1" applyFill="1" applyBorder="1" applyAlignment="1">
      <alignment horizontal="center" vertical="top"/>
    </xf>
    <xf numFmtId="0" fontId="72" fillId="2" borderId="89" xfId="0" applyFont="1" applyFill="1" applyBorder="1" applyAlignment="1">
      <alignment horizontal="left" vertical="top"/>
    </xf>
    <xf numFmtId="0" fontId="72" fillId="2" borderId="89" xfId="0" applyFont="1" applyFill="1" applyBorder="1" applyAlignment="1">
      <alignment horizontal="center" vertical="top"/>
    </xf>
    <xf numFmtId="0" fontId="41" fillId="34" borderId="91" xfId="0" applyFont="1" applyFill="1" applyBorder="1" applyAlignment="1">
      <alignment vertical="top"/>
    </xf>
    <xf numFmtId="0" fontId="41" fillId="34" borderId="91" xfId="0" applyFont="1" applyFill="1" applyBorder="1" applyAlignment="1">
      <alignment horizontal="left" vertical="top"/>
    </xf>
    <xf numFmtId="0" fontId="41" fillId="34" borderId="92" xfId="0" applyFont="1" applyFill="1" applyBorder="1" applyAlignment="1">
      <alignment horizontal="left" vertical="top"/>
    </xf>
    <xf numFmtId="20" fontId="44" fillId="7" borderId="64" xfId="0" applyNumberFormat="1" applyFont="1" applyFill="1" applyBorder="1" applyAlignment="1">
      <alignment vertical="top"/>
    </xf>
    <xf numFmtId="0" fontId="41" fillId="0" borderId="76" xfId="0" applyFont="1" applyFill="1" applyBorder="1" applyAlignment="1">
      <alignment horizontal="left" vertical="top"/>
    </xf>
    <xf numFmtId="0" fontId="0" fillId="0" borderId="63" xfId="0" applyBorder="1" applyAlignment="1">
      <alignment horizontal="left" vertical="top"/>
    </xf>
    <xf numFmtId="0" fontId="40" fillId="2" borderId="0" xfId="0" applyFont="1" applyFill="1" applyBorder="1" applyAlignment="1">
      <alignment horizontal="left" vertical="top"/>
    </xf>
    <xf numFmtId="0" fontId="43" fillId="2" borderId="0" xfId="0" applyFont="1" applyFill="1" applyBorder="1" applyAlignment="1">
      <alignment horizontal="center" vertical="top"/>
    </xf>
    <xf numFmtId="0" fontId="43" fillId="35" borderId="63" xfId="0" applyFont="1" applyFill="1" applyBorder="1" applyAlignment="1">
      <alignment horizontal="left" vertical="top"/>
    </xf>
    <xf numFmtId="0" fontId="41" fillId="0" borderId="76" xfId="0" applyFont="1" applyBorder="1" applyAlignment="1">
      <alignment horizontal="left" vertical="top"/>
    </xf>
    <xf numFmtId="0" fontId="72" fillId="2" borderId="63" xfId="0" applyFont="1" applyFill="1" applyBorder="1" applyAlignment="1">
      <alignment horizontal="left" vertical="top"/>
    </xf>
    <xf numFmtId="0" fontId="0" fillId="37" borderId="63" xfId="0" applyFill="1" applyBorder="1" applyAlignment="1">
      <alignment horizontal="left" vertical="top"/>
    </xf>
    <xf numFmtId="0" fontId="0" fillId="0" borderId="64" xfId="0" applyFill="1" applyBorder="1" applyAlignment="1">
      <alignment horizontal="left" vertical="top"/>
    </xf>
    <xf numFmtId="0" fontId="0" fillId="0" borderId="86" xfId="0" applyFill="1" applyBorder="1" applyAlignment="1">
      <alignment vertical="top"/>
    </xf>
    <xf numFmtId="0" fontId="0" fillId="0" borderId="84" xfId="0" applyFill="1" applyBorder="1" applyAlignment="1">
      <alignment vertical="top"/>
    </xf>
    <xf numFmtId="20" fontId="84" fillId="0" borderId="64" xfId="0" applyNumberFormat="1" applyFont="1" applyFill="1" applyBorder="1" applyAlignment="1">
      <alignment vertical="top"/>
    </xf>
    <xf numFmtId="0" fontId="41" fillId="34" borderId="94" xfId="0" applyFont="1" applyFill="1" applyBorder="1" applyAlignment="1">
      <alignment vertical="top"/>
    </xf>
    <xf numFmtId="0" fontId="41" fillId="34" borderId="43" xfId="0" applyFont="1" applyFill="1" applyBorder="1" applyAlignment="1">
      <alignment vertical="top"/>
    </xf>
    <xf numFmtId="0" fontId="41" fillId="0" borderId="64" xfId="0" applyFont="1" applyFill="1" applyBorder="1" applyAlignment="1">
      <alignment horizontal="left" vertical="top"/>
    </xf>
    <xf numFmtId="0" fontId="41" fillId="0" borderId="86" xfId="0" applyFont="1" applyFill="1" applyBorder="1" applyAlignment="1">
      <alignment vertical="top"/>
    </xf>
    <xf numFmtId="0" fontId="0" fillId="0" borderId="86" xfId="0" applyBorder="1" applyAlignment="1">
      <alignment horizontal="left" vertical="top"/>
    </xf>
    <xf numFmtId="0" fontId="41" fillId="34" borderId="94" xfId="0" applyFont="1" applyFill="1" applyBorder="1" applyAlignment="1">
      <alignment horizontal="left" vertical="top"/>
    </xf>
    <xf numFmtId="0" fontId="41" fillId="0" borderId="64" xfId="0" applyFont="1" applyBorder="1" applyAlignment="1">
      <alignment horizontal="left" vertical="top"/>
    </xf>
    <xf numFmtId="0" fontId="41" fillId="0" borderId="86" xfId="0" applyFont="1" applyBorder="1" applyAlignment="1">
      <alignment vertical="top"/>
    </xf>
    <xf numFmtId="0" fontId="0" fillId="2" borderId="87" xfId="0" applyFill="1" applyBorder="1" applyAlignment="1">
      <alignment horizontal="left" vertical="top"/>
    </xf>
    <xf numFmtId="0" fontId="0" fillId="2" borderId="0" xfId="0" applyFill="1" applyBorder="1" applyAlignment="1">
      <alignment horizontal="left" vertical="top"/>
    </xf>
    <xf numFmtId="0" fontId="41" fillId="0" borderId="63" xfId="0" applyFont="1" applyFill="1" applyBorder="1" applyAlignment="1">
      <alignment horizontal="left" vertical="top"/>
    </xf>
    <xf numFmtId="0" fontId="41" fillId="0" borderId="63" xfId="0" applyFont="1" applyBorder="1" applyAlignment="1">
      <alignment horizontal="left" vertical="top"/>
    </xf>
    <xf numFmtId="0" fontId="0" fillId="0" borderId="86" xfId="0" applyFill="1" applyBorder="1" applyAlignment="1">
      <alignment horizontal="left" vertical="top"/>
    </xf>
    <xf numFmtId="0" fontId="41" fillId="0" borderId="86" xfId="0" applyFont="1" applyFill="1" applyBorder="1" applyAlignment="1">
      <alignment horizontal="left" vertical="top"/>
    </xf>
    <xf numFmtId="0" fontId="41" fillId="0" borderId="86" xfId="0" applyFont="1" applyBorder="1" applyAlignment="1">
      <alignment horizontal="left" vertical="top"/>
    </xf>
    <xf numFmtId="0" fontId="0" fillId="37" borderId="86" xfId="0" applyFill="1" applyBorder="1" applyAlignment="1">
      <alignment horizontal="left" vertical="top"/>
    </xf>
    <xf numFmtId="0" fontId="0" fillId="0" borderId="63" xfId="0" applyFill="1" applyBorder="1" applyAlignment="1">
      <alignment horizontal="left" vertical="top"/>
    </xf>
    <xf numFmtId="0" fontId="43" fillId="2" borderId="0" xfId="0" applyFont="1" applyFill="1" applyBorder="1" applyAlignment="1">
      <alignment horizontal="left" vertical="top"/>
    </xf>
    <xf numFmtId="0" fontId="40" fillId="2" borderId="81" xfId="0" applyFont="1" applyFill="1" applyBorder="1" applyAlignment="1">
      <alignment horizontal="center" vertical="top"/>
    </xf>
    <xf numFmtId="0" fontId="38" fillId="8" borderId="76" xfId="83" applyFont="1" applyFill="1" applyBorder="1" applyAlignment="1" applyProtection="1">
      <alignment horizontal="left" vertical="top" wrapText="1"/>
    </xf>
    <xf numFmtId="0" fontId="0" fillId="0" borderId="64" xfId="0" applyBorder="1"/>
    <xf numFmtId="0" fontId="42" fillId="8" borderId="63" xfId="83" applyFont="1" applyFill="1" applyBorder="1" applyAlignment="1" applyProtection="1">
      <alignment horizontal="left" vertical="top" wrapText="1"/>
    </xf>
    <xf numFmtId="0" fontId="40" fillId="2" borderId="88" xfId="0" applyFont="1" applyFill="1" applyBorder="1" applyAlignment="1">
      <alignment horizontal="left" vertical="top"/>
    </xf>
    <xf numFmtId="0" fontId="42" fillId="8" borderId="86" xfId="83" applyFont="1" applyFill="1" applyBorder="1" applyAlignment="1" applyProtection="1">
      <alignment horizontal="center" vertical="top" wrapText="1"/>
    </xf>
    <xf numFmtId="1" fontId="38" fillId="8" borderId="86" xfId="0" applyNumberFormat="1" applyFont="1" applyFill="1" applyBorder="1" applyAlignment="1">
      <alignment horizontal="center" vertical="top"/>
    </xf>
    <xf numFmtId="0" fontId="0" fillId="0" borderId="64" xfId="0" applyBorder="1" applyAlignment="1">
      <alignment horizontal="left" vertical="top"/>
    </xf>
    <xf numFmtId="0" fontId="43" fillId="35" borderId="64" xfId="0" applyFont="1" applyFill="1" applyBorder="1" applyAlignment="1">
      <alignment horizontal="left" vertical="top"/>
    </xf>
    <xf numFmtId="0" fontId="41" fillId="8" borderId="63" xfId="83" applyFont="1" applyFill="1" applyBorder="1" applyAlignment="1" applyProtection="1">
      <alignment horizontal="left" vertical="top" wrapText="1"/>
    </xf>
    <xf numFmtId="0" fontId="2" fillId="3" borderId="42" xfId="0" applyNumberFormat="1" applyFont="1" applyFill="1" applyBorder="1" applyAlignment="1" applyProtection="1">
      <alignment horizontal="center" vertical="center"/>
    </xf>
    <xf numFmtId="0" fontId="0" fillId="0" borderId="0" xfId="0" applyAlignment="1">
      <alignment vertical="top"/>
    </xf>
    <xf numFmtId="20" fontId="0" fillId="8" borderId="86" xfId="0" applyNumberFormat="1" applyFont="1" applyFill="1" applyBorder="1" applyAlignment="1">
      <alignment vertical="top"/>
    </xf>
    <xf numFmtId="186" fontId="0" fillId="0" borderId="64" xfId="83" applyNumberFormat="1" applyFont="1" applyFill="1" applyBorder="1" applyAlignment="1" applyProtection="1">
      <alignment vertical="center"/>
    </xf>
    <xf numFmtId="20" fontId="0" fillId="0" borderId="86" xfId="0" applyNumberFormat="1" applyFont="1" applyBorder="1" applyAlignment="1">
      <alignment vertical="top"/>
    </xf>
    <xf numFmtId="0" fontId="0" fillId="38" borderId="64" xfId="0" applyFill="1" applyBorder="1" applyAlignment="1">
      <alignment horizontal="center" vertical="top"/>
    </xf>
    <xf numFmtId="20" fontId="0" fillId="8" borderId="86" xfId="0" applyNumberFormat="1" applyFill="1" applyBorder="1" applyAlignment="1">
      <alignment vertical="top"/>
    </xf>
    <xf numFmtId="20" fontId="0" fillId="0" borderId="64" xfId="0" applyNumberFormat="1" applyBorder="1" applyAlignment="1">
      <alignment vertical="top"/>
    </xf>
    <xf numFmtId="20" fontId="0" fillId="0" borderId="86" xfId="0" applyNumberFormat="1" applyBorder="1" applyAlignment="1">
      <alignment vertical="top"/>
    </xf>
    <xf numFmtId="20" fontId="84" fillId="0" borderId="86" xfId="0" applyNumberFormat="1" applyFont="1" applyFill="1" applyBorder="1" applyAlignment="1">
      <alignment vertical="top"/>
    </xf>
    <xf numFmtId="0" fontId="84" fillId="2" borderId="0" xfId="0" applyFont="1" applyFill="1" applyBorder="1" applyAlignment="1">
      <alignment horizontal="left" vertical="top"/>
    </xf>
    <xf numFmtId="20" fontId="0" fillId="0" borderId="96" xfId="0" applyNumberFormat="1" applyFont="1" applyBorder="1" applyAlignment="1">
      <alignment vertical="top"/>
    </xf>
    <xf numFmtId="20" fontId="0" fillId="0" borderId="74" xfId="0" applyNumberFormat="1" applyFont="1" applyBorder="1" applyAlignment="1">
      <alignment vertical="top"/>
    </xf>
    <xf numFmtId="0" fontId="43" fillId="35" borderId="87" xfId="0" applyFont="1" applyFill="1" applyBorder="1" applyAlignment="1">
      <alignment horizontal="left" vertical="top"/>
    </xf>
    <xf numFmtId="0" fontId="44" fillId="35" borderId="67" xfId="0" applyFont="1" applyFill="1" applyBorder="1" applyAlignment="1">
      <alignment horizontal="center" vertical="top"/>
    </xf>
    <xf numFmtId="0" fontId="44" fillId="35" borderId="64" xfId="0" applyFont="1" applyFill="1" applyBorder="1" applyAlignment="1">
      <alignment horizontal="center" vertical="top"/>
    </xf>
    <xf numFmtId="20" fontId="44" fillId="35" borderId="84" xfId="0" applyNumberFormat="1" applyFont="1" applyFill="1" applyBorder="1" applyAlignment="1">
      <alignment vertical="top"/>
    </xf>
    <xf numFmtId="20" fontId="44" fillId="35" borderId="67" xfId="0" applyNumberFormat="1" applyFont="1" applyFill="1" applyBorder="1" applyAlignment="1">
      <alignment vertical="top"/>
    </xf>
    <xf numFmtId="0" fontId="44" fillId="35" borderId="87" xfId="0" applyFont="1" applyFill="1" applyBorder="1" applyAlignment="1">
      <alignment horizontal="left" vertical="top"/>
    </xf>
    <xf numFmtId="0" fontId="43" fillId="35" borderId="89" xfId="0" applyFont="1" applyFill="1" applyBorder="1" applyAlignment="1">
      <alignment horizontal="left" vertical="center"/>
    </xf>
    <xf numFmtId="0" fontId="44" fillId="35" borderId="74" xfId="0" applyFont="1" applyFill="1" applyBorder="1" applyAlignment="1">
      <alignment horizontal="center" vertical="center"/>
    </xf>
    <xf numFmtId="0" fontId="44" fillId="35" borderId="64" xfId="0" applyFont="1" applyFill="1" applyBorder="1" applyAlignment="1">
      <alignment horizontal="center" vertical="center"/>
    </xf>
    <xf numFmtId="20" fontId="44" fillId="35" borderId="96" xfId="0" applyNumberFormat="1" applyFont="1" applyFill="1" applyBorder="1" applyAlignment="1">
      <alignment vertical="center"/>
    </xf>
    <xf numFmtId="20" fontId="44" fillId="35" borderId="74" xfId="0" applyNumberFormat="1" applyFont="1" applyFill="1" applyBorder="1" applyAlignment="1">
      <alignment vertical="center"/>
    </xf>
    <xf numFmtId="0" fontId="44" fillId="35" borderId="89" xfId="0" applyFont="1" applyFill="1" applyBorder="1" applyAlignment="1">
      <alignment horizontal="left" vertical="center"/>
    </xf>
    <xf numFmtId="0" fontId="0" fillId="0" borderId="0" xfId="0" applyAlignment="1">
      <alignment vertical="center"/>
    </xf>
    <xf numFmtId="0" fontId="41" fillId="34" borderId="98" xfId="0" applyFont="1" applyFill="1" applyBorder="1" applyAlignment="1">
      <alignment vertical="top"/>
    </xf>
    <xf numFmtId="0" fontId="0" fillId="38" borderId="18" xfId="0" applyFill="1" applyBorder="1" applyAlignment="1">
      <alignment horizontal="center" vertical="top"/>
    </xf>
    <xf numFmtId="20" fontId="0" fillId="0" borderId="85" xfId="0" applyNumberFormat="1" applyBorder="1" applyAlignment="1">
      <alignment vertical="top"/>
    </xf>
    <xf numFmtId="20" fontId="0" fillId="0" borderId="18" xfId="0" applyNumberFormat="1" applyBorder="1" applyAlignment="1">
      <alignment vertical="top"/>
    </xf>
    <xf numFmtId="0" fontId="41" fillId="34" borderId="98" xfId="0" applyFont="1" applyFill="1" applyBorder="1" applyAlignment="1">
      <alignment horizontal="left" vertical="top"/>
    </xf>
    <xf numFmtId="0" fontId="41" fillId="34" borderId="97" xfId="0" applyFont="1" applyFill="1" applyBorder="1" applyAlignment="1">
      <alignment horizontal="left" vertical="top"/>
    </xf>
    <xf numFmtId="0" fontId="43" fillId="35" borderId="86" xfId="0" applyFont="1" applyFill="1" applyBorder="1" applyAlignment="1">
      <alignment horizontal="left" vertical="top"/>
    </xf>
    <xf numFmtId="0" fontId="44" fillId="7" borderId="64" xfId="0" applyFont="1" applyFill="1" applyBorder="1" applyAlignment="1">
      <alignment horizontal="center" vertical="top"/>
    </xf>
    <xf numFmtId="20" fontId="44" fillId="7" borderId="86" xfId="0" applyNumberFormat="1" applyFont="1" applyFill="1" applyBorder="1" applyAlignment="1">
      <alignment vertical="top"/>
    </xf>
    <xf numFmtId="0" fontId="44" fillId="35" borderId="76" xfId="0" applyFont="1" applyFill="1" applyBorder="1" applyAlignment="1">
      <alignment horizontal="left" vertical="top"/>
    </xf>
    <xf numFmtId="0" fontId="0" fillId="38" borderId="73" xfId="0" applyFill="1" applyBorder="1" applyAlignment="1">
      <alignment horizontal="center" vertical="top"/>
    </xf>
    <xf numFmtId="0" fontId="40" fillId="2" borderId="99" xfId="0" applyFont="1" applyFill="1" applyBorder="1" applyAlignment="1">
      <alignment horizontal="left" vertical="top"/>
    </xf>
    <xf numFmtId="0" fontId="43" fillId="2" borderId="99" xfId="0" applyFont="1" applyFill="1" applyBorder="1" applyAlignment="1">
      <alignment horizontal="center" vertical="top"/>
    </xf>
    <xf numFmtId="0" fontId="0" fillId="0" borderId="86" xfId="0" applyBorder="1" applyAlignment="1">
      <alignment vertical="top"/>
    </xf>
    <xf numFmtId="20" fontId="44" fillId="35" borderId="86" xfId="0" applyNumberFormat="1" applyFont="1" applyFill="1" applyBorder="1" applyAlignment="1">
      <alignment vertical="top"/>
    </xf>
    <xf numFmtId="20" fontId="44" fillId="35" borderId="64" xfId="0" applyNumberFormat="1" applyFont="1" applyFill="1" applyBorder="1" applyAlignment="1">
      <alignment vertical="top"/>
    </xf>
    <xf numFmtId="0" fontId="44" fillId="35" borderId="63" xfId="0" applyFont="1" applyFill="1" applyBorder="1" applyAlignment="1">
      <alignment horizontal="left" vertical="top"/>
    </xf>
    <xf numFmtId="0" fontId="72" fillId="2" borderId="99" xfId="0" applyFont="1" applyFill="1" applyBorder="1" applyAlignment="1">
      <alignment horizontal="left" vertical="top"/>
    </xf>
    <xf numFmtId="0" fontId="0" fillId="2" borderId="99" xfId="0" applyFill="1" applyBorder="1" applyAlignment="1">
      <alignment horizontal="left" vertical="top"/>
    </xf>
    <xf numFmtId="0" fontId="72" fillId="2" borderId="11" xfId="0" applyFont="1" applyFill="1" applyBorder="1" applyAlignment="1">
      <alignment horizontal="left" vertical="top"/>
    </xf>
    <xf numFmtId="0" fontId="84" fillId="2" borderId="11" xfId="0" applyFont="1" applyFill="1" applyBorder="1" applyAlignment="1">
      <alignment horizontal="left" vertical="top"/>
    </xf>
    <xf numFmtId="0" fontId="0" fillId="2" borderId="63" xfId="0" applyFill="1" applyBorder="1" applyAlignment="1">
      <alignment horizontal="left" vertical="top"/>
    </xf>
    <xf numFmtId="0" fontId="0" fillId="2" borderId="63" xfId="0" applyFill="1" applyBorder="1" applyAlignment="1">
      <alignment vertical="top"/>
    </xf>
    <xf numFmtId="0" fontId="40" fillId="2" borderId="95" xfId="0" applyFont="1" applyFill="1" applyBorder="1" applyAlignment="1">
      <alignment vertical="top"/>
    </xf>
    <xf numFmtId="20" fontId="72" fillId="2" borderId="95" xfId="0" applyNumberFormat="1" applyFont="1" applyFill="1" applyBorder="1" applyAlignment="1">
      <alignment vertical="top"/>
    </xf>
    <xf numFmtId="20" fontId="72" fillId="2" borderId="75" xfId="0" applyNumberFormat="1" applyFont="1" applyFill="1" applyBorder="1" applyAlignment="1">
      <alignment vertical="top"/>
    </xf>
    <xf numFmtId="0" fontId="40" fillId="2" borderId="90" xfId="0" applyFont="1" applyFill="1" applyBorder="1" applyAlignment="1">
      <alignment horizontal="left" vertical="top"/>
    </xf>
    <xf numFmtId="0" fontId="40" fillId="2" borderId="73" xfId="0" applyFont="1" applyFill="1" applyBorder="1" applyAlignment="1">
      <alignment horizontal="left" vertical="top"/>
    </xf>
    <xf numFmtId="0" fontId="40" fillId="2" borderId="90" xfId="0" applyFont="1" applyFill="1" applyBorder="1" applyAlignment="1">
      <alignment vertical="top"/>
    </xf>
    <xf numFmtId="0" fontId="40" fillId="2" borderId="99" xfId="0" applyFont="1" applyFill="1" applyBorder="1" applyAlignment="1">
      <alignment horizontal="center" vertical="top"/>
    </xf>
    <xf numFmtId="0" fontId="0" fillId="0" borderId="100" xfId="0" applyFill="1" applyBorder="1" applyAlignment="1">
      <alignment vertical="top"/>
    </xf>
    <xf numFmtId="0" fontId="0" fillId="0" borderId="64" xfId="0" applyBorder="1" applyAlignment="1">
      <alignment vertical="top"/>
    </xf>
    <xf numFmtId="0" fontId="0" fillId="38" borderId="67" xfId="0" applyFill="1" applyBorder="1" applyAlignment="1">
      <alignment horizontal="center" vertical="top"/>
    </xf>
    <xf numFmtId="0" fontId="43" fillId="2" borderId="99" xfId="0" applyFont="1" applyFill="1" applyBorder="1" applyAlignment="1">
      <alignment horizontal="left" vertical="top"/>
    </xf>
    <xf numFmtId="0" fontId="0" fillId="0" borderId="86" xfId="0" applyBorder="1" applyAlignment="1">
      <alignment horizontal="left" vertical="top" indent="2"/>
    </xf>
    <xf numFmtId="0" fontId="41" fillId="0" borderId="86" xfId="0" applyFont="1" applyFill="1" applyBorder="1" applyAlignment="1">
      <alignment horizontal="center" vertical="top"/>
    </xf>
    <xf numFmtId="0" fontId="0" fillId="0" borderId="67" xfId="0" applyBorder="1" applyAlignment="1">
      <alignment horizontal="left" vertical="top"/>
    </xf>
    <xf numFmtId="0" fontId="0" fillId="0" borderId="100" xfId="0" applyBorder="1" applyAlignment="1">
      <alignment horizontal="left" vertical="top"/>
    </xf>
    <xf numFmtId="0" fontId="0" fillId="0" borderId="64" xfId="0" applyFont="1" applyFill="1" applyBorder="1" applyAlignment="1">
      <alignment vertical="top"/>
    </xf>
    <xf numFmtId="0" fontId="0" fillId="0" borderId="76" xfId="0" applyBorder="1" applyAlignment="1">
      <alignment horizontal="left" vertical="top"/>
    </xf>
    <xf numFmtId="0" fontId="43" fillId="35" borderId="99" xfId="0" applyFont="1" applyFill="1" applyBorder="1" applyAlignment="1">
      <alignment horizontal="left" vertical="top"/>
    </xf>
    <xf numFmtId="0" fontId="40" fillId="2" borderId="77" xfId="0" applyFont="1" applyFill="1" applyBorder="1" applyAlignment="1">
      <alignment horizontal="left" vertical="top"/>
    </xf>
    <xf numFmtId="0" fontId="0" fillId="0" borderId="76" xfId="0" applyFill="1" applyBorder="1" applyAlignment="1">
      <alignment horizontal="left" vertical="top"/>
    </xf>
    <xf numFmtId="0" fontId="0" fillId="0" borderId="64" xfId="0" applyBorder="1" applyAlignment="1">
      <alignment horizontal="center" vertical="top"/>
    </xf>
    <xf numFmtId="0" fontId="0" fillId="0" borderId="64" xfId="0" applyBorder="1" applyAlignment="1">
      <alignment vertical="center"/>
    </xf>
    <xf numFmtId="0" fontId="38" fillId="0" borderId="0" xfId="1" applyFont="1" applyFill="1" applyBorder="1" applyAlignment="1" applyProtection="1">
      <alignment horizontal="left" vertical="top"/>
    </xf>
    <xf numFmtId="49" fontId="42" fillId="4" borderId="64" xfId="83" applyNumberFormat="1" applyFont="1" applyFill="1" applyBorder="1" applyAlignment="1" applyProtection="1">
      <alignment horizontal="left" vertical="top" wrapText="1"/>
    </xf>
    <xf numFmtId="0" fontId="38" fillId="4" borderId="64" xfId="0" applyFont="1" applyFill="1" applyBorder="1" applyAlignment="1">
      <alignment horizontal="left" vertical="center"/>
    </xf>
    <xf numFmtId="0" fontId="38" fillId="4" borderId="64" xfId="0" applyFont="1" applyFill="1" applyBorder="1" applyAlignment="1">
      <alignment horizontal="left" vertical="top"/>
    </xf>
    <xf numFmtId="49" fontId="38" fillId="4" borderId="64" xfId="0" applyNumberFormat="1" applyFont="1" applyFill="1" applyBorder="1" applyAlignment="1">
      <alignment horizontal="left" vertical="top"/>
    </xf>
    <xf numFmtId="0" fontId="38" fillId="4" borderId="64" xfId="0" applyFont="1" applyFill="1" applyBorder="1" applyAlignment="1">
      <alignment horizontal="left" vertical="top" wrapText="1"/>
    </xf>
    <xf numFmtId="0" fontId="38" fillId="4" borderId="64" xfId="0" applyFont="1" applyFill="1" applyBorder="1" applyAlignment="1">
      <alignment horizontal="left"/>
    </xf>
    <xf numFmtId="0" fontId="38" fillId="0" borderId="0" xfId="0" applyFont="1" applyAlignment="1">
      <alignment horizontal="left"/>
    </xf>
    <xf numFmtId="0" fontId="40" fillId="2" borderId="93" xfId="0" applyFont="1" applyFill="1" applyBorder="1" applyAlignment="1">
      <alignment vertical="top"/>
    </xf>
    <xf numFmtId="0" fontId="38" fillId="8" borderId="64" xfId="0" applyFont="1" applyFill="1" applyBorder="1" applyAlignment="1">
      <alignment horizontal="left"/>
    </xf>
    <xf numFmtId="0" fontId="0" fillId="40" borderId="76" xfId="0" applyFill="1" applyBorder="1" applyAlignment="1">
      <alignment horizontal="left" vertical="center"/>
    </xf>
    <xf numFmtId="0" fontId="0" fillId="40" borderId="93" xfId="0" applyFill="1" applyBorder="1" applyAlignment="1">
      <alignment horizontal="center" vertical="top"/>
    </xf>
    <xf numFmtId="20" fontId="0" fillId="40" borderId="93" xfId="0" applyNumberFormat="1" applyFill="1" applyBorder="1" applyAlignment="1">
      <alignment vertical="top"/>
    </xf>
    <xf numFmtId="20" fontId="0" fillId="40" borderId="73" xfId="0" applyNumberFormat="1" applyFill="1" applyBorder="1" applyAlignment="1">
      <alignment vertical="top"/>
    </xf>
    <xf numFmtId="0" fontId="0" fillId="40" borderId="77" xfId="0" applyFill="1" applyBorder="1" applyAlignment="1">
      <alignment horizontal="left" vertical="top"/>
    </xf>
    <xf numFmtId="0" fontId="0" fillId="40" borderId="73" xfId="0" applyFill="1" applyBorder="1" applyAlignment="1">
      <alignment horizontal="left" vertical="top"/>
    </xf>
    <xf numFmtId="0" fontId="0" fillId="40" borderId="99" xfId="0" applyFill="1" applyBorder="1" applyAlignment="1">
      <alignment vertical="top"/>
    </xf>
    <xf numFmtId="0" fontId="0" fillId="40" borderId="99" xfId="0" applyFill="1" applyBorder="1" applyAlignment="1">
      <alignment horizontal="left" vertical="top"/>
    </xf>
    <xf numFmtId="0" fontId="0" fillId="40" borderId="11" xfId="0" applyFill="1" applyBorder="1" applyAlignment="1">
      <alignment vertical="top"/>
    </xf>
    <xf numFmtId="0" fontId="0" fillId="40" borderId="11" xfId="0" applyFill="1" applyBorder="1" applyAlignment="1">
      <alignment horizontal="left" vertical="top"/>
    </xf>
    <xf numFmtId="0" fontId="0" fillId="40" borderId="66" xfId="0" applyFill="1" applyBorder="1" applyAlignment="1">
      <alignment horizontal="left" vertical="top"/>
    </xf>
    <xf numFmtId="0" fontId="0" fillId="40" borderId="63" xfId="0" applyFill="1" applyBorder="1" applyAlignment="1">
      <alignment vertical="top"/>
    </xf>
    <xf numFmtId="0" fontId="0" fillId="40" borderId="63" xfId="0" applyFill="1" applyBorder="1" applyAlignment="1">
      <alignment horizontal="left" vertical="top"/>
    </xf>
    <xf numFmtId="0" fontId="0" fillId="40" borderId="100" xfId="0" applyFill="1" applyBorder="1" applyAlignment="1">
      <alignment horizontal="center" vertical="top"/>
    </xf>
    <xf numFmtId="20" fontId="0" fillId="40" borderId="100" xfId="0" applyNumberFormat="1" applyFill="1" applyBorder="1" applyAlignment="1">
      <alignment vertical="top"/>
    </xf>
    <xf numFmtId="20" fontId="0" fillId="40" borderId="67" xfId="0" applyNumberFormat="1" applyFill="1" applyBorder="1" applyAlignment="1">
      <alignment vertical="top"/>
    </xf>
    <xf numFmtId="0" fontId="0" fillId="40" borderId="67" xfId="0" applyFill="1" applyBorder="1" applyAlignment="1">
      <alignment horizontal="left" vertical="top"/>
    </xf>
    <xf numFmtId="0" fontId="0" fillId="40" borderId="66" xfId="0" applyFill="1" applyBorder="1" applyAlignment="1">
      <alignment horizontal="center" vertical="top"/>
    </xf>
    <xf numFmtId="0" fontId="0" fillId="41" borderId="66" xfId="0" applyFill="1" applyBorder="1" applyAlignment="1">
      <alignment horizontal="left" vertical="top"/>
    </xf>
    <xf numFmtId="0" fontId="0" fillId="41" borderId="76" xfId="0" applyFill="1" applyBorder="1" applyAlignment="1">
      <alignment horizontal="left" vertical="center"/>
    </xf>
    <xf numFmtId="0" fontId="0" fillId="41" borderId="76" xfId="0" applyFill="1" applyBorder="1" applyAlignment="1">
      <alignment horizontal="left" vertical="top"/>
    </xf>
    <xf numFmtId="0" fontId="0" fillId="41" borderId="99" xfId="0" applyFill="1" applyBorder="1" applyAlignment="1">
      <alignment vertical="top"/>
    </xf>
    <xf numFmtId="0" fontId="0" fillId="41" borderId="99" xfId="0" applyFill="1" applyBorder="1" applyAlignment="1">
      <alignment horizontal="left" vertical="top"/>
    </xf>
    <xf numFmtId="0" fontId="0" fillId="41" borderId="99" xfId="0" applyFill="1" applyBorder="1" applyAlignment="1">
      <alignment horizontal="center" vertical="top"/>
    </xf>
    <xf numFmtId="0" fontId="0" fillId="41" borderId="11" xfId="0" applyFill="1" applyBorder="1" applyAlignment="1">
      <alignment vertical="top"/>
    </xf>
    <xf numFmtId="0" fontId="0" fillId="41" borderId="11" xfId="0" applyFill="1" applyBorder="1" applyAlignment="1">
      <alignment horizontal="left" vertical="top"/>
    </xf>
    <xf numFmtId="0" fontId="0" fillId="41" borderId="11" xfId="0" applyFill="1" applyBorder="1" applyAlignment="1">
      <alignment horizontal="center" vertical="top"/>
    </xf>
    <xf numFmtId="0" fontId="0" fillId="41" borderId="63" xfId="0" applyFill="1" applyBorder="1" applyAlignment="1">
      <alignment vertical="top"/>
    </xf>
    <xf numFmtId="0" fontId="0" fillId="41" borderId="63" xfId="0" applyFill="1" applyBorder="1" applyAlignment="1">
      <alignment horizontal="left" vertical="top"/>
    </xf>
    <xf numFmtId="0" fontId="0" fillId="41" borderId="63" xfId="0" applyFill="1" applyBorder="1" applyAlignment="1">
      <alignment horizontal="center" vertical="top"/>
    </xf>
    <xf numFmtId="0" fontId="0" fillId="41" borderId="86" xfId="0" applyFill="1" applyBorder="1" applyAlignment="1">
      <alignment vertical="top"/>
    </xf>
    <xf numFmtId="0" fontId="0" fillId="41" borderId="64" xfId="0" applyFill="1" applyBorder="1" applyAlignment="1">
      <alignment horizontal="left" vertical="top"/>
    </xf>
    <xf numFmtId="0" fontId="0" fillId="0" borderId="64" xfId="0" applyFill="1" applyBorder="1" applyAlignment="1">
      <alignment horizontal="center" vertical="top"/>
    </xf>
    <xf numFmtId="0" fontId="0" fillId="0" borderId="67" xfId="0" applyBorder="1" applyAlignment="1">
      <alignment horizontal="center" vertical="top"/>
    </xf>
    <xf numFmtId="0" fontId="41" fillId="0" borderId="76" xfId="0" applyFont="1" applyBorder="1" applyAlignment="1">
      <alignment horizontal="left"/>
    </xf>
    <xf numFmtId="0" fontId="41" fillId="34" borderId="101" xfId="0" applyFont="1" applyFill="1" applyBorder="1" applyAlignment="1">
      <alignment horizontal="left" vertical="top"/>
    </xf>
    <xf numFmtId="0" fontId="19" fillId="0" borderId="64" xfId="1" applyBorder="1" applyAlignment="1">
      <alignment vertical="top"/>
    </xf>
    <xf numFmtId="0" fontId="87" fillId="0" borderId="0" xfId="1" applyFont="1" applyFill="1" applyBorder="1" applyAlignment="1" applyProtection="1">
      <alignment horizontal="left" vertical="top"/>
    </xf>
    <xf numFmtId="18" fontId="37" fillId="8" borderId="86" xfId="0" applyNumberFormat="1" applyFont="1" applyFill="1" applyBorder="1" applyAlignment="1">
      <alignment horizontal="center" vertical="top"/>
    </xf>
    <xf numFmtId="18" fontId="37" fillId="0" borderId="64" xfId="0" applyNumberFormat="1" applyFont="1" applyBorder="1" applyAlignment="1">
      <alignment horizontal="center" vertical="top"/>
    </xf>
    <xf numFmtId="18" fontId="37" fillId="0" borderId="86" xfId="0" applyNumberFormat="1" applyFont="1" applyBorder="1" applyAlignment="1">
      <alignment horizontal="center" vertical="top"/>
    </xf>
    <xf numFmtId="18" fontId="88" fillId="0" borderId="86" xfId="0" applyNumberFormat="1" applyFont="1" applyFill="1" applyBorder="1" applyAlignment="1">
      <alignment horizontal="center" vertical="top"/>
    </xf>
    <xf numFmtId="18" fontId="88" fillId="0" borderId="64" xfId="0" applyNumberFormat="1" applyFont="1" applyFill="1" applyBorder="1" applyAlignment="1">
      <alignment horizontal="center" vertical="top"/>
    </xf>
    <xf numFmtId="18" fontId="37" fillId="0" borderId="96" xfId="0" applyNumberFormat="1" applyFont="1" applyBorder="1" applyAlignment="1">
      <alignment horizontal="center" vertical="top"/>
    </xf>
    <xf numFmtId="18" fontId="37" fillId="0" borderId="74" xfId="0" applyNumberFormat="1" applyFont="1" applyBorder="1" applyAlignment="1">
      <alignment horizontal="center" vertical="top"/>
    </xf>
    <xf numFmtId="18" fontId="69" fillId="35" borderId="84" xfId="0" applyNumberFormat="1" applyFont="1" applyFill="1" applyBorder="1" applyAlignment="1">
      <alignment horizontal="center" vertical="top"/>
    </xf>
    <xf numFmtId="18" fontId="69" fillId="35" borderId="67" xfId="0" applyNumberFormat="1" applyFont="1" applyFill="1" applyBorder="1" applyAlignment="1">
      <alignment horizontal="center" vertical="top"/>
    </xf>
    <xf numFmtId="18" fontId="37" fillId="0" borderId="85" xfId="0" applyNumberFormat="1" applyFont="1" applyBorder="1" applyAlignment="1">
      <alignment horizontal="center" vertical="top"/>
    </xf>
    <xf numFmtId="18" fontId="37" fillId="0" borderId="18" xfId="0" applyNumberFormat="1" applyFont="1" applyBorder="1" applyAlignment="1">
      <alignment horizontal="center" vertical="top"/>
    </xf>
    <xf numFmtId="18" fontId="69" fillId="7" borderId="86" xfId="0" applyNumberFormat="1" applyFont="1" applyFill="1" applyBorder="1" applyAlignment="1">
      <alignment horizontal="center" vertical="top"/>
    </xf>
    <xf numFmtId="18" fontId="69" fillId="7" borderId="64" xfId="0" applyNumberFormat="1" applyFont="1" applyFill="1" applyBorder="1" applyAlignment="1">
      <alignment horizontal="center" vertical="top"/>
    </xf>
    <xf numFmtId="18" fontId="69" fillId="35" borderId="86" xfId="0" applyNumberFormat="1" applyFont="1" applyFill="1" applyBorder="1" applyAlignment="1">
      <alignment horizontal="center" vertical="top"/>
    </xf>
    <xf numFmtId="18" fontId="69" fillId="35" borderId="64" xfId="0" applyNumberFormat="1" applyFont="1" applyFill="1" applyBorder="1" applyAlignment="1">
      <alignment horizontal="center" vertical="top"/>
    </xf>
    <xf numFmtId="0" fontId="0" fillId="41" borderId="86" xfId="0" applyFill="1" applyBorder="1" applyAlignment="1">
      <alignment horizontal="left" vertical="top"/>
    </xf>
    <xf numFmtId="0" fontId="91" fillId="0" borderId="0" xfId="0" applyFont="1" applyAlignment="1" applyProtection="1">
      <alignment horizontal="center" vertical="top"/>
    </xf>
    <xf numFmtId="0" fontId="75" fillId="0" borderId="64" xfId="0" applyNumberFormat="1" applyFont="1" applyFill="1" applyBorder="1" applyAlignment="1" applyProtection="1">
      <alignment horizontal="center" vertical="top"/>
    </xf>
    <xf numFmtId="0" fontId="0" fillId="0" borderId="99" xfId="0" applyBorder="1" applyAlignment="1">
      <alignment horizontal="left" vertical="top"/>
    </xf>
    <xf numFmtId="2" fontId="0" fillId="0" borderId="0" xfId="0" applyNumberFormat="1" applyFill="1" applyBorder="1" applyAlignment="1">
      <alignment horizontal="center" vertical="top"/>
    </xf>
    <xf numFmtId="2" fontId="0" fillId="0" borderId="0" xfId="0" applyNumberFormat="1" applyBorder="1" applyAlignment="1">
      <alignment horizontal="center" vertical="top"/>
    </xf>
    <xf numFmtId="0" fontId="68" fillId="0" borderId="64" xfId="0" applyFont="1" applyFill="1" applyBorder="1" applyAlignment="1" applyProtection="1">
      <alignment horizontal="left" vertical="top"/>
      <protection locked="0"/>
    </xf>
    <xf numFmtId="0" fontId="38" fillId="0" borderId="0" xfId="0" applyFont="1" applyFill="1" applyAlignment="1" applyProtection="1">
      <alignment vertical="top"/>
    </xf>
    <xf numFmtId="0" fontId="43" fillId="0" borderId="0" xfId="0" applyFont="1" applyFill="1" applyBorder="1" applyAlignment="1">
      <alignment horizontal="center" vertical="top"/>
    </xf>
    <xf numFmtId="0" fontId="43" fillId="0" borderId="11" xfId="0" applyFont="1" applyFill="1" applyBorder="1" applyAlignment="1">
      <alignment horizontal="center" vertical="center"/>
    </xf>
    <xf numFmtId="0" fontId="43" fillId="0" borderId="63" xfId="0" applyFont="1" applyFill="1" applyBorder="1" applyAlignment="1">
      <alignment horizontal="center" vertical="top"/>
    </xf>
    <xf numFmtId="0" fontId="43" fillId="0" borderId="67" xfId="0" applyFont="1" applyFill="1" applyBorder="1" applyAlignment="1">
      <alignment horizontal="center" vertical="top"/>
    </xf>
    <xf numFmtId="0" fontId="0" fillId="0" borderId="0" xfId="0" applyFill="1" applyBorder="1" applyAlignment="1">
      <alignment horizontal="center" vertical="top"/>
    </xf>
    <xf numFmtId="0" fontId="41" fillId="0" borderId="0" xfId="0" applyFont="1" applyFill="1" applyBorder="1" applyAlignment="1">
      <alignment horizontal="center" vertical="top"/>
    </xf>
    <xf numFmtId="0" fontId="83" fillId="0" borderId="0" xfId="0" applyFont="1" applyFill="1" applyBorder="1" applyAlignment="1">
      <alignment horizontal="center" vertical="top"/>
    </xf>
    <xf numFmtId="0" fontId="83" fillId="0" borderId="11" xfId="0" applyFont="1" applyFill="1" applyBorder="1" applyAlignment="1">
      <alignment horizontal="center" vertical="top"/>
    </xf>
    <xf numFmtId="0" fontId="0" fillId="0" borderId="99" xfId="0" applyFill="1" applyBorder="1" applyAlignment="1">
      <alignment horizontal="center" vertical="top"/>
    </xf>
    <xf numFmtId="0" fontId="43" fillId="0" borderId="0" xfId="0" applyFont="1" applyFill="1" applyBorder="1" applyAlignment="1">
      <alignment horizontal="center" vertical="center"/>
    </xf>
    <xf numFmtId="0" fontId="43" fillId="0" borderId="99" xfId="0" applyFont="1" applyFill="1" applyBorder="1" applyAlignment="1">
      <alignment horizontal="center" vertical="top"/>
    </xf>
    <xf numFmtId="0" fontId="0" fillId="0" borderId="0" xfId="0" applyBorder="1" applyAlignment="1">
      <alignment horizontal="center" vertical="top"/>
    </xf>
    <xf numFmtId="0" fontId="0" fillId="0" borderId="18" xfId="0" applyBorder="1" applyAlignment="1">
      <alignment horizontal="center" vertical="top"/>
    </xf>
    <xf numFmtId="0" fontId="43" fillId="0" borderId="63" xfId="0" applyFont="1" applyFill="1" applyBorder="1" applyAlignment="1">
      <alignment horizontal="center" vertical="center"/>
    </xf>
    <xf numFmtId="0" fontId="41" fillId="0" borderId="99" xfId="0" applyFont="1" applyBorder="1" applyAlignment="1">
      <alignment horizontal="center" vertical="top"/>
    </xf>
    <xf numFmtId="0" fontId="41" fillId="10" borderId="86" xfId="0" applyFont="1" applyFill="1" applyBorder="1" applyAlignment="1">
      <alignment horizontal="left" vertical="top"/>
    </xf>
    <xf numFmtId="0" fontId="0" fillId="10" borderId="86" xfId="0" applyFill="1" applyBorder="1" applyAlignment="1">
      <alignment horizontal="left" vertical="top"/>
    </xf>
    <xf numFmtId="0" fontId="0" fillId="10" borderId="99" xfId="0" applyFill="1" applyBorder="1" applyAlignment="1">
      <alignment horizontal="left" vertical="top"/>
    </xf>
    <xf numFmtId="18" fontId="37" fillId="37" borderId="64" xfId="0" applyNumberFormat="1" applyFont="1" applyFill="1" applyBorder="1" applyAlignment="1">
      <alignment horizontal="center" vertical="top"/>
    </xf>
    <xf numFmtId="0" fontId="41" fillId="37" borderId="86" xfId="0" applyFont="1" applyFill="1" applyBorder="1" applyAlignment="1">
      <alignment horizontal="left" vertical="top"/>
    </xf>
    <xf numFmtId="0" fontId="0" fillId="37" borderId="100" xfId="0" applyFill="1" applyBorder="1" applyAlignment="1">
      <alignment horizontal="left" vertical="top"/>
    </xf>
    <xf numFmtId="0" fontId="0" fillId="37" borderId="99" xfId="0" applyFill="1" applyBorder="1" applyAlignment="1">
      <alignment horizontal="left" vertical="top"/>
    </xf>
    <xf numFmtId="0" fontId="41" fillId="0" borderId="11" xfId="0" applyFont="1" applyFill="1" applyBorder="1" applyAlignment="1">
      <alignment horizontal="center" vertical="top"/>
    </xf>
    <xf numFmtId="0" fontId="43" fillId="0" borderId="99" xfId="0" applyFont="1" applyFill="1" applyBorder="1" applyAlignment="1">
      <alignment horizontal="center" vertical="center"/>
    </xf>
    <xf numFmtId="0" fontId="40" fillId="0" borderId="0" xfId="0" applyFont="1" applyFill="1" applyBorder="1" applyAlignment="1">
      <alignment horizontal="center" vertical="top"/>
    </xf>
    <xf numFmtId="0" fontId="38" fillId="8" borderId="18" xfId="0" applyFont="1" applyFill="1" applyBorder="1" applyAlignment="1">
      <alignment horizontal="left"/>
    </xf>
    <xf numFmtId="0" fontId="41" fillId="0" borderId="85" xfId="0" applyFont="1" applyFill="1" applyBorder="1" applyAlignment="1">
      <alignment vertical="top"/>
    </xf>
    <xf numFmtId="0" fontId="41" fillId="10" borderId="85" xfId="0" applyFont="1" applyFill="1" applyBorder="1" applyAlignment="1">
      <alignment horizontal="left" vertical="top"/>
    </xf>
    <xf numFmtId="0" fontId="41" fillId="0" borderId="85" xfId="0" applyFont="1" applyFill="1" applyBorder="1" applyAlignment="1">
      <alignment horizontal="left" vertical="top"/>
    </xf>
    <xf numFmtId="18" fontId="37" fillId="8" borderId="85" xfId="0" applyNumberFormat="1" applyFont="1" applyFill="1" applyBorder="1" applyAlignment="1">
      <alignment horizontal="center" vertical="top"/>
    </xf>
    <xf numFmtId="0" fontId="41" fillId="0" borderId="11" xfId="0" applyFont="1" applyFill="1" applyBorder="1" applyAlignment="1">
      <alignment horizontal="left" vertical="top"/>
    </xf>
    <xf numFmtId="0" fontId="38" fillId="4" borderId="102" xfId="0" applyFont="1" applyFill="1" applyBorder="1" applyAlignment="1">
      <alignment horizontal="left" vertical="top"/>
    </xf>
    <xf numFmtId="0" fontId="0" fillId="36" borderId="103" xfId="0" applyFill="1" applyBorder="1" applyAlignment="1">
      <alignment horizontal="center" vertical="top"/>
    </xf>
    <xf numFmtId="0" fontId="0" fillId="36" borderId="103" xfId="0" applyFill="1" applyBorder="1" applyAlignment="1">
      <alignment horizontal="left" vertical="top"/>
    </xf>
    <xf numFmtId="18" fontId="37" fillId="36" borderId="103" xfId="0" applyNumberFormat="1" applyFont="1" applyFill="1" applyBorder="1" applyAlignment="1">
      <alignment horizontal="center" vertical="top"/>
    </xf>
    <xf numFmtId="18" fontId="37" fillId="36" borderId="102" xfId="0" applyNumberFormat="1" applyFont="1" applyFill="1" applyBorder="1" applyAlignment="1">
      <alignment horizontal="center" vertical="top"/>
    </xf>
    <xf numFmtId="0" fontId="0" fillId="36" borderId="36" xfId="0" applyFill="1" applyBorder="1" applyAlignment="1">
      <alignment horizontal="left" vertical="top"/>
    </xf>
    <xf numFmtId="0" fontId="70" fillId="0" borderId="102" xfId="0" applyFont="1" applyFill="1" applyBorder="1" applyAlignment="1" applyProtection="1">
      <alignment horizontal="center" vertical="top"/>
    </xf>
    <xf numFmtId="0" fontId="41" fillId="0" borderId="85" xfId="0" applyFont="1" applyBorder="1" applyAlignment="1">
      <alignment vertical="top"/>
    </xf>
    <xf numFmtId="0" fontId="41" fillId="0" borderId="85" xfId="0" applyFont="1" applyBorder="1" applyAlignment="1">
      <alignment horizontal="left" vertical="top"/>
    </xf>
    <xf numFmtId="0" fontId="41" fillId="0" borderId="11" xfId="0" applyFont="1" applyBorder="1" applyAlignment="1">
      <alignment horizontal="left" vertical="top"/>
    </xf>
    <xf numFmtId="0" fontId="0" fillId="40" borderId="44" xfId="0" applyFill="1" applyBorder="1" applyAlignment="1">
      <alignment vertical="top"/>
    </xf>
    <xf numFmtId="0" fontId="0" fillId="10" borderId="44" xfId="0" applyFill="1" applyBorder="1" applyAlignment="1">
      <alignment horizontal="left" vertical="top"/>
    </xf>
    <xf numFmtId="0" fontId="0" fillId="40" borderId="44" xfId="0" applyFill="1" applyBorder="1" applyAlignment="1">
      <alignment horizontal="left" vertical="top"/>
    </xf>
    <xf numFmtId="18" fontId="37" fillId="0" borderId="103" xfId="0" applyNumberFormat="1" applyFont="1" applyBorder="1" applyAlignment="1">
      <alignment horizontal="center" vertical="top"/>
    </xf>
    <xf numFmtId="18" fontId="37" fillId="0" borderId="102" xfId="0" applyNumberFormat="1" applyFont="1" applyBorder="1" applyAlignment="1">
      <alignment horizontal="center" vertical="top"/>
    </xf>
    <xf numFmtId="0" fontId="43" fillId="35" borderId="36" xfId="0" applyFont="1" applyFill="1" applyBorder="1" applyAlignment="1">
      <alignment horizontal="left" vertical="top"/>
    </xf>
    <xf numFmtId="18" fontId="69" fillId="35" borderId="103" xfId="0" applyNumberFormat="1" applyFont="1" applyFill="1" applyBorder="1" applyAlignment="1">
      <alignment horizontal="center" vertical="top"/>
    </xf>
    <xf numFmtId="18" fontId="69" fillId="35" borderId="102" xfId="0" applyNumberFormat="1" applyFont="1" applyFill="1" applyBorder="1" applyAlignment="1">
      <alignment horizontal="center" vertical="top"/>
    </xf>
    <xf numFmtId="0" fontId="0" fillId="0" borderId="85" xfId="0" applyFill="1" applyBorder="1" applyAlignment="1">
      <alignment vertical="top"/>
    </xf>
    <xf numFmtId="0" fontId="0" fillId="37" borderId="85" xfId="0" applyFill="1" applyBorder="1" applyAlignment="1">
      <alignment horizontal="left" vertical="top"/>
    </xf>
    <xf numFmtId="0" fontId="0" fillId="0" borderId="85" xfId="0" applyFill="1" applyBorder="1" applyAlignment="1">
      <alignment horizontal="left" vertical="top"/>
    </xf>
    <xf numFmtId="0" fontId="0" fillId="0" borderId="11" xfId="0" applyFill="1" applyBorder="1" applyAlignment="1">
      <alignment horizontal="left" vertical="top"/>
    </xf>
    <xf numFmtId="0" fontId="40" fillId="2" borderId="103" xfId="0" applyFont="1" applyFill="1" applyBorder="1" applyAlignment="1">
      <alignment vertical="top"/>
    </xf>
    <xf numFmtId="0" fontId="40" fillId="2" borderId="103" xfId="0" applyFont="1" applyFill="1" applyBorder="1" applyAlignment="1">
      <alignment horizontal="left" vertical="top"/>
    </xf>
    <xf numFmtId="18" fontId="73" fillId="2" borderId="103" xfId="0" applyNumberFormat="1" applyFont="1" applyFill="1" applyBorder="1" applyAlignment="1">
      <alignment horizontal="center" vertical="top"/>
    </xf>
    <xf numFmtId="18" fontId="73" fillId="2" borderId="102" xfId="0" applyNumberFormat="1" applyFont="1" applyFill="1" applyBorder="1" applyAlignment="1">
      <alignment horizontal="center" vertical="top"/>
    </xf>
    <xf numFmtId="0" fontId="40" fillId="2" borderId="36" xfId="0" applyFont="1" applyFill="1" applyBorder="1" applyAlignment="1">
      <alignment horizontal="left" vertical="top"/>
    </xf>
    <xf numFmtId="0" fontId="70" fillId="0" borderId="102" xfId="0" applyNumberFormat="1" applyFont="1" applyFill="1" applyBorder="1" applyAlignment="1" applyProtection="1">
      <alignment horizontal="center" vertical="top"/>
    </xf>
    <xf numFmtId="0" fontId="0" fillId="0" borderId="103" xfId="0" applyFill="1" applyBorder="1" applyAlignment="1">
      <alignment vertical="top"/>
    </xf>
    <xf numFmtId="0" fontId="0" fillId="37" borderId="103" xfId="0" applyFill="1" applyBorder="1" applyAlignment="1">
      <alignment horizontal="left" vertical="top"/>
    </xf>
    <xf numFmtId="0" fontId="0" fillId="0" borderId="103" xfId="0" applyFill="1" applyBorder="1" applyAlignment="1">
      <alignment horizontal="left" vertical="top"/>
    </xf>
    <xf numFmtId="0" fontId="0" fillId="0" borderId="36" xfId="0" applyFill="1" applyBorder="1" applyAlignment="1">
      <alignment horizontal="left" vertical="top"/>
    </xf>
    <xf numFmtId="1" fontId="70" fillId="0" borderId="102" xfId="0" applyNumberFormat="1" applyFont="1" applyFill="1" applyBorder="1" applyAlignment="1" applyProtection="1">
      <alignment horizontal="center" vertical="top"/>
    </xf>
    <xf numFmtId="0" fontId="41" fillId="37" borderId="85" xfId="0" applyFont="1" applyFill="1" applyBorder="1" applyAlignment="1">
      <alignment horizontal="left" vertical="top"/>
    </xf>
    <xf numFmtId="0" fontId="0" fillId="41" borderId="44" xfId="0" applyFill="1" applyBorder="1" applyAlignment="1">
      <alignment vertical="top"/>
    </xf>
    <xf numFmtId="0" fontId="0" fillId="37" borderId="44" xfId="0" applyFill="1" applyBorder="1" applyAlignment="1">
      <alignment horizontal="left" vertical="top"/>
    </xf>
    <xf numFmtId="0" fontId="0" fillId="41" borderId="44" xfId="0" applyFill="1" applyBorder="1" applyAlignment="1">
      <alignment horizontal="left" vertical="top"/>
    </xf>
    <xf numFmtId="0" fontId="41" fillId="39" borderId="89" xfId="0" applyFont="1" applyFill="1" applyBorder="1" applyAlignment="1">
      <alignment horizontal="left" vertical="center"/>
    </xf>
    <xf numFmtId="18" fontId="37" fillId="39" borderId="96" xfId="0" applyNumberFormat="1" applyFont="1" applyFill="1" applyBorder="1" applyAlignment="1">
      <alignment horizontal="center" vertical="center"/>
    </xf>
    <xf numFmtId="18" fontId="37" fillId="39" borderId="74" xfId="0" applyNumberFormat="1" applyFont="1" applyFill="1" applyBorder="1" applyAlignment="1">
      <alignment horizontal="center" vertical="center"/>
    </xf>
    <xf numFmtId="0" fontId="0" fillId="0" borderId="103" xfId="0" applyBorder="1" applyAlignment="1">
      <alignment horizontal="left" vertical="top"/>
    </xf>
    <xf numFmtId="0" fontId="0" fillId="0" borderId="36" xfId="0" applyBorder="1" applyAlignment="1">
      <alignment horizontal="left" vertical="top"/>
    </xf>
    <xf numFmtId="0" fontId="7" fillId="4" borderId="61" xfId="0" applyFont="1" applyFill="1" applyBorder="1" applyAlignment="1" applyProtection="1">
      <alignment horizontal="right" vertical="top"/>
    </xf>
    <xf numFmtId="0" fontId="27" fillId="4" borderId="64" xfId="0" applyFont="1" applyFill="1" applyBorder="1" applyAlignment="1" applyProtection="1">
      <alignment horizontal="right" vertical="top"/>
    </xf>
    <xf numFmtId="0" fontId="41" fillId="34" borderId="86" xfId="0" applyFont="1" applyFill="1" applyBorder="1" applyAlignment="1">
      <alignment horizontal="center" vertical="top"/>
    </xf>
    <xf numFmtId="0" fontId="0" fillId="0" borderId="86" xfId="0" applyBorder="1" applyAlignment="1">
      <alignment horizontal="center" vertical="top"/>
    </xf>
    <xf numFmtId="0" fontId="0" fillId="0" borderId="85" xfId="0" applyBorder="1" applyAlignment="1">
      <alignment horizontal="center" vertical="top"/>
    </xf>
    <xf numFmtId="0" fontId="43" fillId="0" borderId="100" xfId="0" applyFont="1" applyFill="1" applyBorder="1" applyAlignment="1">
      <alignment horizontal="center" vertical="top"/>
    </xf>
    <xf numFmtId="0" fontId="0" fillId="0" borderId="86" xfId="0" applyFill="1" applyBorder="1" applyAlignment="1">
      <alignment horizontal="center" vertical="top"/>
    </xf>
    <xf numFmtId="0" fontId="0" fillId="0" borderId="100" xfId="0" applyBorder="1" applyAlignment="1">
      <alignment horizontal="center" vertical="top"/>
    </xf>
    <xf numFmtId="1" fontId="68" fillId="0" borderId="64" xfId="0" applyNumberFormat="1" applyFont="1" applyFill="1" applyBorder="1" applyAlignment="1" applyProtection="1">
      <alignment horizontal="left" vertical="top"/>
      <protection locked="0"/>
    </xf>
    <xf numFmtId="0" fontId="43" fillId="0" borderId="104" xfId="0" applyFont="1" applyFill="1" applyBorder="1" applyAlignment="1">
      <alignment horizontal="center" vertical="top"/>
    </xf>
    <xf numFmtId="0" fontId="0" fillId="0" borderId="64" xfId="0" applyFont="1" applyBorder="1" applyAlignment="1">
      <alignment vertical="top"/>
    </xf>
    <xf numFmtId="0" fontId="0" fillId="5" borderId="76" xfId="0" applyFill="1" applyBorder="1" applyAlignment="1">
      <alignment horizontal="left" vertical="top"/>
    </xf>
    <xf numFmtId="0" fontId="38" fillId="4" borderId="64" xfId="0" applyNumberFormat="1" applyFont="1" applyFill="1" applyBorder="1" applyAlignment="1">
      <alignment horizontal="left" vertical="top"/>
    </xf>
    <xf numFmtId="0" fontId="89" fillId="2" borderId="72" xfId="0" applyFont="1" applyFill="1" applyBorder="1" applyAlignment="1" applyProtection="1">
      <alignment horizontal="center" vertical="center"/>
    </xf>
    <xf numFmtId="0" fontId="33" fillId="2" borderId="72" xfId="0" applyFont="1" applyFill="1" applyBorder="1" applyAlignment="1" applyProtection="1">
      <alignment horizontal="left" vertical="center"/>
    </xf>
    <xf numFmtId="0" fontId="33" fillId="2" borderId="72" xfId="0" applyFont="1" applyFill="1" applyBorder="1" applyAlignment="1" applyProtection="1">
      <alignment horizontal="center" vertical="center"/>
    </xf>
    <xf numFmtId="0" fontId="33" fillId="2" borderId="58" xfId="0" applyFont="1" applyFill="1" applyBorder="1" applyAlignment="1" applyProtection="1">
      <alignment horizontal="center" vertical="center"/>
    </xf>
    <xf numFmtId="0" fontId="35" fillId="2" borderId="58" xfId="0" applyFont="1" applyFill="1" applyBorder="1" applyAlignment="1" applyProtection="1">
      <alignment horizontal="center" vertical="center"/>
    </xf>
    <xf numFmtId="0" fontId="34" fillId="2" borderId="59" xfId="0" applyFont="1" applyFill="1" applyBorder="1" applyAlignment="1" applyProtection="1">
      <alignment horizontal="center" vertical="center"/>
    </xf>
    <xf numFmtId="0" fontId="35" fillId="2" borderId="60" xfId="0" applyFont="1" applyFill="1" applyBorder="1" applyAlignment="1" applyProtection="1">
      <alignment horizontal="left" vertical="center"/>
    </xf>
    <xf numFmtId="0" fontId="38" fillId="2" borderId="0" xfId="0" applyFont="1" applyFill="1" applyAlignment="1" applyProtection="1">
      <alignment horizontal="center" vertical="center"/>
    </xf>
    <xf numFmtId="0" fontId="38" fillId="0" borderId="0" xfId="0" applyFont="1" applyAlignment="1" applyProtection="1">
      <alignment vertical="center"/>
    </xf>
    <xf numFmtId="0" fontId="14" fillId="6" borderId="71" xfId="0" applyFont="1" applyFill="1" applyBorder="1" applyAlignment="1" applyProtection="1">
      <alignment horizontal="left" vertical="center"/>
    </xf>
    <xf numFmtId="0" fontId="17" fillId="8" borderId="17" xfId="0" applyFont="1" applyFill="1" applyBorder="1" applyAlignment="1" applyProtection="1">
      <alignment horizontal="left" vertical="center"/>
      <protection locked="0"/>
    </xf>
    <xf numFmtId="0" fontId="22" fillId="2" borderId="68" xfId="0" applyFont="1" applyFill="1" applyBorder="1" applyAlignment="1" applyProtection="1">
      <alignment horizontal="center" vertical="center"/>
    </xf>
    <xf numFmtId="0" fontId="22" fillId="2" borderId="69" xfId="0" applyFont="1" applyFill="1" applyBorder="1" applyAlignment="1" applyProtection="1">
      <alignment horizontal="left" vertical="center" wrapText="1"/>
    </xf>
    <xf numFmtId="0" fontId="89" fillId="2" borderId="69" xfId="0" applyFont="1" applyFill="1" applyBorder="1" applyAlignment="1" applyProtection="1">
      <alignment horizontal="center" vertical="center"/>
    </xf>
    <xf numFmtId="0" fontId="90" fillId="2" borderId="69" xfId="0" applyFont="1" applyFill="1" applyBorder="1" applyAlignment="1" applyProtection="1">
      <alignment horizontal="left" vertical="center" wrapText="1"/>
    </xf>
    <xf numFmtId="0" fontId="22" fillId="2" borderId="69" xfId="0" applyFont="1" applyFill="1" applyBorder="1" applyAlignment="1" applyProtection="1">
      <alignment horizontal="center" vertical="center"/>
    </xf>
    <xf numFmtId="0" fontId="22" fillId="2" borderId="69" xfId="0" applyFont="1" applyFill="1" applyBorder="1" applyAlignment="1" applyProtection="1">
      <alignment horizontal="left" vertical="center"/>
    </xf>
    <xf numFmtId="0" fontId="22" fillId="2" borderId="70" xfId="0" applyFont="1" applyFill="1" applyBorder="1" applyAlignment="1" applyProtection="1">
      <alignment horizontal="center" vertical="center"/>
    </xf>
    <xf numFmtId="0" fontId="35" fillId="2" borderId="1" xfId="0" applyFont="1" applyFill="1" applyBorder="1" applyAlignment="1" applyProtection="1">
      <alignment horizontal="left" vertical="center"/>
    </xf>
    <xf numFmtId="187" fontId="37" fillId="0" borderId="64" xfId="83" applyNumberFormat="1" applyFont="1" applyFill="1" applyBorder="1" applyAlignment="1" applyProtection="1">
      <alignment horizontal="center" vertical="center"/>
    </xf>
    <xf numFmtId="187" fontId="37" fillId="0" borderId="102" xfId="83" applyNumberFormat="1" applyFont="1" applyFill="1" applyBorder="1" applyAlignment="1" applyProtection="1">
      <alignment horizontal="center" vertical="center"/>
    </xf>
    <xf numFmtId="187" fontId="37" fillId="0" borderId="18" xfId="83" applyNumberFormat="1" applyFont="1" applyFill="1" applyBorder="1" applyAlignment="1" applyProtection="1">
      <alignment horizontal="center" vertical="center"/>
    </xf>
    <xf numFmtId="0" fontId="68" fillId="0" borderId="64" xfId="0" applyNumberFormat="1" applyFont="1" applyFill="1" applyBorder="1" applyAlignment="1" applyProtection="1">
      <alignment horizontal="left" vertical="top"/>
      <protection locked="0"/>
    </xf>
    <xf numFmtId="0" fontId="68" fillId="0" borderId="64" xfId="0" applyNumberFormat="1" applyFont="1" applyFill="1" applyBorder="1" applyAlignment="1" applyProtection="1">
      <alignment horizontal="left" vertical="top" wrapText="1"/>
      <protection locked="0"/>
    </xf>
    <xf numFmtId="1" fontId="68" fillId="0" borderId="64" xfId="0" applyNumberFormat="1" applyFont="1" applyFill="1" applyBorder="1" applyAlignment="1" applyProtection="1">
      <alignment horizontal="left" vertical="top" wrapText="1"/>
      <protection locked="0"/>
    </xf>
    <xf numFmtId="0" fontId="19" fillId="3" borderId="39" xfId="1" applyFill="1" applyBorder="1" applyAlignment="1" applyProtection="1">
      <alignment horizontal="center" vertical="center"/>
    </xf>
    <xf numFmtId="0" fontId="7" fillId="0" borderId="0" xfId="0" applyFont="1" applyFill="1" applyBorder="1" applyAlignment="1" applyProtection="1">
      <alignment horizontal="left" vertical="center" wrapText="1"/>
    </xf>
    <xf numFmtId="0" fontId="93" fillId="0" borderId="64" xfId="0" applyFont="1" applyFill="1" applyBorder="1" applyAlignment="1" applyProtection="1">
      <alignment horizontal="center" vertical="top"/>
    </xf>
    <xf numFmtId="1" fontId="91" fillId="0" borderId="64" xfId="0" applyNumberFormat="1" applyFont="1" applyFill="1" applyBorder="1" applyAlignment="1" applyProtection="1">
      <alignment horizontal="left" vertical="top"/>
      <protection locked="0"/>
    </xf>
    <xf numFmtId="164" fontId="0" fillId="0" borderId="86" xfId="0" applyNumberFormat="1" applyBorder="1" applyAlignment="1">
      <alignment horizontal="center" vertical="top"/>
    </xf>
    <xf numFmtId="164" fontId="0" fillId="0" borderId="64" xfId="0" applyNumberFormat="1" applyBorder="1" applyAlignment="1">
      <alignment horizontal="center" vertical="top"/>
    </xf>
    <xf numFmtId="0" fontId="20" fillId="3" borderId="80" xfId="0" applyFont="1" applyFill="1" applyBorder="1" applyAlignment="1" applyProtection="1">
      <alignment horizontal="center"/>
      <protection locked="0"/>
    </xf>
    <xf numFmtId="164" fontId="41" fillId="34" borderId="86" xfId="0" applyNumberFormat="1" applyFont="1" applyFill="1" applyBorder="1" applyAlignment="1">
      <alignment horizontal="center" vertical="top"/>
    </xf>
    <xf numFmtId="0" fontId="2" fillId="0" borderId="19" xfId="0" applyFont="1" applyFill="1" applyBorder="1" applyAlignment="1" applyProtection="1">
      <alignment horizontal="left" vertical="top" wrapText="1"/>
    </xf>
    <xf numFmtId="0" fontId="4" fillId="0" borderId="19" xfId="0" applyFont="1" applyFill="1" applyBorder="1" applyAlignment="1" applyProtection="1">
      <alignment horizontal="left" vertical="top" wrapText="1"/>
    </xf>
    <xf numFmtId="0" fontId="2" fillId="0" borderId="20" xfId="0" applyFont="1" applyFill="1" applyBorder="1" applyAlignment="1" applyProtection="1">
      <alignment horizontal="left" vertical="top" wrapText="1"/>
    </xf>
    <xf numFmtId="0" fontId="71" fillId="0" borderId="0" xfId="0" applyFont="1" applyFill="1" applyBorder="1" applyAlignment="1" applyProtection="1">
      <alignment horizontal="left" vertical="top" wrapText="1"/>
    </xf>
    <xf numFmtId="0" fontId="7" fillId="3" borderId="31" xfId="0" applyFont="1" applyFill="1" applyBorder="1" applyAlignment="1" applyProtection="1">
      <alignment horizontal="left" vertical="top" wrapText="1"/>
      <protection locked="0"/>
    </xf>
    <xf numFmtId="0" fontId="7" fillId="3" borderId="32" xfId="0" applyFont="1" applyFill="1" applyBorder="1" applyAlignment="1" applyProtection="1">
      <alignment horizontal="left" vertical="top" wrapText="1"/>
      <protection locked="0"/>
    </xf>
    <xf numFmtId="0" fontId="7" fillId="3" borderId="33" xfId="0" applyFont="1" applyFill="1" applyBorder="1" applyAlignment="1" applyProtection="1">
      <alignment horizontal="left" vertical="top" wrapText="1"/>
      <protection locked="0"/>
    </xf>
    <xf numFmtId="0" fontId="7" fillId="3" borderId="34" xfId="0" applyFont="1" applyFill="1" applyBorder="1" applyAlignment="1" applyProtection="1">
      <alignment horizontal="left" vertical="top" wrapText="1"/>
      <protection locked="0"/>
    </xf>
    <xf numFmtId="0" fontId="7" fillId="3" borderId="21" xfId="0" applyFont="1" applyFill="1" applyBorder="1" applyAlignment="1" applyProtection="1">
      <alignment horizontal="left" vertical="top" wrapText="1"/>
      <protection locked="0"/>
    </xf>
    <xf numFmtId="0" fontId="7" fillId="3" borderId="22" xfId="0" applyFont="1" applyFill="1" applyBorder="1" applyAlignment="1" applyProtection="1">
      <alignment horizontal="left" vertical="top" wrapText="1"/>
      <protection locked="0"/>
    </xf>
    <xf numFmtId="0" fontId="7" fillId="3" borderId="23" xfId="0" applyFont="1" applyFill="1" applyBorder="1" applyAlignment="1" applyProtection="1">
      <alignment horizontal="left" vertical="top" wrapText="1"/>
      <protection locked="0"/>
    </xf>
    <xf numFmtId="0" fontId="7" fillId="3" borderId="24" xfId="0" applyFont="1" applyFill="1" applyBorder="1" applyAlignment="1" applyProtection="1">
      <alignment horizontal="left" vertical="top" wrapText="1"/>
      <protection locked="0"/>
    </xf>
    <xf numFmtId="0" fontId="7" fillId="3" borderId="35" xfId="0" applyFont="1" applyFill="1" applyBorder="1" applyAlignment="1" applyProtection="1">
      <alignment horizontal="left" vertical="top" wrapText="1"/>
      <protection locked="0"/>
    </xf>
    <xf numFmtId="0" fontId="7" fillId="0" borderId="0" xfId="0" applyFont="1" applyFill="1" applyBorder="1" applyAlignment="1" applyProtection="1">
      <alignment horizontal="left" vertical="center" wrapText="1"/>
    </xf>
    <xf numFmtId="0" fontId="7" fillId="3" borderId="26" xfId="0" applyFont="1" applyFill="1" applyBorder="1" applyAlignment="1" applyProtection="1">
      <alignment horizontal="left" vertical="top" wrapText="1"/>
      <protection locked="0"/>
    </xf>
    <xf numFmtId="0" fontId="7" fillId="3" borderId="27" xfId="0" applyFont="1" applyFill="1" applyBorder="1" applyAlignment="1" applyProtection="1">
      <alignment horizontal="left" vertical="top" wrapText="1"/>
      <protection locked="0"/>
    </xf>
    <xf numFmtId="49" fontId="71" fillId="3" borderId="64" xfId="0" applyNumberFormat="1" applyFont="1" applyFill="1" applyBorder="1" applyAlignment="1" applyProtection="1">
      <alignment horizontal="left" vertical="top"/>
      <protection locked="0"/>
    </xf>
    <xf numFmtId="49" fontId="71" fillId="3" borderId="10" xfId="0" applyNumberFormat="1" applyFont="1" applyFill="1" applyBorder="1" applyAlignment="1" applyProtection="1">
      <alignment horizontal="left" vertical="top"/>
      <protection locked="0"/>
    </xf>
    <xf numFmtId="49" fontId="71" fillId="3" borderId="65" xfId="0" applyNumberFormat="1" applyFont="1" applyFill="1" applyBorder="1" applyAlignment="1" applyProtection="1">
      <alignment horizontal="left" vertical="top"/>
      <protection locked="0"/>
    </xf>
    <xf numFmtId="164" fontId="8" fillId="3" borderId="28" xfId="0" applyNumberFormat="1" applyFont="1" applyFill="1" applyBorder="1" applyAlignment="1" applyProtection="1">
      <alignment horizontal="center" vertical="center" wrapText="1"/>
      <protection locked="0"/>
    </xf>
    <xf numFmtId="164" fontId="8" fillId="3" borderId="29" xfId="0" applyNumberFormat="1" applyFont="1" applyFill="1" applyBorder="1" applyAlignment="1" applyProtection="1">
      <alignment horizontal="center" vertical="center"/>
      <protection locked="0"/>
    </xf>
    <xf numFmtId="164" fontId="8" fillId="3" borderId="30" xfId="0" applyNumberFormat="1" applyFont="1" applyFill="1" applyBorder="1" applyAlignment="1" applyProtection="1">
      <alignment horizontal="center" vertical="center"/>
      <protection locked="0"/>
    </xf>
    <xf numFmtId="0" fontId="7" fillId="3" borderId="25" xfId="0" applyFont="1" applyFill="1" applyBorder="1" applyAlignment="1" applyProtection="1">
      <alignment horizontal="left" vertical="top" wrapText="1"/>
      <protection locked="0"/>
    </xf>
    <xf numFmtId="164" fontId="8" fillId="3" borderId="29" xfId="0" applyNumberFormat="1" applyFont="1" applyFill="1" applyBorder="1" applyAlignment="1" applyProtection="1">
      <alignment horizontal="center" vertical="center" wrapText="1"/>
      <protection locked="0"/>
    </xf>
    <xf numFmtId="164" fontId="8" fillId="3" borderId="30" xfId="0" applyNumberFormat="1" applyFont="1" applyFill="1" applyBorder="1" applyAlignment="1" applyProtection="1">
      <alignment horizontal="center" vertical="center" wrapText="1"/>
      <protection locked="0"/>
    </xf>
    <xf numFmtId="0" fontId="7" fillId="3" borderId="31" xfId="0" applyFont="1" applyFill="1" applyBorder="1" applyAlignment="1" applyProtection="1">
      <alignment vertical="top" wrapText="1"/>
      <protection locked="0"/>
    </xf>
    <xf numFmtId="0" fontId="7" fillId="3" borderId="32" xfId="0" applyFont="1" applyFill="1" applyBorder="1" applyAlignment="1" applyProtection="1">
      <alignment vertical="top" wrapText="1"/>
      <protection locked="0"/>
    </xf>
    <xf numFmtId="0" fontId="7" fillId="3" borderId="33" xfId="0" applyFont="1" applyFill="1" applyBorder="1" applyAlignment="1" applyProtection="1">
      <alignment vertical="top" wrapText="1"/>
      <protection locked="0"/>
    </xf>
    <xf numFmtId="0" fontId="5" fillId="3" borderId="82" xfId="0" applyFont="1" applyFill="1" applyBorder="1" applyAlignment="1" applyProtection="1">
      <alignment horizontal="left" vertical="top" wrapText="1"/>
      <protection locked="0"/>
    </xf>
    <xf numFmtId="0" fontId="5" fillId="3" borderId="83" xfId="0" applyFont="1" applyFill="1" applyBorder="1" applyAlignment="1" applyProtection="1">
      <alignment horizontal="left" vertical="top" wrapText="1"/>
      <protection locked="0"/>
    </xf>
    <xf numFmtId="0" fontId="0" fillId="4" borderId="64" xfId="0" applyFill="1" applyBorder="1"/>
    <xf numFmtId="0" fontId="0" fillId="39" borderId="64" xfId="0" applyFill="1" applyBorder="1"/>
    <xf numFmtId="0" fontId="0" fillId="39" borderId="0" xfId="0" applyFill="1"/>
    <xf numFmtId="0" fontId="0" fillId="0" borderId="0" xfId="0" applyAlignment="1">
      <alignment horizontal="left" indent="1"/>
    </xf>
  </cellXfs>
  <cellStyles count="112">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billions" xfId="31"/>
    <cellStyle name="billions delta" xfId="32"/>
    <cellStyle name="Calculation 2" xfId="33"/>
    <cellStyle name="Check Cell 2" xfId="34"/>
    <cellStyle name="Column Heading" xfId="35"/>
    <cellStyle name="ColumnHeaders" xfId="36"/>
    <cellStyle name="Comma 2" xfId="37"/>
    <cellStyle name="Comma 3" xfId="38"/>
    <cellStyle name="Currency 2" xfId="39"/>
    <cellStyle name="Currency 2 2" xfId="40"/>
    <cellStyle name="Currency 3" xfId="41"/>
    <cellStyle name="Dash" xfId="42"/>
    <cellStyle name="decimal" xfId="43"/>
    <cellStyle name="Delta" xfId="44"/>
    <cellStyle name="Excel Built-in Normal" xfId="45"/>
    <cellStyle name="Explanatory Text 2" xfId="46"/>
    <cellStyle name="Followed Hyperlink 2" xfId="47"/>
    <cellStyle name="Footnote 1" xfId="48"/>
    <cellStyle name="Footnote 2" xfId="49"/>
    <cellStyle name="Footnote 3" xfId="50"/>
    <cellStyle name="Good 2" xfId="51"/>
    <cellStyle name="H0C" xfId="52"/>
    <cellStyle name="H1C" xfId="53"/>
    <cellStyle name="H1L" xfId="54"/>
    <cellStyle name="H1R" xfId="55"/>
    <cellStyle name="H2C" xfId="56"/>
    <cellStyle name="H2L" xfId="57"/>
    <cellStyle name="H2R" xfId="58"/>
    <cellStyle name="HBC" xfId="59"/>
    <cellStyle name="Heading 1 2" xfId="60"/>
    <cellStyle name="Heading 2 2" xfId="61"/>
    <cellStyle name="Heading 3 2" xfId="62"/>
    <cellStyle name="Heading 3 2 2" xfId="63"/>
    <cellStyle name="Heading 4 2" xfId="64"/>
    <cellStyle name="HMC" xfId="65"/>
    <cellStyle name="HTC" xfId="66"/>
    <cellStyle name="Hyperlink" xfId="1" builtinId="8"/>
    <cellStyle name="Hyperlink 2" xfId="67"/>
    <cellStyle name="Hyperlink 3" xfId="68"/>
    <cellStyle name="Hyperlink 4" xfId="107"/>
    <cellStyle name="Input 2" xfId="69"/>
    <cellStyle name="Linked Cell 2" xfId="70"/>
    <cellStyle name="Millions" xfId="71"/>
    <cellStyle name="Millions, delta" xfId="72"/>
    <cellStyle name="Neutral 2" xfId="73"/>
    <cellStyle name="Non-add" xfId="74"/>
    <cellStyle name="Non-add, Delta" xfId="75"/>
    <cellStyle name="Non-add, millions" xfId="76"/>
    <cellStyle name="Non-add, millions, delta" xfId="77"/>
    <cellStyle name="Normal" xfId="0" builtinId="0"/>
    <cellStyle name="Normal 10" xfId="106"/>
    <cellStyle name="Normal 11" xfId="108"/>
    <cellStyle name="Normal 12" xfId="109"/>
    <cellStyle name="Normal 13" xfId="110"/>
    <cellStyle name="Normal 2" xfId="2"/>
    <cellStyle name="Normal 2 2" xfId="78"/>
    <cellStyle name="Normal 2 2 2" xfId="79"/>
    <cellStyle name="Normal 2 3" xfId="80"/>
    <cellStyle name="Normal 3" xfId="3"/>
    <cellStyle name="Normal 3 2" xfId="81"/>
    <cellStyle name="Normal 3 3" xfId="82"/>
    <cellStyle name="Normal 4" xfId="4"/>
    <cellStyle name="Normal 5" xfId="83"/>
    <cellStyle name="Normal 5 2" xfId="111"/>
    <cellStyle name="Normal 6" xfId="84"/>
    <cellStyle name="Normal 7" xfId="85"/>
    <cellStyle name="Normal 7 2" xfId="86"/>
    <cellStyle name="Normal 8" xfId="87"/>
    <cellStyle name="Normal 9" xfId="5"/>
    <cellStyle name="Normal for dashes" xfId="88"/>
    <cellStyle name="Normal for dashes and font" xfId="89"/>
    <cellStyle name="Note 2" xfId="90"/>
    <cellStyle name="Num" xfId="91"/>
    <cellStyle name="Output 2" xfId="92"/>
    <cellStyle name="Page Header" xfId="93"/>
    <cellStyle name="Percent 2" xfId="94"/>
    <cellStyle name="Percent delta" xfId="95"/>
    <cellStyle name="Percent delta non-add" xfId="96"/>
    <cellStyle name="Stubs, Dot Leaders" xfId="97"/>
    <cellStyle name="Stubs, Wrapped" xfId="98"/>
    <cellStyle name="Text" xfId="99"/>
    <cellStyle name="Title 2" xfId="100"/>
    <cellStyle name="Total 2" xfId="101"/>
    <cellStyle name="Txt_DotTrailer" xfId="102"/>
    <cellStyle name="Warning Text 2" xfId="103"/>
    <cellStyle name="WBS Table Format" xfId="104"/>
    <cellStyle name="Work Duration" xfId="105"/>
  </cellStyles>
  <dxfs count="14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gColor theme="4" tint="0.39994506668294322"/>
          <bgColor auto="1"/>
        </patternFill>
      </fill>
    </dxf>
    <dxf>
      <fill>
        <patternFill patternType="lightDown">
          <fgColor rgb="FFFF0000"/>
        </patternFill>
      </fill>
    </dxf>
    <dxf>
      <fill>
        <patternFill patternType="lightUp">
          <fgColor theme="7"/>
          <bgColor auto="1"/>
        </patternFill>
      </fill>
    </dxf>
    <dxf>
      <fill>
        <patternFill patternType="lightDown">
          <fgColor rgb="FF33CCCC"/>
        </patternFill>
      </fill>
    </dxf>
    <dxf>
      <fill>
        <patternFill patternType="lightUp">
          <fgColor rgb="FFFF00FF"/>
        </patternFill>
      </fill>
    </dxf>
    <dxf>
      <fill>
        <patternFill patternType="solid">
          <bgColor theme="0" tint="-0.24994659260841701"/>
        </patternFill>
      </fill>
    </dxf>
    <dxf>
      <fill>
        <patternFill>
          <bgColor rgb="FFFFC000"/>
        </patternFill>
      </fill>
    </dxf>
    <dxf>
      <fill>
        <patternFill patternType="lightUp">
          <fgColor theme="4" tint="0.39994506668294322"/>
          <bgColor auto="1"/>
        </patternFill>
      </fill>
    </dxf>
    <dxf>
      <fill>
        <patternFill patternType="lightDown">
          <fgColor rgb="FFFF0000"/>
        </patternFill>
      </fill>
    </dxf>
    <dxf>
      <fill>
        <patternFill patternType="lightUp">
          <fgColor theme="7"/>
          <bgColor auto="1"/>
        </patternFill>
      </fill>
    </dxf>
    <dxf>
      <fill>
        <patternFill patternType="lightDown">
          <fgColor rgb="FF33CCCC"/>
        </patternFill>
      </fill>
    </dxf>
    <dxf>
      <fill>
        <patternFill patternType="lightUp">
          <fgColor rgb="FFFF00FF"/>
        </patternFill>
      </fill>
    </dxf>
    <dxf>
      <fill>
        <patternFill patternType="solid">
          <bgColor theme="0" tint="-0.24994659260841701"/>
        </patternFill>
      </fill>
    </dxf>
    <dxf>
      <fill>
        <patternFill>
          <bgColor rgb="FFFFC000"/>
        </patternFill>
      </fill>
    </dxf>
    <dxf>
      <fill>
        <patternFill patternType="lightUp">
          <fgColor theme="4" tint="0.39994506668294322"/>
          <bgColor auto="1"/>
        </patternFill>
      </fill>
    </dxf>
    <dxf>
      <fill>
        <patternFill patternType="lightDown">
          <fgColor rgb="FFFF0000"/>
        </patternFill>
      </fill>
    </dxf>
    <dxf>
      <fill>
        <patternFill patternType="lightUp">
          <fgColor theme="7"/>
          <bgColor auto="1"/>
        </patternFill>
      </fill>
    </dxf>
    <dxf>
      <fill>
        <patternFill patternType="lightDown">
          <fgColor rgb="FF33CCCC"/>
        </patternFill>
      </fill>
    </dxf>
    <dxf>
      <fill>
        <patternFill patternType="lightUp">
          <fgColor rgb="FFFF00FF"/>
        </patternFill>
      </fill>
    </dxf>
    <dxf>
      <fill>
        <patternFill patternType="solid">
          <bgColor theme="0" tint="-0.24994659260841701"/>
        </patternFill>
      </fill>
    </dxf>
    <dxf>
      <fill>
        <patternFill>
          <bgColor rgb="FFFFC000"/>
        </patternFill>
      </fill>
    </dxf>
    <dxf>
      <fill>
        <patternFill patternType="lightUp">
          <fgColor theme="4" tint="0.39994506668294322"/>
          <bgColor auto="1"/>
        </patternFill>
      </fill>
    </dxf>
    <dxf>
      <fill>
        <patternFill patternType="lightDown">
          <fgColor rgb="FFFF0000"/>
        </patternFill>
      </fill>
    </dxf>
    <dxf>
      <fill>
        <patternFill patternType="lightUp">
          <fgColor theme="7"/>
          <bgColor auto="1"/>
        </patternFill>
      </fill>
    </dxf>
    <dxf>
      <fill>
        <patternFill patternType="lightDown">
          <fgColor rgb="FF33CCCC"/>
        </patternFill>
      </fill>
    </dxf>
    <dxf>
      <fill>
        <patternFill patternType="lightUp">
          <fgColor rgb="FFFF00FF"/>
        </patternFill>
      </fill>
    </dxf>
    <dxf>
      <fill>
        <patternFill patternType="solid">
          <bgColor theme="0" tint="-0.24994659260841701"/>
        </patternFill>
      </fill>
    </dxf>
    <dxf>
      <fill>
        <patternFill>
          <bgColor rgb="FFFFC000"/>
        </patternFill>
      </fill>
    </dxf>
  </dxfs>
  <tableStyles count="0" defaultTableStyle="TableStyleMedium2" defaultPivotStyle="PivotStyleLight16"/>
  <colors>
    <mruColors>
      <color rgb="FF0000CC"/>
      <color rgb="FF006892"/>
      <color rgb="FF00FFFF"/>
      <color rgb="FF83A343"/>
      <color rgb="FFECFE00"/>
      <color rgb="FFF9FFAB"/>
      <color rgb="FF3176C9"/>
      <color rgb="FF255997"/>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0</xdr:row>
      <xdr:rowOff>104775</xdr:rowOff>
    </xdr:from>
    <xdr:to>
      <xdr:col>2</xdr:col>
      <xdr:colOff>781050</xdr:colOff>
      <xdr:row>1</xdr:row>
      <xdr:rowOff>142875</xdr:rowOff>
    </xdr:to>
    <xdr:pic>
      <xdr:nvPicPr>
        <xdr:cNvPr id="2" name="Picture 2"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0477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52</xdr:row>
      <xdr:rowOff>104775</xdr:rowOff>
    </xdr:from>
    <xdr:to>
      <xdr:col>2</xdr:col>
      <xdr:colOff>781050</xdr:colOff>
      <xdr:row>53</xdr:row>
      <xdr:rowOff>142875</xdr:rowOff>
    </xdr:to>
    <xdr:pic>
      <xdr:nvPicPr>
        <xdr:cNvPr id="3" name="Picture 4"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30651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105</xdr:row>
      <xdr:rowOff>104775</xdr:rowOff>
    </xdr:from>
    <xdr:to>
      <xdr:col>2</xdr:col>
      <xdr:colOff>781050</xdr:colOff>
      <xdr:row>106</xdr:row>
      <xdr:rowOff>142875</xdr:rowOff>
    </xdr:to>
    <xdr:pic>
      <xdr:nvPicPr>
        <xdr:cNvPr id="4" name="Picture 5"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268573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104775</xdr:rowOff>
    </xdr:from>
    <xdr:to>
      <xdr:col>2</xdr:col>
      <xdr:colOff>781050</xdr:colOff>
      <xdr:row>1</xdr:row>
      <xdr:rowOff>142875</xdr:rowOff>
    </xdr:to>
    <xdr:pic>
      <xdr:nvPicPr>
        <xdr:cNvPr id="2" name="Picture 2"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0477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52</xdr:row>
      <xdr:rowOff>104775</xdr:rowOff>
    </xdr:from>
    <xdr:to>
      <xdr:col>2</xdr:col>
      <xdr:colOff>781050</xdr:colOff>
      <xdr:row>53</xdr:row>
      <xdr:rowOff>142875</xdr:rowOff>
    </xdr:to>
    <xdr:pic>
      <xdr:nvPicPr>
        <xdr:cNvPr id="3" name="Picture 4"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30651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105</xdr:row>
      <xdr:rowOff>104775</xdr:rowOff>
    </xdr:from>
    <xdr:to>
      <xdr:col>2</xdr:col>
      <xdr:colOff>781050</xdr:colOff>
      <xdr:row>106</xdr:row>
      <xdr:rowOff>142875</xdr:rowOff>
    </xdr:to>
    <xdr:pic>
      <xdr:nvPicPr>
        <xdr:cNvPr id="4" name="Picture 5"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268573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104775</xdr:rowOff>
    </xdr:from>
    <xdr:to>
      <xdr:col>2</xdr:col>
      <xdr:colOff>781050</xdr:colOff>
      <xdr:row>1</xdr:row>
      <xdr:rowOff>142875</xdr:rowOff>
    </xdr:to>
    <xdr:pic>
      <xdr:nvPicPr>
        <xdr:cNvPr id="2" name="Picture 2"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0477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52</xdr:row>
      <xdr:rowOff>104775</xdr:rowOff>
    </xdr:from>
    <xdr:to>
      <xdr:col>2</xdr:col>
      <xdr:colOff>781050</xdr:colOff>
      <xdr:row>53</xdr:row>
      <xdr:rowOff>142875</xdr:rowOff>
    </xdr:to>
    <xdr:pic>
      <xdr:nvPicPr>
        <xdr:cNvPr id="3" name="Picture 4"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130651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76200</xdr:colOff>
      <xdr:row>105</xdr:row>
      <xdr:rowOff>104775</xdr:rowOff>
    </xdr:from>
    <xdr:to>
      <xdr:col>2</xdr:col>
      <xdr:colOff>781050</xdr:colOff>
      <xdr:row>106</xdr:row>
      <xdr:rowOff>142875</xdr:rowOff>
    </xdr:to>
    <xdr:pic>
      <xdr:nvPicPr>
        <xdr:cNvPr id="4" name="Picture 5" descr="doe_logo_ppt.png"/>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val="0"/>
            </a:ext>
          </a:extLst>
        </a:blip>
        <a:srcRect/>
        <a:stretch>
          <a:fillRect/>
        </a:stretch>
      </xdr:blipFill>
      <xdr:spPr bwMode="auto">
        <a:xfrm>
          <a:off x="76200" y="26857325"/>
          <a:ext cx="199390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hyperlink" Target="mailto:smithbt@ornl.gov" TargetMode="External"/><Relationship Id="rId13" Type="http://schemas.openxmlformats.org/officeDocument/2006/relationships/hyperlink" Target="mailto:naprasad@nmsu.edu" TargetMode="External"/><Relationship Id="rId18" Type="http://schemas.openxmlformats.org/officeDocument/2006/relationships/hyperlink" Target="mailto:csullivan@globalnearspace.com" TargetMode="External"/><Relationship Id="rId26" Type="http://schemas.openxmlformats.org/officeDocument/2006/relationships/hyperlink" Target="mailto:bevelhimerms@ornl.gov" TargetMode="External"/><Relationship Id="rId39" Type="http://schemas.openxmlformats.org/officeDocument/2006/relationships/hyperlink" Target="mailto:tslowry@sandia.gov" TargetMode="External"/><Relationship Id="rId3" Type="http://schemas.openxmlformats.org/officeDocument/2006/relationships/hyperlink" Target="mailto:smithbt@ornl.gov" TargetMode="External"/><Relationship Id="rId21" Type="http://schemas.openxmlformats.org/officeDocument/2006/relationships/hyperlink" Target="mailto:zhangq1@ornl.gov" TargetMode="External"/><Relationship Id="rId34" Type="http://schemas.openxmlformats.org/officeDocument/2006/relationships/hyperlink" Target="mailto:simon.geerlofs@pnnl.gov" TargetMode="External"/><Relationship Id="rId42" Type="http://schemas.openxmlformats.org/officeDocument/2006/relationships/hyperlink" Target="http://rdcu.be/khRk" TargetMode="External"/><Relationship Id="rId47" Type="http://schemas.openxmlformats.org/officeDocument/2006/relationships/hyperlink" Target="http://link.springer.com/article/10.1007%2Fs11146-014-9477-9" TargetMode="External"/><Relationship Id="rId7" Type="http://schemas.openxmlformats.org/officeDocument/2006/relationships/hyperlink" Target="mailto:smithbt@ornl.gov" TargetMode="External"/><Relationship Id="rId12" Type="http://schemas.openxmlformats.org/officeDocument/2006/relationships/hyperlink" Target="mailto:sda@percheronpower.com" TargetMode="External"/><Relationship Id="rId17" Type="http://schemas.openxmlformats.org/officeDocument/2006/relationships/hyperlink" Target="mailto:henry@walkerwellington.com" TargetMode="External"/><Relationship Id="rId25" Type="http://schemas.openxmlformats.org/officeDocument/2006/relationships/hyperlink" Target="mailto:hadjeriouab@ornl.gov" TargetMode="External"/><Relationship Id="rId33" Type="http://schemas.openxmlformats.org/officeDocument/2006/relationships/hyperlink" Target="mailto:Erik.Ela@nrel.gov" TargetMode="External"/><Relationship Id="rId38" Type="http://schemas.openxmlformats.org/officeDocument/2006/relationships/hyperlink" Target="mailto:mark.wigmosta@pnnl.gov" TargetMode="External"/><Relationship Id="rId46" Type="http://schemas.openxmlformats.org/officeDocument/2006/relationships/hyperlink" Target="https://emp.lbl.gov/publications/relationship-between-wind-turbines" TargetMode="External"/><Relationship Id="rId2" Type="http://schemas.openxmlformats.org/officeDocument/2006/relationships/hyperlink" Target="mailto:kaos@ornl.gov" TargetMode="External"/><Relationship Id="rId16" Type="http://schemas.openxmlformats.org/officeDocument/2006/relationships/hyperlink" Target="mailto:abe@natelenergy.com" TargetMode="External"/><Relationship Id="rId20" Type="http://schemas.openxmlformats.org/officeDocument/2006/relationships/hyperlink" Target="mailto:softenergy@juno.com" TargetMode="External"/><Relationship Id="rId29" Type="http://schemas.openxmlformats.org/officeDocument/2006/relationships/hyperlink" Target="mailto:Koritarov@anl.gov" TargetMode="External"/><Relationship Id="rId41" Type="http://schemas.openxmlformats.org/officeDocument/2006/relationships/hyperlink" Target="https://emp.lbl.gov/iea-wind-expert-survey" TargetMode="External"/><Relationship Id="rId1" Type="http://schemas.openxmlformats.org/officeDocument/2006/relationships/hyperlink" Target="mailto:kaos@ornl.gov" TargetMode="External"/><Relationship Id="rId6" Type="http://schemas.openxmlformats.org/officeDocument/2006/relationships/hyperlink" Target="mailto:Koritarov@anl.gov" TargetMode="External"/><Relationship Id="rId11" Type="http://schemas.openxmlformats.org/officeDocument/2006/relationships/hyperlink" Target="mailto:sflake@smud.org" TargetMode="External"/><Relationship Id="rId24" Type="http://schemas.openxmlformats.org/officeDocument/2006/relationships/hyperlink" Target="mailto:gulli3@umn.edu" TargetMode="External"/><Relationship Id="rId32" Type="http://schemas.openxmlformats.org/officeDocument/2006/relationships/hyperlink" Target="mailto:Koritarov@anl.gov" TargetMode="External"/><Relationship Id="rId37" Type="http://schemas.openxmlformats.org/officeDocument/2006/relationships/hyperlink" Target="mailto:Simon.Geerlofs@pnnl.gov" TargetMode="External"/><Relationship Id="rId40" Type="http://schemas.openxmlformats.org/officeDocument/2006/relationships/hyperlink" Target="https://emp.lbl.gov/publications/2015-wind-technologies-market-report" TargetMode="External"/><Relationship Id="rId45" Type="http://schemas.openxmlformats.org/officeDocument/2006/relationships/hyperlink" Target="http://www.sciencedirect.com/science/article/pii/S1040619015001992" TargetMode="External"/><Relationship Id="rId5" Type="http://schemas.openxmlformats.org/officeDocument/2006/relationships/hyperlink" Target="mailto:simon.geerlofs@pnnl.gov" TargetMode="External"/><Relationship Id="rId15" Type="http://schemas.openxmlformats.org/officeDocument/2006/relationships/hyperlink" Target="mailto:abe@natelenergy.com" TargetMode="External"/><Relationship Id="rId23" Type="http://schemas.openxmlformats.org/officeDocument/2006/relationships/hyperlink" Target="mailto:zhiqun.deng@pnnl.gov" TargetMode="External"/><Relationship Id="rId28" Type="http://schemas.openxmlformats.org/officeDocument/2006/relationships/hyperlink" Target="mailto:uriamartiner@ornl.gov" TargetMode="External"/><Relationship Id="rId36" Type="http://schemas.openxmlformats.org/officeDocument/2006/relationships/hyperlink" Target="mailto:Simon.Geerlofs@pnnl.gov" TargetMode="External"/><Relationship Id="rId10" Type="http://schemas.openxmlformats.org/officeDocument/2006/relationships/hyperlink" Target="mailto:kaos@ornl.gov" TargetMode="External"/><Relationship Id="rId19" Type="http://schemas.openxmlformats.org/officeDocument/2006/relationships/hyperlink" Target="mailto:wayne@hgenergy.com" TargetMode="External"/><Relationship Id="rId31" Type="http://schemas.openxmlformats.org/officeDocument/2006/relationships/hyperlink" Target="mailto:sflake@smud.org" TargetMode="External"/><Relationship Id="rId44" Type="http://schemas.openxmlformats.org/officeDocument/2006/relationships/hyperlink" Target="http://energy.gov/eere/wind/wind-vision" TargetMode="External"/><Relationship Id="rId4" Type="http://schemas.openxmlformats.org/officeDocument/2006/relationships/hyperlink" Target="mailto:smithbt@ornl.gov" TargetMode="External"/><Relationship Id="rId9" Type="http://schemas.openxmlformats.org/officeDocument/2006/relationships/hyperlink" Target="mailto:marshall.richmond@pnnl.gov" TargetMode="External"/><Relationship Id="rId14" Type="http://schemas.openxmlformats.org/officeDocument/2006/relationships/hyperlink" Target="mailto:abe@natelenergy.com" TargetMode="External"/><Relationship Id="rId22" Type="http://schemas.openxmlformats.org/officeDocument/2006/relationships/hyperlink" Target="mailto:smithbt@ornl.gov" TargetMode="External"/><Relationship Id="rId27" Type="http://schemas.openxmlformats.org/officeDocument/2006/relationships/hyperlink" Target="mailto:bevelhimerms@ornl.gov" TargetMode="External"/><Relationship Id="rId30" Type="http://schemas.openxmlformats.org/officeDocument/2006/relationships/hyperlink" Target="mailto:eduard.muljadi@nrel.gov" TargetMode="External"/><Relationship Id="rId35" Type="http://schemas.openxmlformats.org/officeDocument/2006/relationships/hyperlink" Target="mailto:Erik.Ela@nrel.gov" TargetMode="External"/><Relationship Id="rId43" Type="http://schemas.openxmlformats.org/officeDocument/2006/relationships/hyperlink" Target="https://emp.lbl.gov/news" TargetMode="External"/><Relationship Id="rId48"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C3"/>
  <sheetViews>
    <sheetView tabSelected="1" workbookViewId="0">
      <selection activeCell="C3" sqref="C3"/>
    </sheetView>
  </sheetViews>
  <sheetFormatPr defaultRowHeight="14.5" x14ac:dyDescent="0.35"/>
  <cols>
    <col min="1" max="1" width="45.90625" bestFit="1" customWidth="1"/>
    <col min="2" max="2" width="51.7265625" customWidth="1"/>
    <col min="3" max="3" width="23.81640625" bestFit="1" customWidth="1"/>
  </cols>
  <sheetData>
    <row r="1" spans="1:3" x14ac:dyDescent="0.35">
      <c r="A1" t="s">
        <v>855</v>
      </c>
    </row>
    <row r="2" spans="1:3" x14ac:dyDescent="0.35">
      <c r="A2" s="460" t="s">
        <v>856</v>
      </c>
      <c r="B2" s="460" t="s">
        <v>858</v>
      </c>
      <c r="C2" t="s">
        <v>859</v>
      </c>
    </row>
    <row r="3" spans="1:3" x14ac:dyDescent="0.35">
      <c r="A3" s="460" t="s">
        <v>857</v>
      </c>
      <c r="B3" s="460" t="s">
        <v>854</v>
      </c>
      <c r="C3" t="s">
        <v>860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00CC"/>
  </sheetPr>
  <dimension ref="A1:Q1"/>
  <sheetViews>
    <sheetView workbookViewId="0">
      <pane ySplit="1" topLeftCell="A2" activePane="bottomLeft" state="frozen"/>
      <selection pane="bottomLeft" activeCell="G12" sqref="G12"/>
    </sheetView>
  </sheetViews>
  <sheetFormatPr defaultRowHeight="14.5" x14ac:dyDescent="0.35"/>
  <cols>
    <col min="1" max="1" width="4.7265625" bestFit="1" customWidth="1"/>
    <col min="2" max="17" width="8.08984375" customWidth="1"/>
  </cols>
  <sheetData>
    <row r="1" spans="1:17" x14ac:dyDescent="0.35">
      <c r="A1" s="457" t="s">
        <v>424</v>
      </c>
      <c r="B1" s="457" t="s">
        <v>835</v>
      </c>
      <c r="C1" s="457" t="s">
        <v>836</v>
      </c>
      <c r="D1" s="457" t="s">
        <v>837</v>
      </c>
      <c r="E1" s="457" t="s">
        <v>838</v>
      </c>
      <c r="F1" s="457" t="s">
        <v>839</v>
      </c>
      <c r="G1" s="457" t="s">
        <v>840</v>
      </c>
      <c r="H1" s="457" t="s">
        <v>841</v>
      </c>
      <c r="I1" s="457" t="s">
        <v>842</v>
      </c>
      <c r="J1" s="457" t="s">
        <v>843</v>
      </c>
      <c r="K1" s="458" t="s">
        <v>844</v>
      </c>
      <c r="L1" s="458" t="s">
        <v>845</v>
      </c>
      <c r="M1" s="458" t="s">
        <v>846</v>
      </c>
      <c r="N1" s="458" t="s">
        <v>847</v>
      </c>
      <c r="O1" s="458" t="s">
        <v>848</v>
      </c>
      <c r="P1" s="458" t="s">
        <v>849</v>
      </c>
      <c r="Q1" s="458" t="s">
        <v>850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CC"/>
  </sheetPr>
  <dimension ref="A1:S1"/>
  <sheetViews>
    <sheetView topLeftCell="D1" workbookViewId="0">
      <pane ySplit="1" topLeftCell="A2" activePane="bottomLeft" state="frozen"/>
      <selection pane="bottomLeft" activeCell="S1" sqref="S1"/>
    </sheetView>
  </sheetViews>
  <sheetFormatPr defaultRowHeight="14.5" x14ac:dyDescent="0.35"/>
  <sheetData>
    <row r="1" spans="1:19" x14ac:dyDescent="0.35">
      <c r="A1" s="44" t="s">
        <v>424</v>
      </c>
      <c r="B1" s="44" t="s">
        <v>835</v>
      </c>
      <c r="C1" s="44" t="s">
        <v>836</v>
      </c>
      <c r="D1" s="44" t="s">
        <v>837</v>
      </c>
      <c r="E1" s="44" t="s">
        <v>838</v>
      </c>
      <c r="F1" s="44" t="s">
        <v>839</v>
      </c>
      <c r="G1" s="44" t="s">
        <v>840</v>
      </c>
      <c r="H1" s="44" t="s">
        <v>841</v>
      </c>
      <c r="I1" s="44" t="s">
        <v>842</v>
      </c>
      <c r="J1" s="44" t="s">
        <v>843</v>
      </c>
      <c r="K1" s="459" t="s">
        <v>844</v>
      </c>
      <c r="L1" s="459" t="s">
        <v>845</v>
      </c>
      <c r="M1" s="459" t="s">
        <v>846</v>
      </c>
      <c r="N1" s="459" t="s">
        <v>847</v>
      </c>
      <c r="O1" s="459" t="s">
        <v>848</v>
      </c>
      <c r="P1" s="459" t="s">
        <v>849</v>
      </c>
      <c r="Q1" s="459" t="s">
        <v>851</v>
      </c>
      <c r="R1" s="459" t="s">
        <v>852</v>
      </c>
      <c r="S1" s="459" t="s">
        <v>853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002060"/>
    <pageSetUpPr fitToPage="1"/>
  </sheetPr>
  <dimension ref="A1:BX157"/>
  <sheetViews>
    <sheetView zoomScale="75" zoomScaleNormal="75" zoomScalePageLayoutView="125" workbookViewId="0">
      <pane ySplit="1" topLeftCell="A2" activePane="bottomLeft" state="frozen"/>
      <selection activeCell="S126" sqref="S126"/>
      <selection pane="bottomLeft" activeCell="F12" sqref="F12"/>
    </sheetView>
  </sheetViews>
  <sheetFormatPr defaultColWidth="9.1796875" defaultRowHeight="14.5" x14ac:dyDescent="0.35"/>
  <cols>
    <col min="1" max="1" width="13.453125" style="244" bestFit="1" customWidth="1"/>
    <col min="2" max="2" width="54.453125" customWidth="1"/>
    <col min="3" max="3" width="27.7265625" customWidth="1"/>
    <col min="4" max="4" width="12.453125" customWidth="1"/>
    <col min="5" max="5" width="12.1796875" bestFit="1" customWidth="1"/>
    <col min="6" max="7" width="8" customWidth="1"/>
    <col min="8" max="8" width="20" customWidth="1"/>
    <col min="9" max="9" width="13.453125" customWidth="1"/>
    <col min="10" max="10" width="8.81640625" bestFit="1" customWidth="1"/>
    <col min="11" max="11" width="13.1796875" bestFit="1" customWidth="1"/>
    <col min="12" max="12" width="18" style="105" bestFit="1" customWidth="1"/>
    <col min="13" max="16" width="31.7265625" customWidth="1"/>
    <col min="17" max="17" width="11.7265625" customWidth="1"/>
    <col min="18" max="18" width="11.26953125" customWidth="1"/>
    <col min="19" max="30" width="22.81640625" customWidth="1"/>
    <col min="31" max="31" width="48" customWidth="1"/>
    <col min="32" max="37" width="11.81640625" customWidth="1"/>
    <col min="38" max="38" width="10.7265625" customWidth="1"/>
    <col min="39" max="39" width="18.7265625" customWidth="1"/>
    <col min="40" max="44" width="14" customWidth="1"/>
  </cols>
  <sheetData>
    <row r="1" spans="1:76" s="77" customFormat="1" ht="30.75" customHeight="1" x14ac:dyDescent="0.25">
      <c r="A1" s="238" t="s">
        <v>424</v>
      </c>
      <c r="B1" s="159" t="s">
        <v>460</v>
      </c>
      <c r="C1" s="83" t="s">
        <v>461</v>
      </c>
      <c r="D1" s="161" t="s">
        <v>462</v>
      </c>
      <c r="E1" s="84" t="s">
        <v>463</v>
      </c>
      <c r="F1" s="85" t="s">
        <v>464</v>
      </c>
      <c r="G1" s="85" t="s">
        <v>465</v>
      </c>
      <c r="H1" s="103" t="s">
        <v>344</v>
      </c>
      <c r="I1" s="165" t="s">
        <v>348</v>
      </c>
      <c r="J1" s="86" t="s">
        <v>437</v>
      </c>
      <c r="K1" s="86" t="s">
        <v>582</v>
      </c>
      <c r="L1" s="157" t="s">
        <v>466</v>
      </c>
      <c r="M1" s="87" t="s">
        <v>467</v>
      </c>
      <c r="N1" s="87" t="s">
        <v>468</v>
      </c>
      <c r="O1" s="87" t="s">
        <v>469</v>
      </c>
      <c r="P1" s="88" t="s">
        <v>346</v>
      </c>
      <c r="Q1" s="88" t="s">
        <v>470</v>
      </c>
      <c r="R1" s="88" t="s">
        <v>471</v>
      </c>
      <c r="S1" s="89" t="s">
        <v>472</v>
      </c>
      <c r="T1" s="89" t="s">
        <v>473</v>
      </c>
      <c r="U1" s="89" t="s">
        <v>474</v>
      </c>
      <c r="V1" s="83" t="s">
        <v>475</v>
      </c>
      <c r="W1" s="83" t="s">
        <v>476</v>
      </c>
      <c r="X1" s="83" t="s">
        <v>477</v>
      </c>
      <c r="Y1" s="83" t="s">
        <v>478</v>
      </c>
      <c r="Z1" s="83" t="s">
        <v>479</v>
      </c>
      <c r="AA1" s="83" t="s">
        <v>480</v>
      </c>
      <c r="AB1" s="83" t="s">
        <v>481</v>
      </c>
      <c r="AC1" s="83" t="s">
        <v>482</v>
      </c>
      <c r="AD1" s="83" t="s">
        <v>483</v>
      </c>
      <c r="AE1" s="90" t="s">
        <v>484</v>
      </c>
      <c r="AF1" s="90" t="s">
        <v>485</v>
      </c>
      <c r="AG1" s="90" t="s">
        <v>486</v>
      </c>
      <c r="AH1" s="90" t="s">
        <v>487</v>
      </c>
      <c r="AI1" s="90" t="s">
        <v>488</v>
      </c>
      <c r="AJ1" s="90" t="s">
        <v>489</v>
      </c>
      <c r="AK1" s="90" t="s">
        <v>490</v>
      </c>
      <c r="AL1" s="90" t="s">
        <v>423</v>
      </c>
      <c r="AM1" s="90" t="s">
        <v>491</v>
      </c>
      <c r="AN1" s="90" t="s">
        <v>492</v>
      </c>
      <c r="AO1" s="90" t="s">
        <v>493</v>
      </c>
      <c r="AP1" s="90" t="s">
        <v>458</v>
      </c>
      <c r="AQ1" s="90" t="s">
        <v>459</v>
      </c>
      <c r="AR1" s="90" t="s">
        <v>494</v>
      </c>
      <c r="AS1" s="90" t="s">
        <v>495</v>
      </c>
      <c r="AT1" s="90" t="s">
        <v>496</v>
      </c>
      <c r="AU1" s="90" t="s">
        <v>497</v>
      </c>
      <c r="AV1" s="90" t="s">
        <v>498</v>
      </c>
      <c r="AW1" s="90" t="s">
        <v>499</v>
      </c>
      <c r="AX1" s="90" t="s">
        <v>500</v>
      </c>
      <c r="AY1" s="90" t="s">
        <v>501</v>
      </c>
      <c r="AZ1" s="90" t="s">
        <v>502</v>
      </c>
      <c r="BA1" s="90" t="s">
        <v>503</v>
      </c>
      <c r="BB1" s="90" t="s">
        <v>504</v>
      </c>
      <c r="BC1" s="90" t="s">
        <v>505</v>
      </c>
      <c r="BD1" s="90" t="s">
        <v>506</v>
      </c>
      <c r="BE1" s="90" t="s">
        <v>507</v>
      </c>
      <c r="BF1" s="90" t="s">
        <v>508</v>
      </c>
      <c r="BG1" s="90" t="s">
        <v>509</v>
      </c>
      <c r="BH1" s="90" t="s">
        <v>510</v>
      </c>
      <c r="BI1" s="90" t="s">
        <v>511</v>
      </c>
      <c r="BJ1" s="90" t="s">
        <v>512</v>
      </c>
      <c r="BK1" s="90" t="s">
        <v>513</v>
      </c>
      <c r="BL1" s="90" t="s">
        <v>514</v>
      </c>
      <c r="BM1" s="90" t="s">
        <v>515</v>
      </c>
      <c r="BN1" s="90" t="s">
        <v>584</v>
      </c>
      <c r="BO1" s="90" t="s">
        <v>585</v>
      </c>
      <c r="BP1" s="90" t="s">
        <v>586</v>
      </c>
    </row>
    <row r="2" spans="1:76" s="167" customFormat="1" ht="15" x14ac:dyDescent="0.25">
      <c r="A2" s="246" t="s">
        <v>558</v>
      </c>
      <c r="B2" s="135" t="s">
        <v>559</v>
      </c>
      <c r="C2" s="135" t="str">
        <f>B2</f>
        <v>Travel and Check In</v>
      </c>
      <c r="D2" s="162">
        <v>540</v>
      </c>
      <c r="E2" s="106">
        <v>0</v>
      </c>
      <c r="F2" s="168">
        <v>0.33333333333333331</v>
      </c>
      <c r="G2" s="107">
        <f t="shared" ref="G2:G65" si="0">F2+TIME(0, D2, 0)+TIME(0, E2, 0)</f>
        <v>0.70833333333333326</v>
      </c>
      <c r="H2" s="104">
        <v>42779</v>
      </c>
      <c r="I2" s="169" t="s">
        <v>560</v>
      </c>
      <c r="J2" s="108" t="s">
        <v>588</v>
      </c>
      <c r="K2" s="134" t="s">
        <v>560</v>
      </c>
      <c r="L2" s="134" t="s">
        <v>560</v>
      </c>
      <c r="M2" s="108" t="s">
        <v>560</v>
      </c>
      <c r="N2" s="108" t="s">
        <v>560</v>
      </c>
      <c r="O2" s="110"/>
      <c r="P2" s="109" t="str">
        <f>N2</f>
        <v>NULL</v>
      </c>
      <c r="Q2" s="223"/>
      <c r="R2" s="223" t="str">
        <f>M2</f>
        <v>NULL</v>
      </c>
      <c r="S2" s="235"/>
      <c r="T2" s="223"/>
      <c r="U2" s="223"/>
      <c r="V2" s="223"/>
      <c r="W2" s="223"/>
      <c r="X2" s="223"/>
      <c r="Y2" s="223"/>
      <c r="Z2" s="223"/>
      <c r="AA2" s="223"/>
      <c r="AB2" s="158"/>
      <c r="AC2" s="158"/>
      <c r="AD2" s="158"/>
      <c r="AE2" s="158"/>
      <c r="AF2" s="158"/>
      <c r="AG2" s="223"/>
      <c r="AH2" s="223"/>
      <c r="AI2" s="223"/>
      <c r="AJ2" s="223"/>
      <c r="AK2" s="223"/>
      <c r="AL2" s="223"/>
      <c r="AM2" s="223"/>
      <c r="AN2" s="223"/>
      <c r="AO2" s="223"/>
      <c r="AP2" s="223"/>
      <c r="AQ2" s="223"/>
      <c r="AR2" s="223"/>
      <c r="AS2" s="223"/>
      <c r="AT2" s="223"/>
      <c r="AU2" s="223"/>
      <c r="AV2" s="223"/>
      <c r="AW2" s="223"/>
      <c r="AX2" s="223"/>
      <c r="AY2" s="223"/>
      <c r="AZ2" s="223"/>
      <c r="BA2" s="223"/>
      <c r="BB2" s="223"/>
      <c r="BC2" s="223"/>
      <c r="BD2" s="223"/>
      <c r="BE2" s="223"/>
      <c r="BF2" s="230" t="str">
        <f>IF(ISERROR(MATCH(N2,#REF!, 0)), "",  INDEX(#REF!, MATCH(N2,#REF!, 0)))</f>
        <v/>
      </c>
      <c r="BG2" s="223"/>
      <c r="BH2" s="223"/>
      <c r="BI2" s="223"/>
      <c r="BJ2" s="223"/>
      <c r="BK2" s="223"/>
      <c r="BL2" s="223"/>
      <c r="BM2" s="223"/>
      <c r="BN2" s="223"/>
      <c r="BO2" s="223"/>
      <c r="BP2" s="223"/>
      <c r="BQ2" s="167" t="s">
        <v>636</v>
      </c>
    </row>
    <row r="3" spans="1:76" s="167" customFormat="1" ht="15.75" thickBot="1" x14ac:dyDescent="0.3">
      <c r="A3" s="240" t="s">
        <v>558</v>
      </c>
      <c r="B3" s="135" t="s">
        <v>561</v>
      </c>
      <c r="C3" s="136" t="str">
        <f t="shared" ref="C3:C66" si="1">B3</f>
        <v>No-host Happy Hour at the Potomac Bar</v>
      </c>
      <c r="D3" s="162">
        <v>120</v>
      </c>
      <c r="E3" s="106">
        <v>0</v>
      </c>
      <c r="F3" s="170">
        <f>G2</f>
        <v>0.70833333333333326</v>
      </c>
      <c r="G3" s="107">
        <f t="shared" si="0"/>
        <v>0.79166666666666663</v>
      </c>
      <c r="H3" s="104">
        <v>42779</v>
      </c>
      <c r="I3" s="169" t="s">
        <v>560</v>
      </c>
      <c r="J3" s="111" t="s">
        <v>588</v>
      </c>
      <c r="K3" s="134" t="s">
        <v>560</v>
      </c>
      <c r="L3" s="134" t="s">
        <v>560</v>
      </c>
      <c r="M3" s="111" t="s">
        <v>560</v>
      </c>
      <c r="N3" s="111" t="s">
        <v>560</v>
      </c>
      <c r="O3" s="113"/>
      <c r="P3" s="112" t="str">
        <f t="shared" ref="P3:P66" si="2">N3</f>
        <v>NULL</v>
      </c>
      <c r="Q3" s="223"/>
      <c r="R3" s="223" t="str">
        <f t="shared" ref="R3:R10" si="3">M3</f>
        <v>NULL</v>
      </c>
      <c r="S3" s="235"/>
      <c r="T3" s="223"/>
      <c r="U3" s="223"/>
      <c r="V3" s="223"/>
      <c r="W3" s="223"/>
      <c r="X3" s="223"/>
      <c r="Y3" s="223"/>
      <c r="Z3" s="223"/>
      <c r="AA3" s="223"/>
      <c r="AB3" s="158"/>
      <c r="AC3" s="158"/>
      <c r="AD3" s="158"/>
      <c r="AE3" s="158"/>
      <c r="AF3" s="158"/>
      <c r="AG3" s="223"/>
      <c r="AH3" s="223"/>
      <c r="AI3" s="223"/>
      <c r="AJ3" s="223"/>
      <c r="AK3" s="223"/>
      <c r="AL3" s="223"/>
      <c r="AM3" s="223"/>
      <c r="AN3" s="223"/>
      <c r="AO3" s="223"/>
      <c r="AP3" s="223"/>
      <c r="AQ3" s="223"/>
      <c r="AR3" s="223"/>
      <c r="AS3" s="223"/>
      <c r="AT3" s="223"/>
      <c r="AU3" s="223"/>
      <c r="AV3" s="223"/>
      <c r="AW3" s="223"/>
      <c r="AX3" s="223"/>
      <c r="AY3" s="223"/>
      <c r="AZ3" s="223"/>
      <c r="BA3" s="223"/>
      <c r="BB3" s="223"/>
      <c r="BC3" s="223"/>
      <c r="BD3" s="223"/>
      <c r="BE3" s="223"/>
      <c r="BF3" s="230" t="str">
        <f>IF(ISERROR(MATCH(N3,#REF!, 0)), "",  INDEX(#REF!, MATCH(N3,#REF!, 0)))</f>
        <v/>
      </c>
      <c r="BG3" s="223"/>
      <c r="BH3" s="223"/>
      <c r="BI3" s="223"/>
      <c r="BJ3" s="223"/>
      <c r="BK3" s="223"/>
      <c r="BL3" s="223"/>
      <c r="BM3" s="223"/>
      <c r="BN3" s="223"/>
      <c r="BO3" s="223"/>
      <c r="BP3" s="223"/>
      <c r="BQ3" s="167" t="s">
        <v>636</v>
      </c>
    </row>
    <row r="4" spans="1:76" s="167" customFormat="1" ht="15.75" thickTop="1" x14ac:dyDescent="0.25">
      <c r="A4" s="246" t="s">
        <v>558</v>
      </c>
      <c r="B4" s="150" t="s">
        <v>562</v>
      </c>
      <c r="C4" s="150" t="str">
        <f t="shared" si="1"/>
        <v>Joint Breakfast with Wind and Water Attendees</v>
      </c>
      <c r="D4" s="171">
        <v>45</v>
      </c>
      <c r="E4" s="171">
        <v>0</v>
      </c>
      <c r="F4" s="172">
        <v>0.33333333333333331</v>
      </c>
      <c r="G4" s="173">
        <f t="shared" si="0"/>
        <v>0.36458333333333331</v>
      </c>
      <c r="H4" s="104">
        <v>42780</v>
      </c>
      <c r="I4" s="169" t="s">
        <v>563</v>
      </c>
      <c r="J4" s="115" t="s">
        <v>588</v>
      </c>
      <c r="K4" s="150" t="s">
        <v>560</v>
      </c>
      <c r="L4" s="150" t="s">
        <v>560</v>
      </c>
      <c r="M4" s="115" t="s">
        <v>560</v>
      </c>
      <c r="N4" s="115" t="s">
        <v>560</v>
      </c>
      <c r="O4" s="146"/>
      <c r="P4" s="234" t="str">
        <f t="shared" si="2"/>
        <v>NULL</v>
      </c>
      <c r="Q4" s="223"/>
      <c r="R4" s="223" t="str">
        <f t="shared" si="3"/>
        <v>NULL</v>
      </c>
      <c r="S4" s="235"/>
      <c r="T4" s="223"/>
      <c r="U4" s="223"/>
      <c r="V4" s="223"/>
      <c r="W4" s="223"/>
      <c r="X4" s="223"/>
      <c r="Y4" s="223"/>
      <c r="Z4" s="223"/>
      <c r="AA4" s="223"/>
      <c r="AB4" s="158"/>
      <c r="AC4" s="158"/>
      <c r="AD4" s="158"/>
      <c r="AE4" s="158"/>
      <c r="AF4" s="158"/>
      <c r="AG4" s="223"/>
      <c r="AH4" s="223"/>
      <c r="AI4" s="223"/>
      <c r="AJ4" s="223"/>
      <c r="AK4" s="223"/>
      <c r="AL4" s="223"/>
      <c r="AM4" s="223"/>
      <c r="AN4" s="223"/>
      <c r="AO4" s="223"/>
      <c r="AP4" s="223"/>
      <c r="AQ4" s="223"/>
      <c r="AR4" s="223"/>
      <c r="AS4" s="223"/>
      <c r="AT4" s="223"/>
      <c r="AU4" s="223"/>
      <c r="AV4" s="223"/>
      <c r="AW4" s="223"/>
      <c r="AX4" s="223"/>
      <c r="AY4" s="223"/>
      <c r="AZ4" s="223"/>
      <c r="BA4" s="223"/>
      <c r="BB4" s="223"/>
      <c r="BC4" s="223"/>
      <c r="BD4" s="223"/>
      <c r="BE4" s="223"/>
      <c r="BF4" s="230" t="str">
        <f>IF(ISERROR(MATCH(N4,#REF!, 0)), "",  INDEX(#REF!, MATCH(N4,#REF!, 0)))</f>
        <v/>
      </c>
      <c r="BG4" s="223"/>
      <c r="BH4" s="223"/>
      <c r="BI4" s="223"/>
      <c r="BJ4" s="223"/>
      <c r="BK4" s="223"/>
      <c r="BL4" s="223"/>
      <c r="BM4" s="223"/>
      <c r="BN4" s="223"/>
      <c r="BO4" s="223"/>
      <c r="BP4" s="223"/>
      <c r="BQ4" s="167" t="s">
        <v>636</v>
      </c>
    </row>
    <row r="5" spans="1:76" s="167" customFormat="1" ht="15" x14ac:dyDescent="0.25">
      <c r="A5" s="240" t="s">
        <v>558</v>
      </c>
      <c r="B5" s="142" t="s">
        <v>564</v>
      </c>
      <c r="C5" s="142" t="str">
        <f t="shared" si="1"/>
        <v>Facilitator Welcome</v>
      </c>
      <c r="D5" s="171">
        <v>15</v>
      </c>
      <c r="E5" s="171">
        <v>0</v>
      </c>
      <c r="F5" s="174">
        <f t="shared" ref="F5:F30" si="4">G4</f>
        <v>0.36458333333333331</v>
      </c>
      <c r="G5" s="173">
        <f t="shared" si="0"/>
        <v>0.375</v>
      </c>
      <c r="H5" s="104">
        <v>42780</v>
      </c>
      <c r="I5" s="169" t="s">
        <v>563</v>
      </c>
      <c r="J5" s="116" t="s">
        <v>588</v>
      </c>
      <c r="K5" s="142" t="s">
        <v>560</v>
      </c>
      <c r="L5" s="142" t="s">
        <v>560</v>
      </c>
      <c r="M5" s="116" t="s">
        <v>516</v>
      </c>
      <c r="N5" s="116" t="s">
        <v>565</v>
      </c>
      <c r="O5" s="147"/>
      <c r="P5" s="114" t="str">
        <f t="shared" si="2"/>
        <v>Alex Lemke</v>
      </c>
      <c r="Q5" s="223"/>
      <c r="R5" s="223" t="str">
        <f t="shared" si="3"/>
        <v>DOE</v>
      </c>
      <c r="S5" s="235"/>
      <c r="T5" s="223"/>
      <c r="U5" s="223"/>
      <c r="V5" s="223"/>
      <c r="W5" s="223"/>
      <c r="X5" s="223"/>
      <c r="Y5" s="223"/>
      <c r="Z5" s="223"/>
      <c r="AA5" s="223"/>
      <c r="AB5" s="158"/>
      <c r="AC5" s="158"/>
      <c r="AD5" s="158"/>
      <c r="AE5" s="158"/>
      <c r="AF5" s="158"/>
      <c r="AG5" s="223"/>
      <c r="AH5" s="223"/>
      <c r="AI5" s="223"/>
      <c r="AJ5" s="223"/>
      <c r="AK5" s="223"/>
      <c r="AL5" s="223"/>
      <c r="AM5" s="223"/>
      <c r="AN5" s="223"/>
      <c r="AO5" s="223"/>
      <c r="AP5" s="223"/>
      <c r="AQ5" s="223"/>
      <c r="AR5" s="223"/>
      <c r="AS5" s="223"/>
      <c r="AT5" s="223"/>
      <c r="AU5" s="223"/>
      <c r="AV5" s="223"/>
      <c r="AW5" s="223"/>
      <c r="AX5" s="223"/>
      <c r="AY5" s="223"/>
      <c r="AZ5" s="223"/>
      <c r="BA5" s="223"/>
      <c r="BB5" s="223"/>
      <c r="BC5" s="223"/>
      <c r="BD5" s="223"/>
      <c r="BE5" s="223"/>
      <c r="BF5" s="230" t="str">
        <f>IF(ISERROR(MATCH(N5,#REF!, 0)), "",  INDEX(#REF!, MATCH(N5,#REF!, 0)))</f>
        <v/>
      </c>
      <c r="BG5" s="223"/>
      <c r="BH5" s="223"/>
      <c r="BI5" s="223"/>
      <c r="BJ5" s="223"/>
      <c r="BK5" s="223"/>
      <c r="BL5" s="223"/>
      <c r="BM5" s="223"/>
      <c r="BN5" s="223"/>
      <c r="BO5" s="223"/>
      <c r="BP5" s="223"/>
      <c r="BQ5" s="167" t="s">
        <v>636</v>
      </c>
    </row>
    <row r="6" spans="1:76" s="167" customFormat="1" ht="15" x14ac:dyDescent="0.25">
      <c r="A6" s="243" t="s">
        <v>566</v>
      </c>
      <c r="B6" s="142" t="s">
        <v>567</v>
      </c>
      <c r="C6" s="142" t="str">
        <f t="shared" si="1"/>
        <v>Wind Director Welcome</v>
      </c>
      <c r="D6" s="171">
        <v>15</v>
      </c>
      <c r="E6" s="171">
        <v>10</v>
      </c>
      <c r="F6" s="174">
        <f t="shared" si="4"/>
        <v>0.375</v>
      </c>
      <c r="G6" s="173">
        <f t="shared" si="0"/>
        <v>0.3923611111111111</v>
      </c>
      <c r="H6" s="104">
        <v>42780</v>
      </c>
      <c r="I6" s="169" t="s">
        <v>563</v>
      </c>
      <c r="J6" s="116" t="s">
        <v>588</v>
      </c>
      <c r="K6" s="142" t="s">
        <v>560</v>
      </c>
      <c r="L6" s="142" t="s">
        <v>560</v>
      </c>
      <c r="M6" s="116" t="s">
        <v>516</v>
      </c>
      <c r="N6" s="116" t="s">
        <v>517</v>
      </c>
      <c r="O6" s="147"/>
      <c r="P6" s="231" t="str">
        <f t="shared" si="2"/>
        <v>Jose Zayas</v>
      </c>
      <c r="Q6" s="223"/>
      <c r="R6" s="223" t="str">
        <f t="shared" si="3"/>
        <v>DOE</v>
      </c>
      <c r="S6" s="235"/>
      <c r="T6" s="223"/>
      <c r="U6" s="223"/>
      <c r="V6" s="223"/>
      <c r="W6" s="223"/>
      <c r="X6" s="223"/>
      <c r="Y6" s="223"/>
      <c r="Z6" s="223"/>
      <c r="AA6" s="223"/>
      <c r="AB6" s="158"/>
      <c r="AC6" s="158"/>
      <c r="AD6" s="158"/>
      <c r="AE6" s="158"/>
      <c r="AF6" s="158"/>
      <c r="AG6" s="223"/>
      <c r="AH6" s="223"/>
      <c r="AI6" s="223"/>
      <c r="AJ6" s="223"/>
      <c r="AK6" s="223"/>
      <c r="AL6" s="223"/>
      <c r="AM6" s="223"/>
      <c r="AN6" s="223" t="str">
        <f>"program\"&amp;$A6&amp;"_pres1.pdf"</f>
        <v>program\WPG16001_pres1.pdf</v>
      </c>
      <c r="AO6" s="223"/>
      <c r="AP6" s="223"/>
      <c r="AQ6" s="223"/>
      <c r="AR6" s="223"/>
      <c r="AS6" s="223"/>
      <c r="AT6" s="223"/>
      <c r="AU6" s="223"/>
      <c r="AV6" s="223"/>
      <c r="AW6" s="223"/>
      <c r="AX6" s="223"/>
      <c r="AY6" s="223"/>
      <c r="AZ6" s="223"/>
      <c r="BA6" s="223"/>
      <c r="BB6" s="223"/>
      <c r="BC6" s="223"/>
      <c r="BD6" s="223"/>
      <c r="BE6" s="223"/>
      <c r="BF6" s="230" t="str">
        <f>IF(ISERROR(MATCH(N6,#REF!, 0)), "",  INDEX(#REF!, MATCH(N6,#REF!, 0)))</f>
        <v/>
      </c>
      <c r="BG6" s="223"/>
      <c r="BH6" s="223"/>
      <c r="BI6" s="223"/>
      <c r="BJ6" s="223"/>
      <c r="BK6" s="223"/>
      <c r="BL6" s="223"/>
      <c r="BM6" s="223"/>
      <c r="BN6" s="223"/>
      <c r="BO6" s="223"/>
      <c r="BP6" s="223"/>
      <c r="BQ6" s="167" t="s">
        <v>636</v>
      </c>
    </row>
    <row r="7" spans="1:76" s="167" customFormat="1" ht="15" x14ac:dyDescent="0.25">
      <c r="A7" s="243" t="s">
        <v>568</v>
      </c>
      <c r="B7" s="142" t="s">
        <v>569</v>
      </c>
      <c r="C7" s="142" t="str">
        <f t="shared" si="1"/>
        <v>Water Director Welcome</v>
      </c>
      <c r="D7" s="171">
        <v>15</v>
      </c>
      <c r="E7" s="171">
        <v>10</v>
      </c>
      <c r="F7" s="174">
        <f t="shared" si="4"/>
        <v>0.3923611111111111</v>
      </c>
      <c r="G7" s="173">
        <f t="shared" si="0"/>
        <v>0.40972222222222221</v>
      </c>
      <c r="H7" s="104">
        <v>42780</v>
      </c>
      <c r="I7" s="169" t="s">
        <v>563</v>
      </c>
      <c r="J7" s="116" t="s">
        <v>588</v>
      </c>
      <c r="K7" s="142" t="s">
        <v>560</v>
      </c>
      <c r="L7" s="142" t="s">
        <v>560</v>
      </c>
      <c r="M7" s="116" t="s">
        <v>516</v>
      </c>
      <c r="N7" s="116" t="s">
        <v>786</v>
      </c>
      <c r="O7" s="147"/>
      <c r="P7" s="231" t="str">
        <f t="shared" si="2"/>
        <v>Alejandro Moreno</v>
      </c>
      <c r="Q7" s="223"/>
      <c r="R7" s="223" t="str">
        <f t="shared" si="3"/>
        <v>DOE</v>
      </c>
      <c r="S7" s="235"/>
      <c r="T7" s="223"/>
      <c r="U7" s="223"/>
      <c r="V7" s="223"/>
      <c r="W7" s="223"/>
      <c r="X7" s="223"/>
      <c r="Y7" s="223"/>
      <c r="Z7" s="223"/>
      <c r="AA7" s="223"/>
      <c r="AB7" s="158"/>
      <c r="AC7" s="158"/>
      <c r="AD7" s="158"/>
      <c r="AE7" s="158"/>
      <c r="AF7" s="158"/>
      <c r="AG7" s="223"/>
      <c r="AH7" s="223"/>
      <c r="AI7" s="223"/>
      <c r="AJ7" s="223"/>
      <c r="AK7" s="223"/>
      <c r="AL7" s="223"/>
      <c r="AM7" s="223"/>
      <c r="AN7" s="223" t="str">
        <f>"program\"&amp;$A7&amp;"_pres1.pdf"</f>
        <v>program\HPG16001_pres1.pdf</v>
      </c>
      <c r="AO7" s="223"/>
      <c r="AP7" s="223"/>
      <c r="AQ7" s="223"/>
      <c r="AR7" s="223"/>
      <c r="AS7" s="223"/>
      <c r="AT7" s="223"/>
      <c r="AU7" s="223"/>
      <c r="AV7" s="223"/>
      <c r="AW7" s="223"/>
      <c r="AX7" s="223"/>
      <c r="AY7" s="223"/>
      <c r="AZ7" s="223"/>
      <c r="BA7" s="223"/>
      <c r="BB7" s="223"/>
      <c r="BC7" s="223"/>
      <c r="BD7" s="223"/>
      <c r="BE7" s="223"/>
      <c r="BF7" s="230" t="str">
        <f>IF(ISERROR(MATCH(N7,#REF!, 0)), "",  INDEX(#REF!, MATCH(N7,#REF!, 0)))</f>
        <v/>
      </c>
      <c r="BG7" s="223"/>
      <c r="BH7" s="223"/>
      <c r="BI7" s="223"/>
      <c r="BJ7" s="223"/>
      <c r="BK7" s="223"/>
      <c r="BL7" s="223"/>
      <c r="BM7" s="223"/>
      <c r="BN7" s="223"/>
      <c r="BO7" s="223"/>
      <c r="BP7" s="223"/>
      <c r="BQ7" s="167" t="s">
        <v>636</v>
      </c>
    </row>
    <row r="8" spans="1:76" s="167" customFormat="1" ht="15.75" thickBot="1" x14ac:dyDescent="0.3">
      <c r="A8" s="240" t="s">
        <v>558</v>
      </c>
      <c r="B8" s="117" t="s">
        <v>570</v>
      </c>
      <c r="C8" s="117" t="str">
        <f t="shared" si="1"/>
        <v>TRANSITION</v>
      </c>
      <c r="D8" s="171">
        <v>5</v>
      </c>
      <c r="E8" s="171">
        <v>0</v>
      </c>
      <c r="F8" s="175">
        <f t="shared" si="4"/>
        <v>0.40972222222222221</v>
      </c>
      <c r="G8" s="137">
        <f t="shared" si="0"/>
        <v>0.41319444444444442</v>
      </c>
      <c r="H8" s="104">
        <v>42780</v>
      </c>
      <c r="I8" s="169" t="s">
        <v>560</v>
      </c>
      <c r="J8" s="116" t="s">
        <v>588</v>
      </c>
      <c r="K8" s="117" t="s">
        <v>560</v>
      </c>
      <c r="L8" s="117" t="s">
        <v>560</v>
      </c>
      <c r="M8" s="116" t="s">
        <v>560</v>
      </c>
      <c r="N8" s="116" t="s">
        <v>560</v>
      </c>
      <c r="O8" s="176"/>
      <c r="P8" s="117" t="str">
        <f t="shared" si="2"/>
        <v>NULL</v>
      </c>
      <c r="Q8" s="223"/>
      <c r="R8" s="223" t="str">
        <f t="shared" si="3"/>
        <v>NULL</v>
      </c>
      <c r="S8" s="235"/>
      <c r="T8" s="223"/>
      <c r="U8" s="223"/>
      <c r="V8" s="223"/>
      <c r="W8" s="223"/>
      <c r="X8" s="223"/>
      <c r="Y8" s="223"/>
      <c r="Z8" s="223"/>
      <c r="AA8" s="223"/>
      <c r="AB8" s="158"/>
      <c r="AC8" s="158"/>
      <c r="AD8" s="158"/>
      <c r="AE8" s="158"/>
      <c r="AF8" s="158"/>
      <c r="AG8" s="223"/>
      <c r="AH8" s="223"/>
      <c r="AI8" s="223"/>
      <c r="AJ8" s="223"/>
      <c r="AK8" s="223"/>
      <c r="AL8" s="223"/>
      <c r="AM8" s="223"/>
      <c r="AN8" s="223"/>
      <c r="AO8" s="223"/>
      <c r="AP8" s="223"/>
      <c r="AQ8" s="223"/>
      <c r="AR8" s="223"/>
      <c r="AS8" s="223"/>
      <c r="AT8" s="223"/>
      <c r="AU8" s="223"/>
      <c r="AV8" s="223"/>
      <c r="AW8" s="223"/>
      <c r="AX8" s="223"/>
      <c r="AY8" s="223"/>
      <c r="AZ8" s="223"/>
      <c r="BA8" s="223"/>
      <c r="BB8" s="223"/>
      <c r="BC8" s="223"/>
      <c r="BD8" s="223"/>
      <c r="BE8" s="223"/>
      <c r="BF8" s="230" t="str">
        <f>IF(ISERROR(MATCH(N8,#REF!, 0)), "",  INDEX(#REF!, MATCH(N8,#REF!, 0)))</f>
        <v/>
      </c>
      <c r="BG8" s="223"/>
      <c r="BH8" s="223"/>
      <c r="BI8" s="223"/>
      <c r="BJ8" s="223"/>
      <c r="BK8" s="223"/>
      <c r="BL8" s="223"/>
      <c r="BM8" s="223"/>
      <c r="BN8" s="223"/>
      <c r="BO8" s="223"/>
      <c r="BP8" s="223"/>
      <c r="BQ8" s="167" t="s">
        <v>636</v>
      </c>
    </row>
    <row r="9" spans="1:76" s="167" customFormat="1" ht="16.5" thickTop="1" thickBot="1" x14ac:dyDescent="0.3">
      <c r="A9" s="240" t="s">
        <v>688</v>
      </c>
      <c r="B9" s="118" t="s">
        <v>571</v>
      </c>
      <c r="C9" s="118" t="str">
        <f t="shared" si="1"/>
        <v>Program Lead Presentation</v>
      </c>
      <c r="D9" s="119">
        <v>15</v>
      </c>
      <c r="E9" s="106">
        <v>0</v>
      </c>
      <c r="F9" s="177">
        <f t="shared" si="4"/>
        <v>0.41319444444444442</v>
      </c>
      <c r="G9" s="178">
        <f t="shared" si="0"/>
        <v>0.4236111111111111</v>
      </c>
      <c r="H9" s="104">
        <v>42780</v>
      </c>
      <c r="I9" s="169" t="s">
        <v>581</v>
      </c>
      <c r="J9" s="120" t="s">
        <v>588</v>
      </c>
      <c r="K9" s="118" t="s">
        <v>560</v>
      </c>
      <c r="L9" s="118" t="s">
        <v>560</v>
      </c>
      <c r="M9" s="120" t="s">
        <v>516</v>
      </c>
      <c r="N9" s="120" t="s">
        <v>452</v>
      </c>
      <c r="O9" s="121"/>
      <c r="P9" s="120" t="str">
        <f t="shared" si="2"/>
        <v>Jocelyn Brown-Saracino</v>
      </c>
      <c r="Q9" s="223"/>
      <c r="R9" s="223" t="str">
        <f t="shared" si="3"/>
        <v>DOE</v>
      </c>
      <c r="S9" s="235"/>
      <c r="T9" s="223"/>
      <c r="U9" s="223"/>
      <c r="V9" s="223"/>
      <c r="W9" s="223"/>
      <c r="X9" s="223"/>
      <c r="Y9" s="223"/>
      <c r="Z9" s="223"/>
      <c r="AA9" s="223"/>
      <c r="AB9" s="158"/>
      <c r="AC9" s="158"/>
      <c r="AD9" s="158"/>
      <c r="AE9" s="158"/>
      <c r="AF9" s="158"/>
      <c r="AG9" s="223"/>
      <c r="AH9" s="223"/>
      <c r="AI9" s="223"/>
      <c r="AJ9" s="223"/>
      <c r="AK9" s="223"/>
      <c r="AL9" s="223"/>
      <c r="AM9" s="223"/>
      <c r="AN9" s="223" t="str">
        <f>"program\"&amp;$A9&amp;"_pres1.pdf"</f>
        <v>program\WPG16002_pres1.pdf</v>
      </c>
      <c r="AO9" s="223"/>
      <c r="AP9" s="223"/>
      <c r="AQ9" s="223"/>
      <c r="AR9" s="223"/>
      <c r="AS9" s="223"/>
      <c r="AT9" s="223"/>
      <c r="AU9" s="223"/>
      <c r="AV9" s="223"/>
      <c r="AW9" s="223"/>
      <c r="AX9" s="223"/>
      <c r="AY9" s="223"/>
      <c r="AZ9" s="223"/>
      <c r="BA9" s="223"/>
      <c r="BB9" s="223"/>
      <c r="BC9" s="223"/>
      <c r="BD9" s="223"/>
      <c r="BE9" s="223"/>
      <c r="BF9" s="230" t="str">
        <f>IF(ISERROR(MATCH(N9,#REF!, 0)), "",  INDEX(#REF!, MATCH(N9,#REF!, 0)))</f>
        <v/>
      </c>
      <c r="BG9" s="223"/>
      <c r="BH9" s="223"/>
      <c r="BI9" s="223"/>
      <c r="BJ9" s="223"/>
      <c r="BK9" s="223"/>
      <c r="BL9" s="223"/>
      <c r="BM9" s="223"/>
      <c r="BN9" s="223"/>
      <c r="BO9" s="223"/>
      <c r="BP9" s="223"/>
      <c r="BQ9" s="167" t="s">
        <v>636</v>
      </c>
    </row>
    <row r="10" spans="1:76" s="167" customFormat="1" ht="16.5" thickTop="1" thickBot="1" x14ac:dyDescent="0.3">
      <c r="A10" s="239" t="s">
        <v>558</v>
      </c>
      <c r="B10" s="152" t="s">
        <v>518</v>
      </c>
      <c r="C10" s="152" t="str">
        <f t="shared" si="1"/>
        <v>Chairperson Welcome and Intro to Panel</v>
      </c>
      <c r="D10" s="171">
        <v>15</v>
      </c>
      <c r="E10" s="171">
        <v>0</v>
      </c>
      <c r="F10" s="174">
        <f t="shared" si="4"/>
        <v>0.4236111111111111</v>
      </c>
      <c r="G10" s="173">
        <f t="shared" si="0"/>
        <v>0.43402777777777779</v>
      </c>
      <c r="H10" s="104">
        <v>42780</v>
      </c>
      <c r="I10" s="169" t="s">
        <v>581</v>
      </c>
      <c r="J10" s="247" t="s">
        <v>588</v>
      </c>
      <c r="K10" s="144" t="s">
        <v>560</v>
      </c>
      <c r="L10" s="144" t="s">
        <v>560</v>
      </c>
      <c r="M10" s="247" t="s">
        <v>572</v>
      </c>
      <c r="N10" s="247" t="s">
        <v>589</v>
      </c>
      <c r="O10" s="247" t="e">
        <f>INDEX(#REF!, MATCH($N10,#REF!, 0))</f>
        <v>#REF!</v>
      </c>
      <c r="P10" s="281" t="str">
        <f t="shared" si="2"/>
        <v>Stu Webster</v>
      </c>
      <c r="Q10" s="223" t="e">
        <f>O10</f>
        <v>#REF!</v>
      </c>
      <c r="R10" s="223" t="str">
        <f t="shared" si="3"/>
        <v>Chair</v>
      </c>
      <c r="S10" s="235"/>
      <c r="T10" s="223"/>
      <c r="U10" s="223"/>
      <c r="V10" s="223"/>
      <c r="W10" s="223"/>
      <c r="X10" s="223"/>
      <c r="Y10" s="223"/>
      <c r="Z10" s="223"/>
      <c r="AA10" s="223"/>
      <c r="AB10" s="158"/>
      <c r="AC10" s="158"/>
      <c r="AD10" s="158"/>
      <c r="AE10" s="158"/>
      <c r="AF10" s="158"/>
      <c r="AG10" s="223"/>
      <c r="AH10" s="223"/>
      <c r="AI10" s="223"/>
      <c r="AJ10" s="223"/>
      <c r="AK10" s="223"/>
      <c r="AL10" s="223"/>
      <c r="AM10" s="223"/>
      <c r="AN10" s="223"/>
      <c r="AO10" s="223"/>
      <c r="AP10" s="223"/>
      <c r="AQ10" s="223"/>
      <c r="AR10" s="223"/>
      <c r="AS10" s="223"/>
      <c r="AT10" s="223"/>
      <c r="AU10" s="223"/>
      <c r="AV10" s="223"/>
      <c r="AW10" s="223"/>
      <c r="AX10" s="223"/>
      <c r="AY10" s="223"/>
      <c r="AZ10" s="223"/>
      <c r="BA10" s="223"/>
      <c r="BB10" s="223"/>
      <c r="BC10" s="223"/>
      <c r="BD10" s="223"/>
      <c r="BE10" s="223"/>
      <c r="BF10" s="230" t="str">
        <f>IF(ISERROR(MATCH(N10,#REF!, 0)), "",  INDEX(#REF!, MATCH(N10,#REF!, 0)))</f>
        <v/>
      </c>
      <c r="BG10" s="223"/>
      <c r="BH10" s="223"/>
      <c r="BI10" s="223"/>
      <c r="BJ10" s="223"/>
      <c r="BK10" s="223"/>
      <c r="BL10" s="223"/>
      <c r="BM10" s="223"/>
      <c r="BN10" s="223"/>
      <c r="BO10" s="223"/>
      <c r="BP10" s="223"/>
      <c r="BQ10" s="167" t="s">
        <v>636</v>
      </c>
    </row>
    <row r="11" spans="1:76" s="167" customFormat="1" ht="16.5" thickTop="1" thickBot="1" x14ac:dyDescent="0.3">
      <c r="A11" s="240" t="s">
        <v>690</v>
      </c>
      <c r="B11" s="138" t="s">
        <v>637</v>
      </c>
      <c r="C11" s="139" t="str">
        <f t="shared" si="1"/>
        <v>Overview of Analysis and Modeling</v>
      </c>
      <c r="D11" s="171">
        <v>10</v>
      </c>
      <c r="E11" s="171">
        <v>5</v>
      </c>
      <c r="F11" s="174">
        <f t="shared" si="4"/>
        <v>0.43402777777777779</v>
      </c>
      <c r="G11" s="173">
        <f t="shared" si="0"/>
        <v>0.44444444444444442</v>
      </c>
      <c r="H11" s="104">
        <v>42780</v>
      </c>
      <c r="I11" s="169" t="s">
        <v>581</v>
      </c>
      <c r="J11" s="123" t="s">
        <v>588</v>
      </c>
      <c r="K11" s="143" t="s">
        <v>638</v>
      </c>
      <c r="L11" s="143" t="s">
        <v>560</v>
      </c>
      <c r="M11" s="123" t="s">
        <v>516</v>
      </c>
      <c r="N11" s="123" t="s">
        <v>455</v>
      </c>
      <c r="O11" s="123" t="e">
        <f>INDEX(#REF!, MATCH($N11,#REF!, 0))</f>
        <v>#REF!</v>
      </c>
      <c r="P11" s="124" t="str">
        <f t="shared" si="2"/>
        <v>Patrick Gilman</v>
      </c>
      <c r="Q11" s="223" t="e">
        <f t="shared" ref="Q11:Q74" si="5">O11</f>
        <v>#REF!</v>
      </c>
      <c r="R11" s="223" t="str">
        <f t="shared" ref="R11:R74" si="6">M11</f>
        <v>DOE</v>
      </c>
      <c r="S11" s="235"/>
      <c r="T11" s="223"/>
      <c r="U11" s="223"/>
      <c r="V11" s="223"/>
      <c r="W11" s="223"/>
      <c r="X11" s="223"/>
      <c r="Y11" s="223"/>
      <c r="Z11" s="223"/>
      <c r="AA11" s="223"/>
      <c r="AB11" s="158"/>
      <c r="AC11" s="158"/>
      <c r="AD11" s="158"/>
      <c r="AE11" s="158"/>
      <c r="AF11" s="158"/>
      <c r="AG11" s="223"/>
      <c r="AH11" s="223"/>
      <c r="AI11" s="223"/>
      <c r="AJ11" s="223"/>
      <c r="AK11" s="223"/>
      <c r="AL11" s="223"/>
      <c r="AM11" s="223"/>
      <c r="AN11" s="223" t="str">
        <f>"program\"&amp;$A11&amp;"_pres1.pdf"</f>
        <v>program\WPG16004_pres1.pdf</v>
      </c>
      <c r="AO11" s="223"/>
      <c r="AP11" s="223"/>
      <c r="AQ11" s="223"/>
      <c r="AR11" s="223"/>
      <c r="AS11" s="223"/>
      <c r="AT11" s="223"/>
      <c r="AU11" s="223"/>
      <c r="AV11" s="223"/>
      <c r="AW11" s="223"/>
      <c r="AX11" s="223"/>
      <c r="AY11" s="223"/>
      <c r="AZ11" s="223"/>
      <c r="BA11" s="223"/>
      <c r="BB11" s="223"/>
      <c r="BC11" s="223"/>
      <c r="BD11" s="223"/>
      <c r="BE11" s="223"/>
      <c r="BF11" s="230" t="str">
        <f>IF(ISERROR(MATCH(N11,#REF!, 0)), "",  INDEX(#REF!, MATCH(N11,#REF!, 0)))</f>
        <v/>
      </c>
      <c r="BG11" s="223"/>
      <c r="BH11" s="223"/>
      <c r="BI11" s="223"/>
      <c r="BJ11" s="223"/>
      <c r="BK11" s="223"/>
      <c r="BL11" s="223"/>
      <c r="BM11" s="223"/>
      <c r="BN11" s="223"/>
      <c r="BO11" s="223"/>
      <c r="BP11" s="223"/>
      <c r="BQ11" s="167" t="s">
        <v>636</v>
      </c>
    </row>
    <row r="12" spans="1:76" s="167" customFormat="1" ht="15.75" thickBot="1" x14ac:dyDescent="0.3">
      <c r="A12" s="240">
        <v>126</v>
      </c>
      <c r="B12" s="142" t="s">
        <v>700</v>
      </c>
      <c r="C12" s="142" t="str">
        <f t="shared" si="1"/>
        <v>Cost of Energy, Policy Impact Analysis, and Market Report</v>
      </c>
      <c r="D12" s="171">
        <v>15</v>
      </c>
      <c r="E12" s="171">
        <v>10</v>
      </c>
      <c r="F12" s="174">
        <f t="shared" si="4"/>
        <v>0.44444444444444442</v>
      </c>
      <c r="G12" s="173">
        <f t="shared" si="0"/>
        <v>0.46180555555555552</v>
      </c>
      <c r="H12" s="104">
        <v>42780</v>
      </c>
      <c r="I12" s="169" t="s">
        <v>581</v>
      </c>
      <c r="J12" s="247" t="s">
        <v>588</v>
      </c>
      <c r="K12" s="163" t="s">
        <v>638</v>
      </c>
      <c r="L12" s="163" t="s">
        <v>560</v>
      </c>
      <c r="M12" s="247" t="s">
        <v>557</v>
      </c>
      <c r="N12" s="247" t="s">
        <v>626</v>
      </c>
      <c r="O12" s="247" t="e">
        <f>INDEX(#REF!, MATCH($N12,#REF!, 0))</f>
        <v>#REF!</v>
      </c>
      <c r="P12" s="231" t="str">
        <f t="shared" si="2"/>
        <v>Ryan Wiser</v>
      </c>
      <c r="Q12" s="223" t="e">
        <f t="shared" si="5"/>
        <v>#REF!</v>
      </c>
      <c r="R12" s="223" t="str">
        <f t="shared" si="6"/>
        <v>LBNL</v>
      </c>
      <c r="S12" s="235"/>
      <c r="T12" s="223"/>
      <c r="U12" s="223"/>
      <c r="V12" s="223"/>
      <c r="W12" s="223"/>
      <c r="X12" s="223"/>
      <c r="Y12" s="223"/>
      <c r="Z12" s="223"/>
      <c r="AA12" s="223"/>
      <c r="AB12" s="158"/>
      <c r="AC12" s="158"/>
      <c r="AD12" s="158"/>
      <c r="AE12" s="158"/>
      <c r="AF12" s="158"/>
      <c r="AG12" s="223"/>
      <c r="AH12" s="223"/>
      <c r="AI12" s="223"/>
      <c r="AJ12" s="223"/>
      <c r="AK12" s="223"/>
      <c r="AL12" s="223"/>
      <c r="AM12" s="223" t="str">
        <f>"projects\"&amp;$A12&amp;"_sum1.pdf"</f>
        <v>projects\126_sum1.pdf</v>
      </c>
      <c r="AN12" s="223" t="str">
        <f>"projects\"&amp;$A12&amp;"_pres1.pdf"</f>
        <v>projects\126_pres1.pdf</v>
      </c>
      <c r="AO12" s="223"/>
      <c r="AP12" s="223"/>
      <c r="AQ12" s="223"/>
      <c r="AR12" s="223"/>
      <c r="AS12" s="223"/>
      <c r="AT12" s="223"/>
      <c r="AU12" s="223"/>
      <c r="AV12" s="223"/>
      <c r="AW12" s="223"/>
      <c r="AX12" s="223"/>
      <c r="AY12" s="223"/>
      <c r="AZ12" s="223"/>
      <c r="BA12" s="223"/>
      <c r="BB12" s="223"/>
      <c r="BC12" s="223"/>
      <c r="BD12" s="223"/>
      <c r="BE12" s="223"/>
      <c r="BF12" s="230" t="str">
        <f>IF(ISERROR(MATCH(N12,#REF!, 0)), "",  INDEX(#REF!, MATCH(N12,#REF!, 0)))</f>
        <v/>
      </c>
      <c r="BG12" s="283" t="s">
        <v>699</v>
      </c>
      <c r="BH12" s="102" t="s">
        <v>757</v>
      </c>
      <c r="BI12" s="102" t="s">
        <v>758</v>
      </c>
      <c r="BJ12" s="102" t="s">
        <v>759</v>
      </c>
      <c r="BK12" s="102" t="s">
        <v>761</v>
      </c>
      <c r="BL12" s="102" t="s">
        <v>762</v>
      </c>
      <c r="BM12" s="191" t="s">
        <v>763</v>
      </c>
      <c r="BN12" s="167" t="s">
        <v>760</v>
      </c>
      <c r="BO12" s="102" t="s">
        <v>764</v>
      </c>
      <c r="BP12" s="102" t="s">
        <v>765</v>
      </c>
      <c r="BQ12" s="167" t="s">
        <v>636</v>
      </c>
      <c r="BX12"/>
    </row>
    <row r="13" spans="1:76" s="167" customFormat="1" ht="16.5" thickTop="1" thickBot="1" x14ac:dyDescent="0.3">
      <c r="A13" s="240" t="s">
        <v>691</v>
      </c>
      <c r="B13" s="138" t="s">
        <v>639</v>
      </c>
      <c r="C13" s="139" t="str">
        <f t="shared" si="1"/>
        <v>Overview of Stakeholder Engagement</v>
      </c>
      <c r="D13" s="171">
        <v>10</v>
      </c>
      <c r="E13" s="171">
        <v>5</v>
      </c>
      <c r="F13" s="174">
        <f t="shared" si="4"/>
        <v>0.46180555555555552</v>
      </c>
      <c r="G13" s="173">
        <f t="shared" si="0"/>
        <v>0.47222222222222215</v>
      </c>
      <c r="H13" s="104">
        <v>42780</v>
      </c>
      <c r="I13" s="169" t="s">
        <v>581</v>
      </c>
      <c r="J13" s="123" t="s">
        <v>588</v>
      </c>
      <c r="K13" s="143" t="s">
        <v>640</v>
      </c>
      <c r="L13" s="143" t="s">
        <v>560</v>
      </c>
      <c r="M13" s="123" t="s">
        <v>516</v>
      </c>
      <c r="N13" s="123" t="s">
        <v>452</v>
      </c>
      <c r="O13" s="123" t="e">
        <f>INDEX(#REF!, MATCH($N13,#REF!, 0))</f>
        <v>#REF!</v>
      </c>
      <c r="P13" s="124" t="str">
        <f t="shared" si="2"/>
        <v>Jocelyn Brown-Saracino</v>
      </c>
      <c r="Q13" s="223" t="e">
        <f t="shared" si="5"/>
        <v>#REF!</v>
      </c>
      <c r="R13" s="223" t="str">
        <f t="shared" si="6"/>
        <v>DOE</v>
      </c>
      <c r="S13" s="235"/>
      <c r="T13" s="223"/>
      <c r="U13" s="223"/>
      <c r="V13" s="223"/>
      <c r="W13" s="223"/>
      <c r="X13" s="223"/>
      <c r="Y13" s="223"/>
      <c r="Z13" s="223"/>
      <c r="AA13" s="223"/>
      <c r="AB13" s="223"/>
      <c r="AC13" s="223"/>
      <c r="AD13" s="223"/>
      <c r="AE13" s="223"/>
      <c r="AF13" s="223"/>
      <c r="AG13" s="223"/>
      <c r="AH13" s="223"/>
      <c r="AI13" s="223"/>
      <c r="AJ13" s="223"/>
      <c r="AK13" s="223"/>
      <c r="AL13" s="223"/>
      <c r="AM13" s="223"/>
      <c r="AN13" s="223" t="str">
        <f>"program\"&amp;$A13&amp;"_pres1.pdf"</f>
        <v>program\WPG16005_pres1.pdf</v>
      </c>
      <c r="AO13" s="223"/>
      <c r="AP13" s="223"/>
      <c r="AQ13" s="223"/>
      <c r="AR13" s="223"/>
      <c r="AS13" s="223"/>
      <c r="AT13" s="223"/>
      <c r="AU13" s="223"/>
      <c r="AV13" s="223"/>
      <c r="AW13" s="223"/>
      <c r="AX13" s="223"/>
      <c r="AY13" s="223"/>
      <c r="AZ13" s="223"/>
      <c r="BA13" s="223"/>
      <c r="BB13" s="223"/>
      <c r="BC13" s="223"/>
      <c r="BD13" s="223"/>
      <c r="BE13" s="223"/>
      <c r="BF13" s="230" t="str">
        <f>IF(ISERROR(MATCH(N13,#REF!, 0)), "",  INDEX(#REF!, MATCH(N13,#REF!, 0)))</f>
        <v/>
      </c>
      <c r="BG13" s="223"/>
      <c r="BH13" s="223"/>
      <c r="BI13" s="223"/>
      <c r="BJ13" s="223"/>
      <c r="BK13" s="223"/>
      <c r="BL13" s="223"/>
      <c r="BM13" s="223"/>
      <c r="BN13" s="223"/>
      <c r="BO13" s="223"/>
      <c r="BP13" s="223"/>
      <c r="BQ13" s="167" t="s">
        <v>636</v>
      </c>
      <c r="BX13"/>
    </row>
    <row r="14" spans="1:76" s="167" customFormat="1" ht="15" x14ac:dyDescent="0.25">
      <c r="A14" s="240">
        <v>127</v>
      </c>
      <c r="B14" s="142" t="s">
        <v>701</v>
      </c>
      <c r="C14" s="142" t="str">
        <f t="shared" si="1"/>
        <v>Public Acceptance Baseline Analysis</v>
      </c>
      <c r="D14" s="171">
        <v>15</v>
      </c>
      <c r="E14" s="171">
        <v>10</v>
      </c>
      <c r="F14" s="174">
        <f t="shared" si="4"/>
        <v>0.47222222222222215</v>
      </c>
      <c r="G14" s="173">
        <f t="shared" si="0"/>
        <v>0.48958333333333326</v>
      </c>
      <c r="H14" s="104">
        <v>42780</v>
      </c>
      <c r="I14" s="169" t="s">
        <v>581</v>
      </c>
      <c r="J14" s="247" t="s">
        <v>588</v>
      </c>
      <c r="K14" s="163" t="s">
        <v>640</v>
      </c>
      <c r="L14" s="163" t="s">
        <v>560</v>
      </c>
      <c r="M14" s="247" t="s">
        <v>557</v>
      </c>
      <c r="N14" s="247" t="s">
        <v>593</v>
      </c>
      <c r="O14" s="247" t="e">
        <f>INDEX(#REF!, MATCH($N14,#REF!, 0))</f>
        <v>#REF!</v>
      </c>
      <c r="P14" s="231" t="str">
        <f t="shared" si="2"/>
        <v>Ben Hoen</v>
      </c>
      <c r="Q14" s="223" t="e">
        <f t="shared" si="5"/>
        <v>#REF!</v>
      </c>
      <c r="R14" s="223" t="str">
        <f t="shared" si="6"/>
        <v>LBNL</v>
      </c>
      <c r="S14" s="235"/>
      <c r="T14" s="223"/>
      <c r="U14" s="223"/>
      <c r="V14" s="223"/>
      <c r="W14" s="223"/>
      <c r="X14" s="223"/>
      <c r="Y14" s="223"/>
      <c r="Z14" s="223"/>
      <c r="AA14" s="223"/>
      <c r="AB14" s="223"/>
      <c r="AC14" s="223"/>
      <c r="AD14" s="223"/>
      <c r="AE14" s="223"/>
      <c r="AF14" s="223"/>
      <c r="AG14" s="223"/>
      <c r="AH14" s="223"/>
      <c r="AI14" s="223"/>
      <c r="AJ14" s="223"/>
      <c r="AK14" s="223"/>
      <c r="AL14" s="223"/>
      <c r="AM14" s="223" t="str">
        <f>"projects\"&amp;$A14&amp;"_sum1.pdf"</f>
        <v>projects\127_sum1.pdf</v>
      </c>
      <c r="AN14" s="223" t="str">
        <f>"projects\"&amp;$A14&amp;"_pres1.pdf"</f>
        <v>projects\127_pres1.pdf</v>
      </c>
      <c r="AO14" s="223"/>
      <c r="AP14" s="223"/>
      <c r="AQ14" s="223"/>
      <c r="AR14" s="223"/>
      <c r="AS14" s="223"/>
      <c r="AT14" s="223"/>
      <c r="AU14" s="223"/>
      <c r="AV14" s="223"/>
      <c r="AW14" s="223"/>
      <c r="AX14" s="223"/>
      <c r="AY14" s="223"/>
      <c r="AZ14" s="223"/>
      <c r="BA14" s="223"/>
      <c r="BB14" s="223"/>
      <c r="BC14" s="223"/>
      <c r="BD14" s="223"/>
      <c r="BE14" s="223"/>
      <c r="BF14" s="230" t="str">
        <f>IF(ISERROR(MATCH(N14,#REF!, 0)), "",  INDEX(#REF!, MATCH(N14,#REF!, 0)))</f>
        <v/>
      </c>
      <c r="BG14" s="223"/>
      <c r="BH14" s="223"/>
      <c r="BI14" s="223"/>
      <c r="BJ14" s="223"/>
      <c r="BK14" s="223"/>
      <c r="BL14" s="223"/>
      <c r="BM14" s="223"/>
      <c r="BN14" s="223"/>
      <c r="BO14" s="223"/>
      <c r="BP14" s="223"/>
      <c r="BQ14" s="167" t="s">
        <v>636</v>
      </c>
      <c r="BX14"/>
    </row>
    <row r="15" spans="1:76" s="167" customFormat="1" ht="15" x14ac:dyDescent="0.25">
      <c r="A15" s="240">
        <v>138</v>
      </c>
      <c r="B15" s="142" t="s">
        <v>702</v>
      </c>
      <c r="C15" s="142" t="str">
        <f t="shared" si="1"/>
        <v>WindExchange and Regional Resource Centers</v>
      </c>
      <c r="D15" s="171">
        <v>20</v>
      </c>
      <c r="E15" s="171">
        <v>10</v>
      </c>
      <c r="F15" s="174">
        <f t="shared" si="4"/>
        <v>0.48958333333333326</v>
      </c>
      <c r="G15" s="173">
        <f t="shared" si="0"/>
        <v>0.51041666666666652</v>
      </c>
      <c r="H15" s="104">
        <v>42780</v>
      </c>
      <c r="I15" s="169" t="s">
        <v>581</v>
      </c>
      <c r="J15" s="247" t="s">
        <v>588</v>
      </c>
      <c r="K15" s="163" t="s">
        <v>640</v>
      </c>
      <c r="L15" s="163" t="s">
        <v>560</v>
      </c>
      <c r="M15" s="247" t="s">
        <v>519</v>
      </c>
      <c r="N15" s="247" t="s">
        <v>552</v>
      </c>
      <c r="O15" s="247" t="e">
        <f>INDEX(#REF!, MATCH($N15,#REF!, 0))</f>
        <v>#REF!</v>
      </c>
      <c r="P15" s="231" t="str">
        <f t="shared" si="2"/>
        <v>Ian Baring-Gould</v>
      </c>
      <c r="Q15" s="223" t="e">
        <f t="shared" si="5"/>
        <v>#REF!</v>
      </c>
      <c r="R15" s="223" t="str">
        <f t="shared" si="6"/>
        <v>NREL</v>
      </c>
      <c r="S15" s="235"/>
      <c r="T15" s="223"/>
      <c r="U15" s="223"/>
      <c r="V15" s="223"/>
      <c r="W15" s="223"/>
      <c r="X15" s="223"/>
      <c r="Y15" s="223"/>
      <c r="Z15" s="223"/>
      <c r="AA15" s="223"/>
      <c r="AB15" s="223"/>
      <c r="AC15" s="223"/>
      <c r="AD15" s="223"/>
      <c r="AE15" s="223"/>
      <c r="AF15" s="223"/>
      <c r="AG15" s="223"/>
      <c r="AH15" s="223"/>
      <c r="AI15" s="223"/>
      <c r="AJ15" s="223"/>
      <c r="AK15" s="223"/>
      <c r="AL15" s="223"/>
      <c r="AM15" s="223" t="str">
        <f>"projects\"&amp;$A15&amp;"_sum1.pdf"</f>
        <v>projects\138_sum1.pdf</v>
      </c>
      <c r="AN15" s="223" t="str">
        <f>"projects\"&amp;$A15&amp;"_pres1.pdf"</f>
        <v>projects\138_pres1.pdf</v>
      </c>
      <c r="AO15" s="223"/>
      <c r="AP15" s="223"/>
      <c r="AQ15" s="223"/>
      <c r="AR15" s="223"/>
      <c r="AS15" s="223"/>
      <c r="AT15" s="223"/>
      <c r="AU15" s="223"/>
      <c r="AV15" s="223"/>
      <c r="AW15" s="223"/>
      <c r="AX15" s="223"/>
      <c r="AY15" s="223"/>
      <c r="AZ15" s="223"/>
      <c r="BA15" s="223"/>
      <c r="BB15" s="223"/>
      <c r="BC15" s="223"/>
      <c r="BD15" s="223"/>
      <c r="BE15" s="223"/>
      <c r="BF15" s="230" t="str">
        <f>IF(ISERROR(MATCH(N15,#REF!, 0)), "",  INDEX(#REF!, MATCH(N15,#REF!, 0)))</f>
        <v/>
      </c>
      <c r="BG15" s="223"/>
      <c r="BH15" s="223"/>
      <c r="BI15" s="223"/>
      <c r="BJ15" s="223"/>
      <c r="BK15" s="223"/>
      <c r="BL15" s="223"/>
      <c r="BM15" s="223"/>
      <c r="BN15" s="223"/>
      <c r="BO15" s="223"/>
      <c r="BP15" s="223"/>
      <c r="BQ15" s="167" t="s">
        <v>636</v>
      </c>
      <c r="BX15"/>
    </row>
    <row r="16" spans="1:76" s="167" customFormat="1" ht="15.75" thickBot="1" x14ac:dyDescent="0.3">
      <c r="A16" s="240" t="s">
        <v>558</v>
      </c>
      <c r="B16" s="232" t="s">
        <v>579</v>
      </c>
      <c r="C16" s="179" t="str">
        <f t="shared" si="1"/>
        <v>Reviewer Note Taking Time</v>
      </c>
      <c r="D16" s="180">
        <v>15</v>
      </c>
      <c r="E16" s="181">
        <v>0</v>
      </c>
      <c r="F16" s="182">
        <f t="shared" si="4"/>
        <v>0.51041666666666652</v>
      </c>
      <c r="G16" s="183">
        <f t="shared" si="0"/>
        <v>0.52083333333333315</v>
      </c>
      <c r="H16" s="104">
        <v>42780</v>
      </c>
      <c r="I16" s="169" t="s">
        <v>560</v>
      </c>
      <c r="J16" s="184" t="s">
        <v>588</v>
      </c>
      <c r="K16" s="179" t="s">
        <v>640</v>
      </c>
      <c r="L16" s="179" t="s">
        <v>560</v>
      </c>
      <c r="M16" s="184" t="s">
        <v>560</v>
      </c>
      <c r="N16" s="184" t="s">
        <v>560</v>
      </c>
      <c r="O16" s="184" t="e">
        <f>INDEX(#REF!, MATCH($N16,#REF!, 0))</f>
        <v>#REF!</v>
      </c>
      <c r="P16" s="232" t="str">
        <f t="shared" si="2"/>
        <v>NULL</v>
      </c>
      <c r="Q16" s="223" t="e">
        <f t="shared" si="5"/>
        <v>#REF!</v>
      </c>
      <c r="R16" s="223" t="str">
        <f t="shared" si="6"/>
        <v>NULL</v>
      </c>
      <c r="S16" s="235"/>
      <c r="T16" s="223"/>
      <c r="U16" s="223"/>
      <c r="V16" s="223"/>
      <c r="W16" s="223"/>
      <c r="X16" s="223"/>
      <c r="Y16" s="223"/>
      <c r="Z16" s="223"/>
      <c r="AA16" s="223"/>
      <c r="AB16" s="223"/>
      <c r="AC16" s="223"/>
      <c r="AD16" s="223"/>
      <c r="AE16" s="223"/>
      <c r="AF16" s="223"/>
      <c r="AG16" s="223"/>
      <c r="AH16" s="223"/>
      <c r="AI16" s="223"/>
      <c r="AJ16" s="223"/>
      <c r="AK16" s="223"/>
      <c r="AL16" s="223"/>
      <c r="AM16" s="223"/>
      <c r="AN16" s="223"/>
      <c r="AO16" s="223"/>
      <c r="AP16" s="223"/>
      <c r="AQ16" s="223"/>
      <c r="AR16" s="223"/>
      <c r="AS16" s="223"/>
      <c r="AT16" s="223"/>
      <c r="AU16" s="223"/>
      <c r="AV16" s="223"/>
      <c r="AW16" s="223"/>
      <c r="AX16" s="223"/>
      <c r="AY16" s="223"/>
      <c r="AZ16" s="223"/>
      <c r="BA16" s="223"/>
      <c r="BB16" s="223"/>
      <c r="BC16" s="223"/>
      <c r="BD16" s="223"/>
      <c r="BE16" s="223"/>
      <c r="BF16" s="230" t="str">
        <f>IF(ISERROR(MATCH(N16,#REF!, 0)), "",  INDEX(#REF!, MATCH(N16,#REF!, 0)))</f>
        <v/>
      </c>
      <c r="BG16" s="223"/>
      <c r="BH16" s="223"/>
      <c r="BI16" s="223"/>
      <c r="BJ16" s="223"/>
      <c r="BK16" s="223"/>
      <c r="BL16" s="223"/>
      <c r="BM16" s="223"/>
      <c r="BN16" s="223"/>
      <c r="BO16" s="223"/>
      <c r="BP16" s="223"/>
      <c r="BQ16" s="167" t="s">
        <v>636</v>
      </c>
      <c r="BX16"/>
    </row>
    <row r="17" spans="1:76" s="191" customFormat="1" ht="16.5" thickTop="1" thickBot="1" x14ac:dyDescent="0.3">
      <c r="A17" s="239" t="s">
        <v>558</v>
      </c>
      <c r="B17" s="185" t="s">
        <v>521</v>
      </c>
      <c r="C17" s="185" t="str">
        <f t="shared" si="1"/>
        <v>LUNCH</v>
      </c>
      <c r="D17" s="186">
        <v>60</v>
      </c>
      <c r="E17" s="187">
        <v>0</v>
      </c>
      <c r="F17" s="188">
        <f t="shared" si="4"/>
        <v>0.52083333333333315</v>
      </c>
      <c r="G17" s="189">
        <f t="shared" si="0"/>
        <v>0.56249999999999978</v>
      </c>
      <c r="H17" s="104">
        <v>42780</v>
      </c>
      <c r="I17" s="169" t="s">
        <v>563</v>
      </c>
      <c r="J17" s="190" t="s">
        <v>588</v>
      </c>
      <c r="K17" s="185" t="s">
        <v>640</v>
      </c>
      <c r="L17" s="185" t="s">
        <v>560</v>
      </c>
      <c r="M17" s="190" t="s">
        <v>522</v>
      </c>
      <c r="N17" s="190" t="s">
        <v>522</v>
      </c>
      <c r="O17" s="190" t="e">
        <f>INDEX(#REF!, MATCH($N17,#REF!, 0))</f>
        <v>#REF!</v>
      </c>
      <c r="P17" s="391" t="s">
        <v>784</v>
      </c>
      <c r="Q17" s="223" t="e">
        <f t="shared" si="5"/>
        <v>#REF!</v>
      </c>
      <c r="R17" s="223" t="str">
        <f t="shared" si="6"/>
        <v>tbd</v>
      </c>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6"/>
      <c r="BF17" s="230" t="str">
        <f>IF(ISERROR(MATCH(N17,#REF!, 0)), "",  INDEX(#REF!, MATCH(N17,#REF!, 0)))</f>
        <v/>
      </c>
      <c r="BG17" s="236"/>
      <c r="BH17" s="236"/>
      <c r="BI17" s="236"/>
      <c r="BJ17" s="236"/>
      <c r="BK17" s="236"/>
      <c r="BL17" s="236"/>
      <c r="BM17" s="236"/>
      <c r="BN17" s="236"/>
      <c r="BO17" s="236"/>
      <c r="BP17" s="236"/>
      <c r="BQ17" s="167" t="s">
        <v>636</v>
      </c>
      <c r="BX17"/>
    </row>
    <row r="18" spans="1:76" s="167" customFormat="1" ht="15.5" thickTop="1" thickBot="1" x14ac:dyDescent="0.4">
      <c r="A18" s="240" t="s">
        <v>576</v>
      </c>
      <c r="B18" s="192" t="s">
        <v>641</v>
      </c>
      <c r="C18" s="139" t="str">
        <f t="shared" si="1"/>
        <v>Recap – Stakeholder Engagement</v>
      </c>
      <c r="D18" s="193">
        <v>5</v>
      </c>
      <c r="E18" s="171">
        <v>0</v>
      </c>
      <c r="F18" s="194">
        <f t="shared" si="4"/>
        <v>0.56249999999999978</v>
      </c>
      <c r="G18" s="195">
        <f t="shared" si="0"/>
        <v>0.56597222222222199</v>
      </c>
      <c r="H18" s="104">
        <v>42780</v>
      </c>
      <c r="I18" s="169" t="s">
        <v>581</v>
      </c>
      <c r="J18" s="123" t="s">
        <v>588</v>
      </c>
      <c r="K18" s="196" t="s">
        <v>640</v>
      </c>
      <c r="L18" s="196" t="s">
        <v>560</v>
      </c>
      <c r="M18" s="123" t="s">
        <v>516</v>
      </c>
      <c r="N18" s="123" t="s">
        <v>452</v>
      </c>
      <c r="O18" s="197" t="e">
        <f>INDEX(#REF!, MATCH($N18,#REF!, 0))</f>
        <v>#REF!</v>
      </c>
      <c r="P18" s="282" t="str">
        <f t="shared" si="2"/>
        <v>Jocelyn Brown-Saracino</v>
      </c>
      <c r="Q18" s="223" t="e">
        <f t="shared" si="5"/>
        <v>#REF!</v>
      </c>
      <c r="R18" s="223" t="str">
        <f t="shared" si="6"/>
        <v>DOE</v>
      </c>
      <c r="S18" s="235"/>
      <c r="T18" s="223"/>
      <c r="U18" s="223"/>
      <c r="V18" s="223"/>
      <c r="W18" s="223"/>
      <c r="X18" s="223"/>
      <c r="Y18" s="223"/>
      <c r="Z18" s="223"/>
      <c r="AA18" s="223"/>
      <c r="AB18" s="223"/>
      <c r="AC18" s="223"/>
      <c r="AD18" s="223"/>
      <c r="AE18" s="223"/>
      <c r="AF18" s="223"/>
      <c r="AG18" s="223"/>
      <c r="AH18" s="223"/>
      <c r="AI18" s="223"/>
      <c r="AJ18" s="223"/>
      <c r="AK18" s="223"/>
      <c r="AL18" s="223"/>
      <c r="AM18" s="223"/>
      <c r="AN18" s="223"/>
      <c r="AO18" s="223"/>
      <c r="AP18" s="223"/>
      <c r="AQ18" s="223"/>
      <c r="AR18" s="223"/>
      <c r="AS18" s="223"/>
      <c r="AT18" s="223"/>
      <c r="AU18" s="223"/>
      <c r="AV18" s="223"/>
      <c r="AW18" s="223"/>
      <c r="AX18" s="223"/>
      <c r="AY18" s="223"/>
      <c r="AZ18" s="223"/>
      <c r="BA18" s="223"/>
      <c r="BB18" s="223"/>
      <c r="BC18" s="223"/>
      <c r="BD18" s="223"/>
      <c r="BE18" s="223"/>
      <c r="BF18" s="230" t="str">
        <f>IF(ISERROR(MATCH(N18,#REF!, 0)), "",  INDEX(#REF!, MATCH(N18,#REF!, 0)))</f>
        <v/>
      </c>
      <c r="BG18" s="223"/>
      <c r="BH18" s="223"/>
      <c r="BI18" s="223"/>
      <c r="BJ18" s="223"/>
      <c r="BK18" s="223"/>
      <c r="BL18" s="223"/>
      <c r="BM18" s="223"/>
      <c r="BN18" s="223"/>
      <c r="BO18" s="223"/>
      <c r="BP18" s="223"/>
      <c r="BQ18" s="167" t="s">
        <v>636</v>
      </c>
      <c r="BX18"/>
    </row>
    <row r="19" spans="1:76" s="167" customFormat="1" ht="15" x14ac:dyDescent="0.25">
      <c r="A19" s="240">
        <v>139</v>
      </c>
      <c r="B19" s="142" t="s">
        <v>703</v>
      </c>
      <c r="C19" s="142" t="str">
        <f t="shared" si="1"/>
        <v>Collegiate Wind Competition (CWC)</v>
      </c>
      <c r="D19" s="171">
        <v>15</v>
      </c>
      <c r="E19" s="171">
        <v>10</v>
      </c>
      <c r="F19" s="174">
        <f t="shared" si="4"/>
        <v>0.56597222222222199</v>
      </c>
      <c r="G19" s="173">
        <f t="shared" si="0"/>
        <v>0.58333333333333304</v>
      </c>
      <c r="H19" s="104">
        <v>42780</v>
      </c>
      <c r="I19" s="169" t="s">
        <v>581</v>
      </c>
      <c r="J19" s="247" t="s">
        <v>588</v>
      </c>
      <c r="K19" s="163" t="s">
        <v>640</v>
      </c>
      <c r="L19" s="163" t="s">
        <v>560</v>
      </c>
      <c r="M19" s="247" t="s">
        <v>519</v>
      </c>
      <c r="N19" s="247" t="s">
        <v>602</v>
      </c>
      <c r="O19" s="247" t="e">
        <f>INDEX(#REF!, MATCH($N19,#REF!, 0))</f>
        <v>#REF!</v>
      </c>
      <c r="P19" s="392" t="s">
        <v>785</v>
      </c>
      <c r="Q19" s="223" t="e">
        <f t="shared" si="5"/>
        <v>#REF!</v>
      </c>
      <c r="R19" s="223" t="str">
        <f t="shared" si="6"/>
        <v>NREL</v>
      </c>
      <c r="S19" s="235"/>
      <c r="T19" s="223"/>
      <c r="U19" s="223"/>
      <c r="V19" s="223"/>
      <c r="W19" s="223"/>
      <c r="X19" s="223"/>
      <c r="Y19" s="223"/>
      <c r="Z19" s="223"/>
      <c r="AA19" s="223"/>
      <c r="AB19" s="223"/>
      <c r="AC19" s="223"/>
      <c r="AD19" s="223"/>
      <c r="AE19" s="223"/>
      <c r="AF19" s="223"/>
      <c r="AG19" s="223"/>
      <c r="AH19" s="223"/>
      <c r="AI19" s="223"/>
      <c r="AJ19" s="223"/>
      <c r="AK19" s="223"/>
      <c r="AL19" s="223"/>
      <c r="AM19" s="223" t="str">
        <f>"projects\"&amp;$A19&amp;"_sum1.pdf"</f>
        <v>projects\139_sum1.pdf</v>
      </c>
      <c r="AN19" s="223" t="str">
        <f>"projects\"&amp;$A19&amp;"_pres1.pdf"</f>
        <v>projects\139_pres1.pdf</v>
      </c>
      <c r="AO19" s="223"/>
      <c r="AP19" s="223"/>
      <c r="AQ19" s="223"/>
      <c r="AR19" s="223"/>
      <c r="AS19" s="223"/>
      <c r="AT19" s="223"/>
      <c r="AU19" s="223"/>
      <c r="AV19" s="223"/>
      <c r="AW19" s="223"/>
      <c r="AX19" s="223"/>
      <c r="AY19" s="223"/>
      <c r="AZ19" s="223"/>
      <c r="BA19" s="223"/>
      <c r="BB19" s="223"/>
      <c r="BC19" s="223"/>
      <c r="BD19" s="223"/>
      <c r="BE19" s="223"/>
      <c r="BF19" s="230" t="str">
        <f>IF(ISERROR(MATCH(N19,#REF!, 0)), "",  INDEX(#REF!, MATCH(N19,#REF!, 0)))</f>
        <v/>
      </c>
      <c r="BG19" s="223"/>
      <c r="BH19" s="223"/>
      <c r="BI19" s="223"/>
      <c r="BJ19" s="223"/>
      <c r="BK19" s="223"/>
      <c r="BL19" s="223"/>
      <c r="BM19" s="223"/>
      <c r="BN19" s="223"/>
      <c r="BO19" s="223"/>
      <c r="BP19" s="223"/>
      <c r="BQ19" s="167" t="s">
        <v>636</v>
      </c>
      <c r="BX19"/>
    </row>
    <row r="20" spans="1:76" s="167" customFormat="1" ht="15.75" thickBot="1" x14ac:dyDescent="0.3">
      <c r="A20" s="240">
        <v>140</v>
      </c>
      <c r="B20" s="142" t="s">
        <v>704</v>
      </c>
      <c r="C20" s="142" t="str">
        <f t="shared" si="1"/>
        <v>Wind for Schools</v>
      </c>
      <c r="D20" s="171">
        <v>15</v>
      </c>
      <c r="E20" s="171">
        <v>10</v>
      </c>
      <c r="F20" s="174">
        <f t="shared" si="4"/>
        <v>0.58333333333333304</v>
      </c>
      <c r="G20" s="173">
        <f t="shared" si="0"/>
        <v>0.60069444444444409</v>
      </c>
      <c r="H20" s="104">
        <v>42780</v>
      </c>
      <c r="I20" s="169" t="s">
        <v>581</v>
      </c>
      <c r="J20" s="247" t="s">
        <v>588</v>
      </c>
      <c r="K20" s="163" t="s">
        <v>640</v>
      </c>
      <c r="L20" s="163" t="s">
        <v>560</v>
      </c>
      <c r="M20" s="247" t="s">
        <v>519</v>
      </c>
      <c r="N20" s="247" t="s">
        <v>619</v>
      </c>
      <c r="O20" s="247" t="e">
        <f>INDEX(#REF!, MATCH($N20,#REF!, 0))</f>
        <v>#REF!</v>
      </c>
      <c r="P20" s="231" t="str">
        <f t="shared" si="2"/>
        <v>Mark Jacobson</v>
      </c>
      <c r="Q20" s="223" t="e">
        <f t="shared" si="5"/>
        <v>#REF!</v>
      </c>
      <c r="R20" s="223" t="str">
        <f t="shared" si="6"/>
        <v>NREL</v>
      </c>
      <c r="S20" s="235"/>
      <c r="T20" s="223"/>
      <c r="U20" s="223"/>
      <c r="V20" s="223"/>
      <c r="W20" s="223"/>
      <c r="X20" s="223"/>
      <c r="Y20" s="223"/>
      <c r="Z20" s="223"/>
      <c r="AA20" s="223"/>
      <c r="AB20" s="223"/>
      <c r="AC20" s="223"/>
      <c r="AD20" s="223"/>
      <c r="AE20" s="223"/>
      <c r="AF20" s="223"/>
      <c r="AG20" s="223"/>
      <c r="AH20" s="223"/>
      <c r="AI20" s="223"/>
      <c r="AJ20" s="223"/>
      <c r="AK20" s="223"/>
      <c r="AL20" s="223"/>
      <c r="AM20" s="223" t="str">
        <f>"projects\"&amp;$A20&amp;"_sum1.pdf"</f>
        <v>projects\140_sum1.pdf</v>
      </c>
      <c r="AN20" s="223" t="str">
        <f>"projects\"&amp;$A20&amp;"_pres1.pdf"</f>
        <v>projects\140_pres1.pdf</v>
      </c>
      <c r="AO20" s="223"/>
      <c r="AP20" s="223"/>
      <c r="AQ20" s="223"/>
      <c r="AR20" s="223"/>
      <c r="AS20" s="223"/>
      <c r="AT20" s="223"/>
      <c r="AU20" s="223"/>
      <c r="AV20" s="223"/>
      <c r="AW20" s="223"/>
      <c r="AX20" s="223"/>
      <c r="AY20" s="223"/>
      <c r="AZ20" s="223"/>
      <c r="BA20" s="223"/>
      <c r="BB20" s="223"/>
      <c r="BC20" s="223"/>
      <c r="BD20" s="223"/>
      <c r="BE20" s="223"/>
      <c r="BF20" s="230" t="str">
        <f>IF(ISERROR(MATCH(N20,#REF!, 0)), "",  INDEX(#REF!, MATCH(N20,#REF!, 0)))</f>
        <v/>
      </c>
      <c r="BG20" s="223"/>
      <c r="BH20" s="223"/>
      <c r="BI20" s="223"/>
      <c r="BJ20" s="223"/>
      <c r="BK20" s="223"/>
      <c r="BL20" s="223"/>
      <c r="BM20" s="223"/>
      <c r="BN20" s="223"/>
      <c r="BO20" s="223"/>
      <c r="BP20" s="223"/>
      <c r="BQ20" s="167" t="s">
        <v>636</v>
      </c>
      <c r="BX20"/>
    </row>
    <row r="21" spans="1:76" s="167" customFormat="1" ht="16.5" thickTop="1" thickBot="1" x14ac:dyDescent="0.3">
      <c r="A21" s="240" t="s">
        <v>692</v>
      </c>
      <c r="B21" s="138" t="s">
        <v>642</v>
      </c>
      <c r="C21" s="139" t="str">
        <f t="shared" si="1"/>
        <v>Overview of Grid Systems Planning and Operation</v>
      </c>
      <c r="D21" s="171">
        <v>10</v>
      </c>
      <c r="E21" s="171">
        <v>5</v>
      </c>
      <c r="F21" s="174">
        <f t="shared" si="4"/>
        <v>0.60069444444444409</v>
      </c>
      <c r="G21" s="173">
        <f t="shared" si="0"/>
        <v>0.61111111111111072</v>
      </c>
      <c r="H21" s="104">
        <v>42780</v>
      </c>
      <c r="I21" s="169" t="s">
        <v>581</v>
      </c>
      <c r="J21" s="123" t="s">
        <v>588</v>
      </c>
      <c r="K21" s="143" t="s">
        <v>538</v>
      </c>
      <c r="L21" s="143" t="s">
        <v>560</v>
      </c>
      <c r="M21" s="123" t="s">
        <v>516</v>
      </c>
      <c r="N21" s="123" t="s">
        <v>451</v>
      </c>
      <c r="O21" s="123" t="e">
        <f>INDEX(#REF!, MATCH($N21,#REF!, 0))</f>
        <v>#REF!</v>
      </c>
      <c r="P21" s="124" t="str">
        <f t="shared" si="2"/>
        <v>Charlton Clark</v>
      </c>
      <c r="Q21" s="223" t="e">
        <f t="shared" si="5"/>
        <v>#REF!</v>
      </c>
      <c r="R21" s="223" t="str">
        <f t="shared" si="6"/>
        <v>DOE</v>
      </c>
      <c r="S21" s="235"/>
      <c r="T21" s="223"/>
      <c r="U21" s="223"/>
      <c r="V21" s="223"/>
      <c r="W21" s="223"/>
      <c r="X21" s="223"/>
      <c r="Y21" s="223"/>
      <c r="Z21" s="223"/>
      <c r="AA21" s="223"/>
      <c r="AB21" s="223"/>
      <c r="AC21" s="223"/>
      <c r="AD21" s="223"/>
      <c r="AE21" s="223"/>
      <c r="AF21" s="223"/>
      <c r="AG21" s="223"/>
      <c r="AH21" s="223"/>
      <c r="AI21" s="223"/>
      <c r="AJ21" s="223"/>
      <c r="AK21" s="223"/>
      <c r="AL21" s="223"/>
      <c r="AM21" s="223"/>
      <c r="AN21" s="223" t="str">
        <f>"program\"&amp;$A21&amp;"_pres1.pdf"</f>
        <v>program\WPG16006_pres1.pdf</v>
      </c>
      <c r="AO21" s="223"/>
      <c r="AP21" s="223"/>
      <c r="AQ21" s="223"/>
      <c r="AR21" s="223"/>
      <c r="AS21" s="223"/>
      <c r="AT21" s="223"/>
      <c r="AU21" s="223"/>
      <c r="AV21" s="223"/>
      <c r="AW21" s="223"/>
      <c r="AX21" s="223"/>
      <c r="AY21" s="223"/>
      <c r="AZ21" s="223"/>
      <c r="BA21" s="223"/>
      <c r="BB21" s="223"/>
      <c r="BC21" s="223"/>
      <c r="BD21" s="223"/>
      <c r="BE21" s="223"/>
      <c r="BF21" s="230" t="str">
        <f>IF(ISERROR(MATCH(N21,#REF!, 0)), "",  INDEX(#REF!, MATCH(N21,#REF!, 0)))</f>
        <v/>
      </c>
      <c r="BG21" s="223"/>
      <c r="BH21" s="223"/>
      <c r="BI21" s="223"/>
      <c r="BJ21" s="223"/>
      <c r="BK21" s="223"/>
      <c r="BL21" s="223"/>
      <c r="BM21" s="223"/>
      <c r="BN21" s="223"/>
      <c r="BO21" s="223"/>
      <c r="BP21" s="223"/>
      <c r="BQ21" s="167" t="s">
        <v>636</v>
      </c>
    </row>
    <row r="22" spans="1:76" s="167" customFormat="1" ht="15" x14ac:dyDescent="0.25">
      <c r="A22" s="240">
        <v>131</v>
      </c>
      <c r="B22" s="142" t="s">
        <v>705</v>
      </c>
      <c r="C22" s="142" t="str">
        <f t="shared" si="1"/>
        <v>Wind Integration Studies (ERGIS and WWSIS 3)</v>
      </c>
      <c r="D22" s="171">
        <v>30</v>
      </c>
      <c r="E22" s="171">
        <v>10</v>
      </c>
      <c r="F22" s="174">
        <f t="shared" si="4"/>
        <v>0.61111111111111072</v>
      </c>
      <c r="G22" s="173">
        <f t="shared" si="0"/>
        <v>0.63888888888888851</v>
      </c>
      <c r="H22" s="104">
        <v>42780</v>
      </c>
      <c r="I22" s="169" t="s">
        <v>581</v>
      </c>
      <c r="J22" s="247" t="s">
        <v>588</v>
      </c>
      <c r="K22" s="163" t="s">
        <v>538</v>
      </c>
      <c r="L22" s="163" t="s">
        <v>560</v>
      </c>
      <c r="M22" s="247" t="s">
        <v>519</v>
      </c>
      <c r="N22" s="247" t="s">
        <v>554</v>
      </c>
      <c r="O22" s="247" t="e">
        <f>INDEX(#REF!, MATCH($N22,#REF!, 0))</f>
        <v>#REF!</v>
      </c>
      <c r="P22" s="231" t="str">
        <f t="shared" si="2"/>
        <v>Aaron Bloom</v>
      </c>
      <c r="Q22" s="223" t="e">
        <f t="shared" si="5"/>
        <v>#REF!</v>
      </c>
      <c r="R22" s="223" t="str">
        <f t="shared" si="6"/>
        <v>NREL</v>
      </c>
      <c r="S22" s="235"/>
      <c r="T22" s="223"/>
      <c r="U22" s="223"/>
      <c r="V22" s="223"/>
      <c r="W22" s="223"/>
      <c r="X22" s="223"/>
      <c r="Y22" s="223"/>
      <c r="Z22" s="223"/>
      <c r="AA22" s="223"/>
      <c r="AB22" s="223"/>
      <c r="AC22" s="223"/>
      <c r="AD22" s="223"/>
      <c r="AE22" s="223"/>
      <c r="AF22" s="223"/>
      <c r="AG22" s="223"/>
      <c r="AH22" s="223"/>
      <c r="AI22" s="223"/>
      <c r="AJ22" s="223"/>
      <c r="AK22" s="223"/>
      <c r="AL22" s="223"/>
      <c r="AM22" s="223" t="str">
        <f>"projects\"&amp;$A22&amp;"_sum1.pdf"</f>
        <v>projects\131_sum1.pdf</v>
      </c>
      <c r="AN22" s="223" t="str">
        <f>"projects\"&amp;$A22&amp;"_pres1.pdf"</f>
        <v>projects\131_pres1.pdf</v>
      </c>
      <c r="AO22" s="223"/>
      <c r="AP22" s="223"/>
      <c r="AQ22" s="223"/>
      <c r="AR22" s="223"/>
      <c r="AS22" s="223"/>
      <c r="AT22" s="223"/>
      <c r="AU22" s="223"/>
      <c r="AV22" s="223"/>
      <c r="AW22" s="223"/>
      <c r="AX22" s="223"/>
      <c r="AY22" s="223"/>
      <c r="AZ22" s="223"/>
      <c r="BA22" s="223"/>
      <c r="BB22" s="223"/>
      <c r="BC22" s="223"/>
      <c r="BD22" s="223"/>
      <c r="BE22" s="223"/>
      <c r="BF22" s="230" t="str">
        <f>IF(ISERROR(MATCH(N22,#REF!, 0)), "",  INDEX(#REF!, MATCH(N22,#REF!, 0)))</f>
        <v/>
      </c>
      <c r="BG22" s="223"/>
      <c r="BH22" s="223"/>
      <c r="BI22" s="223"/>
      <c r="BJ22" s="223"/>
      <c r="BK22" s="223"/>
      <c r="BL22" s="223"/>
      <c r="BM22" s="223"/>
      <c r="BN22" s="223"/>
      <c r="BO22" s="223"/>
      <c r="BP22" s="223"/>
      <c r="BQ22" s="167" t="s">
        <v>636</v>
      </c>
    </row>
    <row r="23" spans="1:76" s="167" customFormat="1" ht="15" x14ac:dyDescent="0.25">
      <c r="A23" s="240">
        <v>144</v>
      </c>
      <c r="B23" s="142" t="s">
        <v>706</v>
      </c>
      <c r="C23" s="142" t="str">
        <f t="shared" si="1"/>
        <v>Wind Generator Modeling</v>
      </c>
      <c r="D23" s="171">
        <v>15</v>
      </c>
      <c r="E23" s="171">
        <v>5</v>
      </c>
      <c r="F23" s="174">
        <f t="shared" si="4"/>
        <v>0.63888888888888851</v>
      </c>
      <c r="G23" s="173">
        <f t="shared" si="0"/>
        <v>0.65277777777777735</v>
      </c>
      <c r="H23" s="104">
        <v>42780</v>
      </c>
      <c r="I23" s="169" t="s">
        <v>581</v>
      </c>
      <c r="J23" s="247" t="s">
        <v>588</v>
      </c>
      <c r="K23" s="163" t="s">
        <v>538</v>
      </c>
      <c r="L23" s="163" t="s">
        <v>560</v>
      </c>
      <c r="M23" s="247" t="s">
        <v>529</v>
      </c>
      <c r="N23" s="247" t="s">
        <v>553</v>
      </c>
      <c r="O23" s="247" t="e">
        <f>INDEX(#REF!, MATCH($N23,#REF!, 0))</f>
        <v>#REF!</v>
      </c>
      <c r="P23" s="231" t="str">
        <f t="shared" si="2"/>
        <v>Ben Karlson</v>
      </c>
      <c r="Q23" s="223" t="e">
        <f t="shared" si="5"/>
        <v>#REF!</v>
      </c>
      <c r="R23" s="223" t="str">
        <f t="shared" si="6"/>
        <v>SNL</v>
      </c>
      <c r="S23" s="235"/>
      <c r="T23" s="223"/>
      <c r="U23" s="223"/>
      <c r="V23" s="223"/>
      <c r="W23" s="223"/>
      <c r="X23" s="223"/>
      <c r="Y23" s="223"/>
      <c r="Z23" s="223"/>
      <c r="AA23" s="223"/>
      <c r="AB23" s="223"/>
      <c r="AC23" s="223"/>
      <c r="AD23" s="223"/>
      <c r="AE23" s="223"/>
      <c r="AF23" s="223"/>
      <c r="AG23" s="223"/>
      <c r="AH23" s="223"/>
      <c r="AI23" s="223"/>
      <c r="AJ23" s="223"/>
      <c r="AK23" s="223"/>
      <c r="AL23" s="223"/>
      <c r="AM23" s="223" t="str">
        <f>"projects\"&amp;$A23&amp;"_sum1.pdf"</f>
        <v>projects\144_sum1.pdf</v>
      </c>
      <c r="AN23" s="223" t="str">
        <f>"projects\"&amp;$A23&amp;"_pres1.pdf"</f>
        <v>projects\144_pres1.pdf</v>
      </c>
      <c r="AO23" s="223"/>
      <c r="AP23" s="223"/>
      <c r="AQ23" s="223"/>
      <c r="AR23" s="223"/>
      <c r="AS23" s="223"/>
      <c r="AT23" s="223"/>
      <c r="AU23" s="223"/>
      <c r="AV23" s="223"/>
      <c r="AW23" s="223"/>
      <c r="AX23" s="223"/>
      <c r="AY23" s="223"/>
      <c r="AZ23" s="223"/>
      <c r="BA23" s="223"/>
      <c r="BB23" s="223"/>
      <c r="BC23" s="223"/>
      <c r="BD23" s="223"/>
      <c r="BE23" s="223"/>
      <c r="BF23" s="230" t="str">
        <f>IF(ISERROR(MATCH(N23,#REF!, 0)), "",  INDEX(#REF!, MATCH(N23,#REF!, 0)))</f>
        <v/>
      </c>
      <c r="BG23" s="223"/>
      <c r="BH23" s="223"/>
      <c r="BI23" s="223"/>
      <c r="BJ23" s="223"/>
      <c r="BK23" s="223"/>
      <c r="BL23" s="223"/>
      <c r="BM23" s="223"/>
      <c r="BN23" s="223"/>
      <c r="BO23" s="223"/>
      <c r="BP23" s="223"/>
      <c r="BQ23" s="167" t="s">
        <v>636</v>
      </c>
    </row>
    <row r="24" spans="1:76" s="167" customFormat="1" ht="15" x14ac:dyDescent="0.25">
      <c r="A24" s="240">
        <v>124</v>
      </c>
      <c r="B24" s="142" t="s">
        <v>707</v>
      </c>
      <c r="C24" s="142" t="str">
        <f t="shared" si="1"/>
        <v>Stochastic Tool Evaluation</v>
      </c>
      <c r="D24" s="171">
        <v>15</v>
      </c>
      <c r="E24" s="171">
        <v>5</v>
      </c>
      <c r="F24" s="174">
        <f t="shared" si="4"/>
        <v>0.65277777777777735</v>
      </c>
      <c r="G24" s="173">
        <f t="shared" si="0"/>
        <v>0.66666666666666619</v>
      </c>
      <c r="H24" s="104">
        <v>42780</v>
      </c>
      <c r="I24" s="169" t="s">
        <v>581</v>
      </c>
      <c r="J24" s="247" t="s">
        <v>588</v>
      </c>
      <c r="K24" s="163" t="s">
        <v>538</v>
      </c>
      <c r="L24" s="163" t="s">
        <v>560</v>
      </c>
      <c r="M24" s="247" t="s">
        <v>535</v>
      </c>
      <c r="N24" s="247" t="s">
        <v>556</v>
      </c>
      <c r="O24" s="247" t="e">
        <f>INDEX(#REF!, MATCH($N24,#REF!, 0))</f>
        <v>#REF!</v>
      </c>
      <c r="P24" s="231" t="str">
        <f t="shared" si="2"/>
        <v>Audun Botterud</v>
      </c>
      <c r="Q24" s="223" t="e">
        <f t="shared" si="5"/>
        <v>#REF!</v>
      </c>
      <c r="R24" s="223" t="str">
        <f t="shared" si="6"/>
        <v>ANL</v>
      </c>
      <c r="S24" s="235"/>
      <c r="T24" s="223"/>
      <c r="U24" s="223"/>
      <c r="V24" s="223"/>
      <c r="W24" s="223"/>
      <c r="X24" s="223"/>
      <c r="Y24" s="223"/>
      <c r="Z24" s="223"/>
      <c r="AA24" s="223"/>
      <c r="AB24" s="223"/>
      <c r="AC24" s="223"/>
      <c r="AD24" s="223"/>
      <c r="AE24" s="223"/>
      <c r="AF24" s="223"/>
      <c r="AG24" s="223"/>
      <c r="AH24" s="223"/>
      <c r="AI24" s="223"/>
      <c r="AJ24" s="223"/>
      <c r="AK24" s="223"/>
      <c r="AL24" s="223"/>
      <c r="AM24" s="223" t="str">
        <f>"projects\"&amp;$A24&amp;"_sum1.pdf"</f>
        <v>projects\124_sum1.pdf</v>
      </c>
      <c r="AN24" s="223" t="str">
        <f>"projects\"&amp;$A24&amp;"_pres1.pdf"</f>
        <v>projects\124_pres1.pdf</v>
      </c>
      <c r="AO24" s="223"/>
      <c r="AP24" s="223"/>
      <c r="AQ24" s="223"/>
      <c r="AR24" s="223"/>
      <c r="AS24" s="223"/>
      <c r="AT24" s="223"/>
      <c r="AU24" s="223"/>
      <c r="AV24" s="223"/>
      <c r="AW24" s="223"/>
      <c r="AX24" s="223"/>
      <c r="AY24" s="223"/>
      <c r="AZ24" s="223"/>
      <c r="BA24" s="223"/>
      <c r="BB24" s="223"/>
      <c r="BC24" s="223"/>
      <c r="BD24" s="223"/>
      <c r="BE24" s="223"/>
      <c r="BF24" s="230" t="str">
        <f>IF(ISERROR(MATCH(N24,#REF!, 0)), "",  INDEX(#REF!, MATCH(N24,#REF!, 0)))</f>
        <v/>
      </c>
      <c r="BG24" s="223"/>
      <c r="BH24" s="223"/>
      <c r="BI24" s="223"/>
      <c r="BJ24" s="223"/>
      <c r="BK24" s="223"/>
      <c r="BL24" s="223"/>
      <c r="BM24" s="223"/>
      <c r="BN24" s="223"/>
      <c r="BO24" s="223"/>
      <c r="BP24" s="223"/>
      <c r="BQ24" s="167" t="s">
        <v>636</v>
      </c>
    </row>
    <row r="25" spans="1:76" s="167" customFormat="1" ht="15.75" thickBot="1" x14ac:dyDescent="0.3">
      <c r="A25" s="240" t="s">
        <v>558</v>
      </c>
      <c r="B25" s="198" t="s">
        <v>520</v>
      </c>
      <c r="C25" s="198" t="str">
        <f t="shared" si="1"/>
        <v>BREAK</v>
      </c>
      <c r="D25" s="199">
        <v>15</v>
      </c>
      <c r="E25" s="199">
        <v>0</v>
      </c>
      <c r="F25" s="200">
        <f t="shared" si="4"/>
        <v>0.66666666666666619</v>
      </c>
      <c r="G25" s="125">
        <f t="shared" si="0"/>
        <v>0.67708333333333282</v>
      </c>
      <c r="H25" s="104">
        <v>42780</v>
      </c>
      <c r="I25" s="169" t="s">
        <v>580</v>
      </c>
      <c r="J25" s="201" t="s">
        <v>588</v>
      </c>
      <c r="K25" s="164" t="s">
        <v>538</v>
      </c>
      <c r="L25" s="164" t="s">
        <v>560</v>
      </c>
      <c r="M25" s="201" t="s">
        <v>560</v>
      </c>
      <c r="N25" s="201" t="s">
        <v>560</v>
      </c>
      <c r="O25" s="201" t="e">
        <f>INDEX(#REF!, MATCH($N25,#REF!, 0))</f>
        <v>#REF!</v>
      </c>
      <c r="P25" s="232" t="str">
        <f t="shared" si="2"/>
        <v>NULL</v>
      </c>
      <c r="Q25" s="223" t="e">
        <f t="shared" si="5"/>
        <v>#REF!</v>
      </c>
      <c r="R25" s="223" t="str">
        <f t="shared" si="6"/>
        <v>NULL</v>
      </c>
      <c r="S25" s="235"/>
      <c r="T25" s="223"/>
      <c r="U25" s="223"/>
      <c r="V25" s="223"/>
      <c r="W25" s="223"/>
      <c r="X25" s="223"/>
      <c r="Y25" s="223"/>
      <c r="Z25" s="223"/>
      <c r="AA25" s="223"/>
      <c r="AB25" s="223"/>
      <c r="AC25" s="223"/>
      <c r="AD25" s="223"/>
      <c r="AE25" s="223"/>
      <c r="AF25" s="223"/>
      <c r="AG25" s="223"/>
      <c r="AH25" s="223"/>
      <c r="AI25" s="223"/>
      <c r="AJ25" s="223"/>
      <c r="AK25" s="223"/>
      <c r="AL25" s="223"/>
      <c r="AM25" s="223"/>
      <c r="AN25" s="223"/>
      <c r="AO25" s="223"/>
      <c r="AP25" s="223"/>
      <c r="AQ25" s="223"/>
      <c r="AR25" s="223"/>
      <c r="AS25" s="223"/>
      <c r="AT25" s="223"/>
      <c r="AU25" s="223"/>
      <c r="AV25" s="223"/>
      <c r="AW25" s="223"/>
      <c r="AX25" s="223"/>
      <c r="AY25" s="223"/>
      <c r="AZ25" s="223"/>
      <c r="BA25" s="223"/>
      <c r="BB25" s="223"/>
      <c r="BC25" s="223"/>
      <c r="BD25" s="223"/>
      <c r="BE25" s="223"/>
      <c r="BF25" s="230" t="str">
        <f>IF(ISERROR(MATCH(N25,#REF!, 0)), "",  INDEX(#REF!, MATCH(N25,#REF!, 0)))</f>
        <v/>
      </c>
      <c r="BG25" s="223"/>
      <c r="BH25" s="223"/>
      <c r="BI25" s="223"/>
      <c r="BJ25" s="223"/>
      <c r="BK25" s="223"/>
      <c r="BL25" s="223"/>
      <c r="BM25" s="223"/>
      <c r="BN25" s="223"/>
      <c r="BO25" s="223"/>
      <c r="BP25" s="223"/>
      <c r="BQ25" s="167" t="s">
        <v>636</v>
      </c>
    </row>
    <row r="26" spans="1:76" s="167" customFormat="1" ht="15.5" thickTop="1" thickBot="1" x14ac:dyDescent="0.4">
      <c r="A26" s="240" t="s">
        <v>576</v>
      </c>
      <c r="B26" s="138" t="s">
        <v>643</v>
      </c>
      <c r="C26" s="139" t="str">
        <f t="shared" si="1"/>
        <v>Recap – Grid Systems Planning and Operation</v>
      </c>
      <c r="D26" s="171">
        <v>5</v>
      </c>
      <c r="E26" s="171">
        <v>0</v>
      </c>
      <c r="F26" s="174">
        <f t="shared" si="4"/>
        <v>0.67708333333333282</v>
      </c>
      <c r="G26" s="173">
        <f t="shared" si="0"/>
        <v>0.68055555555555503</v>
      </c>
      <c r="H26" s="104">
        <v>42780</v>
      </c>
      <c r="I26" s="169" t="s">
        <v>581</v>
      </c>
      <c r="J26" s="123" t="s">
        <v>588</v>
      </c>
      <c r="K26" s="143" t="s">
        <v>538</v>
      </c>
      <c r="L26" s="143" t="s">
        <v>560</v>
      </c>
      <c r="M26" s="123" t="s">
        <v>516</v>
      </c>
      <c r="N26" s="123" t="s">
        <v>451</v>
      </c>
      <c r="O26" s="123" t="e">
        <f>INDEX(#REF!, MATCH($N26,#REF!, 0))</f>
        <v>#REF!</v>
      </c>
      <c r="P26" s="124" t="str">
        <f t="shared" si="2"/>
        <v>Charlton Clark</v>
      </c>
      <c r="Q26" s="223" t="e">
        <f t="shared" si="5"/>
        <v>#REF!</v>
      </c>
      <c r="R26" s="223" t="str">
        <f t="shared" si="6"/>
        <v>DOE</v>
      </c>
      <c r="S26" s="235"/>
      <c r="T26" s="223"/>
      <c r="U26" s="223"/>
      <c r="V26" s="223"/>
      <c r="W26" s="223"/>
      <c r="X26" s="223"/>
      <c r="Y26" s="223"/>
      <c r="Z26" s="223"/>
      <c r="AA26" s="223"/>
      <c r="AB26" s="223"/>
      <c r="AC26" s="223"/>
      <c r="AD26" s="223"/>
      <c r="AE26" s="223"/>
      <c r="AF26" s="223"/>
      <c r="AG26" s="223"/>
      <c r="AH26" s="223"/>
      <c r="AI26" s="223"/>
      <c r="AJ26" s="223"/>
      <c r="AK26" s="223"/>
      <c r="AL26" s="223"/>
      <c r="AM26" s="223"/>
      <c r="AN26" s="223"/>
      <c r="AO26" s="223"/>
      <c r="AP26" s="223"/>
      <c r="AQ26" s="223"/>
      <c r="AR26" s="223"/>
      <c r="AS26" s="223"/>
      <c r="AT26" s="223"/>
      <c r="AU26" s="223"/>
      <c r="AV26" s="223"/>
      <c r="AW26" s="223"/>
      <c r="AX26" s="223"/>
      <c r="AY26" s="223"/>
      <c r="AZ26" s="223"/>
      <c r="BA26" s="223"/>
      <c r="BB26" s="223"/>
      <c r="BC26" s="223"/>
      <c r="BD26" s="223"/>
      <c r="BE26" s="223"/>
      <c r="BF26" s="230" t="str">
        <f>IF(ISERROR(MATCH(N26,#REF!, 0)), "",  INDEX(#REF!, MATCH(N26,#REF!, 0)))</f>
        <v/>
      </c>
      <c r="BG26" s="223"/>
      <c r="BH26" s="223"/>
      <c r="BI26" s="223"/>
      <c r="BJ26" s="223"/>
      <c r="BK26" s="223"/>
      <c r="BL26" s="223"/>
      <c r="BM26" s="223"/>
      <c r="BN26" s="223"/>
      <c r="BO26" s="223"/>
      <c r="BP26" s="223"/>
      <c r="BQ26" s="167" t="s">
        <v>636</v>
      </c>
    </row>
    <row r="27" spans="1:76" s="167" customFormat="1" ht="15" x14ac:dyDescent="0.25">
      <c r="A27" s="240">
        <v>133</v>
      </c>
      <c r="B27" s="142" t="s">
        <v>708</v>
      </c>
      <c r="C27" s="142" t="str">
        <f t="shared" si="1"/>
        <v>Distributed Wind Integration</v>
      </c>
      <c r="D27" s="171">
        <v>15</v>
      </c>
      <c r="E27" s="171">
        <v>5</v>
      </c>
      <c r="F27" s="174">
        <f t="shared" si="4"/>
        <v>0.68055555555555503</v>
      </c>
      <c r="G27" s="173">
        <f t="shared" si="0"/>
        <v>0.69444444444444386</v>
      </c>
      <c r="H27" s="104">
        <v>42780</v>
      </c>
      <c r="I27" s="169" t="s">
        <v>581</v>
      </c>
      <c r="J27" s="247" t="s">
        <v>588</v>
      </c>
      <c r="K27" s="163" t="s">
        <v>538</v>
      </c>
      <c r="L27" s="163" t="s">
        <v>560</v>
      </c>
      <c r="M27" s="247" t="s">
        <v>519</v>
      </c>
      <c r="N27" s="247" t="s">
        <v>523</v>
      </c>
      <c r="O27" s="247" t="e">
        <f>INDEX(#REF!, MATCH($N27,#REF!, 0))</f>
        <v>#REF!</v>
      </c>
      <c r="P27" s="231" t="str">
        <f t="shared" si="2"/>
        <v>Bri-Mathias Hodge</v>
      </c>
      <c r="Q27" s="223" t="e">
        <f t="shared" si="5"/>
        <v>#REF!</v>
      </c>
      <c r="R27" s="223" t="str">
        <f t="shared" si="6"/>
        <v>NREL</v>
      </c>
      <c r="S27" s="235"/>
      <c r="T27" s="223"/>
      <c r="U27" s="223"/>
      <c r="V27" s="223"/>
      <c r="W27" s="223"/>
      <c r="X27" s="223"/>
      <c r="Y27" s="223"/>
      <c r="Z27" s="223"/>
      <c r="AA27" s="223"/>
      <c r="AB27" s="223"/>
      <c r="AC27" s="223"/>
      <c r="AD27" s="223"/>
      <c r="AE27" s="223"/>
      <c r="AF27" s="223"/>
      <c r="AG27" s="223"/>
      <c r="AH27" s="223"/>
      <c r="AI27" s="223"/>
      <c r="AJ27" s="223"/>
      <c r="AK27" s="223"/>
      <c r="AL27" s="223"/>
      <c r="AM27" s="223" t="str">
        <f>"projects\"&amp;$A27&amp;"_sum1.pdf"</f>
        <v>projects\133_sum1.pdf</v>
      </c>
      <c r="AN27" s="223" t="str">
        <f>"projects\"&amp;$A27&amp;"_pres1.pdf"</f>
        <v>projects\133_pres1.pdf</v>
      </c>
      <c r="AO27" s="223"/>
      <c r="AP27" s="223"/>
      <c r="AQ27" s="223"/>
      <c r="AR27" s="223"/>
      <c r="AS27" s="223"/>
      <c r="AT27" s="223"/>
      <c r="AU27" s="223"/>
      <c r="AV27" s="223"/>
      <c r="AW27" s="223"/>
      <c r="AX27" s="223"/>
      <c r="AY27" s="223"/>
      <c r="AZ27" s="223"/>
      <c r="BA27" s="223"/>
      <c r="BB27" s="223"/>
      <c r="BC27" s="223"/>
      <c r="BD27" s="223"/>
      <c r="BE27" s="223"/>
      <c r="BF27" s="230" t="str">
        <f>IF(ISERROR(MATCH(N27,#REF!, 0)), "",  INDEX(#REF!, MATCH(N27,#REF!, 0)))</f>
        <v/>
      </c>
      <c r="BG27" s="223"/>
      <c r="BH27" s="223"/>
      <c r="BI27" s="223"/>
      <c r="BJ27" s="223"/>
      <c r="BK27" s="223"/>
      <c r="BL27" s="223"/>
      <c r="BM27" s="223"/>
      <c r="BN27" s="223"/>
      <c r="BO27" s="223"/>
      <c r="BP27" s="223"/>
      <c r="BQ27" s="167" t="s">
        <v>636</v>
      </c>
    </row>
    <row r="28" spans="1:76" s="167" customFormat="1" ht="15" x14ac:dyDescent="0.25">
      <c r="A28" s="240">
        <v>132</v>
      </c>
      <c r="B28" s="142" t="s">
        <v>709</v>
      </c>
      <c r="C28" s="142" t="str">
        <f t="shared" si="1"/>
        <v>Grid Integration Support, UVIG, IEEE, NERC, IEA Task 25</v>
      </c>
      <c r="D28" s="171">
        <v>15</v>
      </c>
      <c r="E28" s="171">
        <v>5</v>
      </c>
      <c r="F28" s="174">
        <f t="shared" si="4"/>
        <v>0.69444444444444386</v>
      </c>
      <c r="G28" s="173">
        <f t="shared" si="0"/>
        <v>0.7083333333333327</v>
      </c>
      <c r="H28" s="104">
        <v>42780</v>
      </c>
      <c r="I28" s="169" t="s">
        <v>581</v>
      </c>
      <c r="J28" s="247" t="s">
        <v>588</v>
      </c>
      <c r="K28" s="163" t="s">
        <v>538</v>
      </c>
      <c r="L28" s="163" t="s">
        <v>560</v>
      </c>
      <c r="M28" s="247" t="s">
        <v>519</v>
      </c>
      <c r="N28" s="247" t="s">
        <v>599</v>
      </c>
      <c r="O28" s="247" t="e">
        <f>INDEX(#REF!, MATCH($N28,#REF!, 0))</f>
        <v>#REF!</v>
      </c>
      <c r="P28" s="231" t="str">
        <f t="shared" si="2"/>
        <v>Dave Corbus</v>
      </c>
      <c r="Q28" s="223" t="e">
        <f t="shared" si="5"/>
        <v>#REF!</v>
      </c>
      <c r="R28" s="223" t="str">
        <f t="shared" si="6"/>
        <v>NREL</v>
      </c>
      <c r="S28" s="235"/>
      <c r="T28" s="223"/>
      <c r="U28" s="223"/>
      <c r="V28" s="223"/>
      <c r="W28" s="223"/>
      <c r="X28" s="223"/>
      <c r="Y28" s="223"/>
      <c r="Z28" s="223"/>
      <c r="AA28" s="223"/>
      <c r="AB28" s="223"/>
      <c r="AC28" s="223"/>
      <c r="AD28" s="223"/>
      <c r="AE28" s="223"/>
      <c r="AF28" s="223"/>
      <c r="AG28" s="223"/>
      <c r="AH28" s="223"/>
      <c r="AI28" s="223"/>
      <c r="AJ28" s="223"/>
      <c r="AK28" s="223"/>
      <c r="AL28" s="223"/>
      <c r="AM28" s="223" t="str">
        <f>"projects\"&amp;$A28&amp;"_sum1.pdf"</f>
        <v>projects\132_sum1.pdf</v>
      </c>
      <c r="AN28" s="223" t="str">
        <f>"projects\"&amp;$A28&amp;"_pres1.pdf"</f>
        <v>projects\132_pres1.pdf</v>
      </c>
      <c r="AO28" s="223"/>
      <c r="AP28" s="223"/>
      <c r="AQ28" s="223"/>
      <c r="AR28" s="223"/>
      <c r="AS28" s="223"/>
      <c r="AT28" s="223"/>
      <c r="AU28" s="223"/>
      <c r="AV28" s="223"/>
      <c r="AW28" s="223"/>
      <c r="AX28" s="223"/>
      <c r="AY28" s="223"/>
      <c r="AZ28" s="223"/>
      <c r="BA28" s="223"/>
      <c r="BB28" s="223"/>
      <c r="BC28" s="223"/>
      <c r="BD28" s="223"/>
      <c r="BE28" s="223"/>
      <c r="BF28" s="230" t="str">
        <f>IF(ISERROR(MATCH(N28,#REF!, 0)), "",  INDEX(#REF!, MATCH(N28,#REF!, 0)))</f>
        <v/>
      </c>
      <c r="BG28" s="223"/>
      <c r="BH28" s="223"/>
      <c r="BI28" s="223"/>
      <c r="BJ28" s="223"/>
      <c r="BK28" s="223"/>
      <c r="BL28" s="223"/>
      <c r="BM28" s="223"/>
      <c r="BN28" s="223"/>
      <c r="BO28" s="223"/>
      <c r="BP28" s="223"/>
      <c r="BQ28" s="167" t="s">
        <v>636</v>
      </c>
    </row>
    <row r="29" spans="1:76" s="167" customFormat="1" ht="15" x14ac:dyDescent="0.25">
      <c r="A29" s="240">
        <v>125</v>
      </c>
      <c r="B29" s="142" t="s">
        <v>710</v>
      </c>
      <c r="C29" s="142" t="str">
        <f t="shared" si="1"/>
        <v>Concurrent Cooling</v>
      </c>
      <c r="D29" s="171">
        <v>15</v>
      </c>
      <c r="E29" s="171">
        <v>5</v>
      </c>
      <c r="F29" s="174">
        <f t="shared" si="4"/>
        <v>0.7083333333333327</v>
      </c>
      <c r="G29" s="173">
        <f t="shared" si="0"/>
        <v>0.72222222222222154</v>
      </c>
      <c r="H29" s="104">
        <v>42780</v>
      </c>
      <c r="I29" s="169" t="s">
        <v>581</v>
      </c>
      <c r="J29" s="247" t="s">
        <v>588</v>
      </c>
      <c r="K29" s="163" t="s">
        <v>538</v>
      </c>
      <c r="L29" s="163" t="s">
        <v>560</v>
      </c>
      <c r="M29" s="247" t="s">
        <v>555</v>
      </c>
      <c r="N29" s="247" t="s">
        <v>605</v>
      </c>
      <c r="O29" s="247" t="e">
        <f>INDEX(#REF!, MATCH($N29,#REF!, 0))</f>
        <v>#REF!</v>
      </c>
      <c r="P29" s="231" t="str">
        <f t="shared" si="2"/>
        <v>Jake Gentle</v>
      </c>
      <c r="Q29" s="223" t="e">
        <f t="shared" si="5"/>
        <v>#REF!</v>
      </c>
      <c r="R29" s="223" t="str">
        <f t="shared" si="6"/>
        <v>INL</v>
      </c>
      <c r="S29" s="235"/>
      <c r="T29" s="223"/>
      <c r="U29" s="223"/>
      <c r="V29" s="223"/>
      <c r="W29" s="223"/>
      <c r="X29" s="223"/>
      <c r="Y29" s="223"/>
      <c r="Z29" s="223"/>
      <c r="AA29" s="223"/>
      <c r="AB29" s="158"/>
      <c r="AC29" s="158"/>
      <c r="AD29" s="158"/>
      <c r="AE29" s="158"/>
      <c r="AF29" s="158"/>
      <c r="AG29" s="223"/>
      <c r="AH29" s="223"/>
      <c r="AI29" s="223"/>
      <c r="AJ29" s="223"/>
      <c r="AK29" s="223"/>
      <c r="AL29" s="223"/>
      <c r="AM29" s="223" t="str">
        <f>"projects\"&amp;$A29&amp;"_sum1.pdf"</f>
        <v>projects\125_sum1.pdf</v>
      </c>
      <c r="AN29" s="223" t="str">
        <f>"projects\"&amp;$A29&amp;"_pres1.pdf"</f>
        <v>projects\125_pres1.pdf</v>
      </c>
      <c r="AO29" s="223"/>
      <c r="AP29" s="223"/>
      <c r="AQ29" s="223"/>
      <c r="AR29" s="223"/>
      <c r="AS29" s="223"/>
      <c r="AT29" s="223"/>
      <c r="AU29" s="223"/>
      <c r="AV29" s="223"/>
      <c r="AW29" s="223"/>
      <c r="AX29" s="223"/>
      <c r="AY29" s="223"/>
      <c r="AZ29" s="223"/>
      <c r="BA29" s="223"/>
      <c r="BB29" s="223"/>
      <c r="BC29" s="223"/>
      <c r="BD29" s="223"/>
      <c r="BE29" s="223"/>
      <c r="BF29" s="230" t="str">
        <f>IF(ISERROR(MATCH(N29,#REF!, 0)), "",  INDEX(#REF!, MATCH(N29,#REF!, 0)))</f>
        <v/>
      </c>
      <c r="BG29" s="223"/>
      <c r="BH29" s="223"/>
      <c r="BI29" s="223"/>
      <c r="BJ29" s="223"/>
      <c r="BK29" s="223"/>
      <c r="BL29" s="223"/>
      <c r="BM29" s="223"/>
      <c r="BN29" s="223"/>
      <c r="BO29" s="223"/>
      <c r="BP29" s="223"/>
      <c r="BQ29" s="167" t="s">
        <v>636</v>
      </c>
    </row>
    <row r="30" spans="1:76" s="167" customFormat="1" ht="15" x14ac:dyDescent="0.25">
      <c r="A30" s="240" t="s">
        <v>558</v>
      </c>
      <c r="B30" s="198" t="s">
        <v>520</v>
      </c>
      <c r="C30" s="198" t="str">
        <f t="shared" si="1"/>
        <v>BREAK</v>
      </c>
      <c r="D30" s="199">
        <v>10</v>
      </c>
      <c r="E30" s="199">
        <v>0</v>
      </c>
      <c r="F30" s="200">
        <f t="shared" si="4"/>
        <v>0.72222222222222154</v>
      </c>
      <c r="G30" s="125">
        <f t="shared" si="0"/>
        <v>0.72916666666666596</v>
      </c>
      <c r="H30" s="104">
        <v>42780</v>
      </c>
      <c r="I30" s="169" t="s">
        <v>580</v>
      </c>
      <c r="J30" s="201" t="s">
        <v>588</v>
      </c>
      <c r="K30" s="164" t="s">
        <v>538</v>
      </c>
      <c r="L30" s="164" t="s">
        <v>560</v>
      </c>
      <c r="M30" s="201" t="s">
        <v>560</v>
      </c>
      <c r="N30" s="201" t="s">
        <v>560</v>
      </c>
      <c r="O30" s="201" t="e">
        <f>INDEX(#REF!, MATCH($N30,#REF!, 0))</f>
        <v>#REF!</v>
      </c>
      <c r="P30" s="232" t="str">
        <f t="shared" si="2"/>
        <v>NULL</v>
      </c>
      <c r="Q30" s="223" t="e">
        <f t="shared" si="5"/>
        <v>#REF!</v>
      </c>
      <c r="R30" s="223" t="str">
        <f t="shared" si="6"/>
        <v>NULL</v>
      </c>
      <c r="S30" s="235"/>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c r="BA30" s="223"/>
      <c r="BB30" s="223"/>
      <c r="BC30" s="223"/>
      <c r="BD30" s="223"/>
      <c r="BE30" s="223"/>
      <c r="BF30" s="230" t="str">
        <f>IF(ISERROR(MATCH(N30,#REF!, 0)), "",  INDEX(#REF!, MATCH(N30,#REF!, 0)))</f>
        <v/>
      </c>
      <c r="BG30" s="223"/>
      <c r="BH30" s="223"/>
      <c r="BI30" s="223"/>
      <c r="BJ30" s="223"/>
      <c r="BK30" s="223"/>
      <c r="BL30" s="223"/>
      <c r="BM30" s="223"/>
      <c r="BN30" s="223"/>
      <c r="BO30" s="223"/>
      <c r="BP30" s="223"/>
      <c r="BQ30" s="167" t="s">
        <v>636</v>
      </c>
    </row>
    <row r="31" spans="1:76" s="167" customFormat="1" ht="15" customHeight="1" thickBot="1" x14ac:dyDescent="0.3">
      <c r="A31" s="240" t="s">
        <v>558</v>
      </c>
      <c r="B31" s="248" t="s">
        <v>644</v>
      </c>
      <c r="C31" s="248" t="str">
        <f t="shared" si="1"/>
        <v>POSTER SESSION - Hotel Breezeway</v>
      </c>
      <c r="D31" s="202">
        <v>120</v>
      </c>
      <c r="E31" s="171">
        <v>0</v>
      </c>
      <c r="F31" s="249">
        <f>G30</f>
        <v>0.72916666666666596</v>
      </c>
      <c r="G31" s="250">
        <f t="shared" si="0"/>
        <v>0.81249999999999933</v>
      </c>
      <c r="H31" s="104">
        <v>42780</v>
      </c>
      <c r="I31" s="169" t="s">
        <v>580</v>
      </c>
      <c r="J31" s="251" t="s">
        <v>588</v>
      </c>
      <c r="K31" s="252" t="s">
        <v>538</v>
      </c>
      <c r="L31" s="252" t="s">
        <v>560</v>
      </c>
      <c r="M31" s="251" t="s">
        <v>560</v>
      </c>
      <c r="N31" s="251" t="s">
        <v>560</v>
      </c>
      <c r="O31" s="251" t="e">
        <f>INDEX(#REF!, MATCH($N31,#REF!, 0))</f>
        <v>#REF!</v>
      </c>
      <c r="P31" s="251" t="str">
        <f t="shared" si="2"/>
        <v>NULL</v>
      </c>
      <c r="Q31" s="223" t="e">
        <f t="shared" si="5"/>
        <v>#REF!</v>
      </c>
      <c r="R31" s="223" t="str">
        <f t="shared" si="6"/>
        <v>NULL</v>
      </c>
      <c r="S31" s="235"/>
      <c r="T31" s="223"/>
      <c r="U31" s="223"/>
      <c r="V31" s="223"/>
      <c r="W31" s="223"/>
      <c r="X31" s="223"/>
      <c r="Y31" s="223"/>
      <c r="Z31" s="223"/>
      <c r="AA31" s="223"/>
      <c r="AB31" s="158"/>
      <c r="AC31" s="158"/>
      <c r="AD31" s="158"/>
      <c r="AE31" s="158"/>
      <c r="AF31" s="158"/>
      <c r="AG31" s="223"/>
      <c r="AH31" s="223"/>
      <c r="AI31" s="223"/>
      <c r="AJ31" s="223"/>
      <c r="AK31" s="223"/>
      <c r="AL31" s="223"/>
      <c r="AM31" s="223"/>
      <c r="AN31" s="223"/>
      <c r="AO31" s="223"/>
      <c r="AP31" s="223"/>
      <c r="AQ31" s="223"/>
      <c r="AR31" s="223"/>
      <c r="AS31" s="223"/>
      <c r="AT31" s="223"/>
      <c r="AU31" s="223"/>
      <c r="AV31" s="223"/>
      <c r="AW31" s="223"/>
      <c r="AX31" s="223"/>
      <c r="AY31" s="223"/>
      <c r="AZ31" s="223"/>
      <c r="BA31" s="223"/>
      <c r="BB31" s="223"/>
      <c r="BC31" s="223"/>
      <c r="BD31" s="223"/>
      <c r="BE31" s="223"/>
      <c r="BF31" s="230" t="str">
        <f>IF(ISERROR(MATCH(N31,#REF!, 0)), "",  INDEX(#REF!, MATCH(N31,#REF!, 0)))</f>
        <v/>
      </c>
      <c r="BG31" s="223"/>
      <c r="BH31" s="223"/>
      <c r="BI31" s="223"/>
      <c r="BJ31" s="223"/>
      <c r="BK31" s="223"/>
      <c r="BL31" s="223"/>
      <c r="BM31" s="223"/>
      <c r="BN31" s="223"/>
      <c r="BO31" s="223"/>
      <c r="BP31" s="223"/>
      <c r="BQ31" s="167" t="s">
        <v>636</v>
      </c>
    </row>
    <row r="32" spans="1:76" s="167" customFormat="1" ht="15.75" thickTop="1" x14ac:dyDescent="0.25">
      <c r="A32" s="246" t="s">
        <v>558</v>
      </c>
      <c r="B32" s="141" t="s">
        <v>574</v>
      </c>
      <c r="C32" s="141" t="str">
        <f t="shared" si="1"/>
        <v>Breakfast</v>
      </c>
      <c r="D32" s="171">
        <v>45</v>
      </c>
      <c r="E32" s="171">
        <v>0</v>
      </c>
      <c r="F32" s="172">
        <v>0.33333333333333331</v>
      </c>
      <c r="G32" s="173">
        <f t="shared" si="0"/>
        <v>0.36458333333333331</v>
      </c>
      <c r="H32" s="104">
        <v>42781</v>
      </c>
      <c r="I32" s="169" t="s">
        <v>563</v>
      </c>
      <c r="J32" s="203" t="s">
        <v>588</v>
      </c>
      <c r="K32" s="151" t="s">
        <v>560</v>
      </c>
      <c r="L32" s="151" t="s">
        <v>560</v>
      </c>
      <c r="M32" s="203" t="s">
        <v>560</v>
      </c>
      <c r="N32" s="203" t="s">
        <v>560</v>
      </c>
      <c r="O32" s="204" t="e">
        <f>INDEX(#REF!, MATCH($N32,#REF!, 0))</f>
        <v>#REF!</v>
      </c>
      <c r="P32" s="126" t="str">
        <f t="shared" si="2"/>
        <v>NULL</v>
      </c>
      <c r="Q32" s="223" t="e">
        <f t="shared" si="5"/>
        <v>#REF!</v>
      </c>
      <c r="R32" s="223" t="str">
        <f t="shared" si="6"/>
        <v>NULL</v>
      </c>
      <c r="S32" s="235"/>
      <c r="T32" s="223"/>
      <c r="U32" s="223"/>
      <c r="V32" s="223"/>
      <c r="W32" s="223"/>
      <c r="X32" s="223"/>
      <c r="Y32" s="223"/>
      <c r="Z32" s="223"/>
      <c r="AA32" s="223"/>
      <c r="AB32" s="158"/>
      <c r="AC32" s="158"/>
      <c r="AD32" s="158"/>
      <c r="AE32" s="158"/>
      <c r="AF32" s="158"/>
      <c r="AG32" s="223"/>
      <c r="AH32" s="223"/>
      <c r="AI32" s="223"/>
      <c r="AJ32" s="223"/>
      <c r="AK32" s="223"/>
      <c r="AL32" s="223"/>
      <c r="AM32" s="223"/>
      <c r="AN32" s="223"/>
      <c r="AO32" s="223"/>
      <c r="AP32" s="223"/>
      <c r="AQ32" s="223"/>
      <c r="AR32" s="223"/>
      <c r="AS32" s="223"/>
      <c r="AT32" s="223"/>
      <c r="AU32" s="223"/>
      <c r="AV32" s="223"/>
      <c r="AW32" s="223"/>
      <c r="AX32" s="223"/>
      <c r="AY32" s="223"/>
      <c r="AZ32" s="223"/>
      <c r="BA32" s="223"/>
      <c r="BB32" s="223"/>
      <c r="BC32" s="223"/>
      <c r="BD32" s="223"/>
      <c r="BE32" s="223"/>
      <c r="BF32" s="230" t="str">
        <f>IF(ISERROR(MATCH(N32,#REF!, 0)), "",  INDEX(#REF!, MATCH(N32,#REF!, 0)))</f>
        <v/>
      </c>
      <c r="BG32" s="223"/>
      <c r="BH32" s="223"/>
      <c r="BI32" s="223"/>
      <c r="BJ32" s="223"/>
      <c r="BK32" s="223"/>
      <c r="BL32" s="223"/>
      <c r="BM32" s="223"/>
      <c r="BN32" s="223"/>
      <c r="BO32" s="223"/>
      <c r="BP32" s="223"/>
      <c r="BQ32" s="167" t="s">
        <v>636</v>
      </c>
    </row>
    <row r="33" spans="1:69" s="167" customFormat="1" ht="15" x14ac:dyDescent="0.25">
      <c r="A33" s="240" t="s">
        <v>558</v>
      </c>
      <c r="B33" s="205" t="s">
        <v>575</v>
      </c>
      <c r="C33" s="205" t="str">
        <f t="shared" si="1"/>
        <v>Daily Recap</v>
      </c>
      <c r="D33" s="171">
        <v>15</v>
      </c>
      <c r="E33" s="171">
        <v>0</v>
      </c>
      <c r="F33" s="174">
        <f t="shared" ref="F33:F58" si="7">G32</f>
        <v>0.36458333333333331</v>
      </c>
      <c r="G33" s="173">
        <f t="shared" si="0"/>
        <v>0.375</v>
      </c>
      <c r="H33" s="104">
        <v>42781</v>
      </c>
      <c r="I33" s="169" t="s">
        <v>563</v>
      </c>
      <c r="J33" s="128" t="s">
        <v>588</v>
      </c>
      <c r="K33" s="142" t="s">
        <v>560</v>
      </c>
      <c r="L33" s="142" t="s">
        <v>560</v>
      </c>
      <c r="M33" s="128" t="s">
        <v>516</v>
      </c>
      <c r="N33" s="128" t="s">
        <v>565</v>
      </c>
      <c r="O33" s="129" t="e">
        <f>INDEX(#REF!, MATCH($N33,#REF!, 0))</f>
        <v>#REF!</v>
      </c>
      <c r="P33" s="114" t="str">
        <f t="shared" si="2"/>
        <v>Alex Lemke</v>
      </c>
      <c r="Q33" s="223" t="e">
        <f t="shared" si="5"/>
        <v>#REF!</v>
      </c>
      <c r="R33" s="223" t="str">
        <f t="shared" si="6"/>
        <v>DOE</v>
      </c>
      <c r="S33" s="235"/>
      <c r="T33" s="223"/>
      <c r="U33" s="223"/>
      <c r="V33" s="223"/>
      <c r="W33" s="223"/>
      <c r="X33" s="223"/>
      <c r="Y33" s="223"/>
      <c r="Z33" s="223"/>
      <c r="AA33" s="223"/>
      <c r="AB33" s="158"/>
      <c r="AC33" s="158"/>
      <c r="AD33" s="158"/>
      <c r="AE33" s="158"/>
      <c r="AF33" s="158"/>
      <c r="AG33" s="223"/>
      <c r="AH33" s="223"/>
      <c r="AI33" s="223"/>
      <c r="AJ33" s="223"/>
      <c r="AK33" s="223"/>
      <c r="AL33" s="223"/>
      <c r="AM33" s="223"/>
      <c r="AN33" s="223"/>
      <c r="AO33" s="223"/>
      <c r="AP33" s="223"/>
      <c r="AQ33" s="223"/>
      <c r="AR33" s="223"/>
      <c r="AS33" s="223"/>
      <c r="AT33" s="223"/>
      <c r="AU33" s="223"/>
      <c r="AV33" s="223"/>
      <c r="AW33" s="223"/>
      <c r="AX33" s="223"/>
      <c r="AY33" s="223"/>
      <c r="AZ33" s="223"/>
      <c r="BA33" s="223"/>
      <c r="BB33" s="223"/>
      <c r="BC33" s="223"/>
      <c r="BD33" s="223"/>
      <c r="BE33" s="223"/>
      <c r="BF33" s="230" t="str">
        <f>IF(ISERROR(MATCH(N33,#REF!, 0)), "",  INDEX(#REF!, MATCH(N33,#REF!, 0)))</f>
        <v/>
      </c>
      <c r="BG33" s="223"/>
      <c r="BH33" s="223"/>
      <c r="BI33" s="223"/>
      <c r="BJ33" s="223"/>
      <c r="BK33" s="223"/>
      <c r="BL33" s="223"/>
      <c r="BM33" s="223"/>
      <c r="BN33" s="223"/>
      <c r="BO33" s="223"/>
      <c r="BP33" s="223"/>
      <c r="BQ33" s="167" t="s">
        <v>636</v>
      </c>
    </row>
    <row r="34" spans="1:69" s="167" customFormat="1" ht="15.75" thickBot="1" x14ac:dyDescent="0.3">
      <c r="A34" s="240" t="s">
        <v>558</v>
      </c>
      <c r="B34" s="117" t="s">
        <v>570</v>
      </c>
      <c r="C34" s="117" t="str">
        <f t="shared" si="1"/>
        <v>TRANSITION</v>
      </c>
      <c r="D34" s="171">
        <v>5</v>
      </c>
      <c r="E34" s="171">
        <v>0</v>
      </c>
      <c r="F34" s="175">
        <f t="shared" si="7"/>
        <v>0.375</v>
      </c>
      <c r="G34" s="137">
        <f t="shared" si="0"/>
        <v>0.37847222222222221</v>
      </c>
      <c r="H34" s="104">
        <v>42781</v>
      </c>
      <c r="I34" s="169" t="s">
        <v>560</v>
      </c>
      <c r="J34" s="128" t="s">
        <v>588</v>
      </c>
      <c r="K34" s="117" t="s">
        <v>560</v>
      </c>
      <c r="L34" s="117" t="s">
        <v>560</v>
      </c>
      <c r="M34" s="128" t="s">
        <v>560</v>
      </c>
      <c r="N34" s="128" t="s">
        <v>560</v>
      </c>
      <c r="O34" s="129" t="e">
        <f>INDEX(#REF!, MATCH($N34,#REF!, 0))</f>
        <v>#REF!</v>
      </c>
      <c r="P34" s="126" t="str">
        <f t="shared" si="2"/>
        <v>NULL</v>
      </c>
      <c r="Q34" s="223" t="e">
        <f t="shared" si="5"/>
        <v>#REF!</v>
      </c>
      <c r="R34" s="223" t="str">
        <f t="shared" si="6"/>
        <v>NULL</v>
      </c>
      <c r="S34" s="235"/>
      <c r="T34" s="223"/>
      <c r="U34" s="223"/>
      <c r="V34" s="223"/>
      <c r="W34" s="223"/>
      <c r="X34" s="223"/>
      <c r="Y34" s="223"/>
      <c r="Z34" s="223"/>
      <c r="AA34" s="223"/>
      <c r="AB34" s="158"/>
      <c r="AC34" s="158"/>
      <c r="AD34" s="158"/>
      <c r="AE34" s="158"/>
      <c r="AF34" s="158"/>
      <c r="AG34" s="223"/>
      <c r="AH34" s="223"/>
      <c r="AI34" s="223"/>
      <c r="AJ34" s="223"/>
      <c r="AK34" s="223"/>
      <c r="AL34" s="223"/>
      <c r="AM34" s="223"/>
      <c r="AN34" s="223"/>
      <c r="AO34" s="223"/>
      <c r="AP34" s="223"/>
      <c r="AQ34" s="223"/>
      <c r="AR34" s="223"/>
      <c r="AS34" s="223"/>
      <c r="AT34" s="223"/>
      <c r="AU34" s="223"/>
      <c r="AV34" s="223"/>
      <c r="AW34" s="223"/>
      <c r="AX34" s="223"/>
      <c r="AY34" s="223"/>
      <c r="AZ34" s="223"/>
      <c r="BA34" s="223"/>
      <c r="BB34" s="223"/>
      <c r="BC34" s="223"/>
      <c r="BD34" s="223"/>
      <c r="BE34" s="223"/>
      <c r="BF34" s="230" t="str">
        <f>IF(ISERROR(MATCH(N34,#REF!, 0)), "",  INDEX(#REF!, MATCH(N34,#REF!, 0)))</f>
        <v/>
      </c>
      <c r="BG34" s="223"/>
      <c r="BH34" s="223"/>
      <c r="BI34" s="223"/>
      <c r="BJ34" s="223"/>
      <c r="BK34" s="223"/>
      <c r="BL34" s="223"/>
      <c r="BM34" s="223"/>
      <c r="BN34" s="223"/>
      <c r="BO34" s="223"/>
      <c r="BP34" s="223"/>
      <c r="BQ34" s="167" t="s">
        <v>636</v>
      </c>
    </row>
    <row r="35" spans="1:69" s="167" customFormat="1" ht="15.5" thickTop="1" thickBot="1" x14ac:dyDescent="0.4">
      <c r="A35" s="240" t="s">
        <v>576</v>
      </c>
      <c r="B35" s="138" t="s">
        <v>643</v>
      </c>
      <c r="C35" s="139" t="str">
        <f t="shared" si="1"/>
        <v>Recap – Grid Systems Planning and Operation</v>
      </c>
      <c r="D35" s="171">
        <v>5</v>
      </c>
      <c r="E35" s="171">
        <v>0</v>
      </c>
      <c r="F35" s="174">
        <f t="shared" si="7"/>
        <v>0.37847222222222221</v>
      </c>
      <c r="G35" s="173">
        <f t="shared" si="0"/>
        <v>0.38194444444444442</v>
      </c>
      <c r="H35" s="104">
        <v>42781</v>
      </c>
      <c r="I35" s="169" t="s">
        <v>581</v>
      </c>
      <c r="J35" s="123" t="s">
        <v>588</v>
      </c>
      <c r="K35" s="143" t="s">
        <v>538</v>
      </c>
      <c r="L35" s="143" t="s">
        <v>560</v>
      </c>
      <c r="M35" s="123" t="s">
        <v>516</v>
      </c>
      <c r="N35" s="123" t="s">
        <v>451</v>
      </c>
      <c r="O35" s="123" t="e">
        <f>INDEX(#REF!, MATCH($N35,#REF!, 0))</f>
        <v>#REF!</v>
      </c>
      <c r="P35" s="124" t="str">
        <f t="shared" si="2"/>
        <v>Charlton Clark</v>
      </c>
      <c r="Q35" s="223" t="e">
        <f t="shared" si="5"/>
        <v>#REF!</v>
      </c>
      <c r="R35" s="223" t="str">
        <f t="shared" si="6"/>
        <v>DOE</v>
      </c>
      <c r="S35" s="235"/>
      <c r="T35" s="223"/>
      <c r="U35" s="223"/>
      <c r="V35" s="223"/>
      <c r="W35" s="223"/>
      <c r="X35" s="223"/>
      <c r="Y35" s="223"/>
      <c r="Z35" s="223"/>
      <c r="AA35" s="223"/>
      <c r="AB35" s="158"/>
      <c r="AC35" s="158"/>
      <c r="AD35" s="158"/>
      <c r="AE35" s="158"/>
      <c r="AF35" s="158"/>
      <c r="AG35" s="223"/>
      <c r="AH35" s="223"/>
      <c r="AI35" s="223"/>
      <c r="AJ35" s="223"/>
      <c r="AK35" s="223"/>
      <c r="AL35" s="223"/>
      <c r="AM35" s="223"/>
      <c r="AN35" s="223"/>
      <c r="AO35" s="223"/>
      <c r="AP35" s="223"/>
      <c r="AQ35" s="223"/>
      <c r="AR35" s="223"/>
      <c r="AS35" s="223"/>
      <c r="AT35" s="223"/>
      <c r="AU35" s="223"/>
      <c r="AV35" s="223"/>
      <c r="AW35" s="223"/>
      <c r="AX35" s="223"/>
      <c r="AY35" s="223"/>
      <c r="AZ35" s="223"/>
      <c r="BA35" s="223"/>
      <c r="BB35" s="223"/>
      <c r="BC35" s="223"/>
      <c r="BD35" s="223"/>
      <c r="BE35" s="223"/>
      <c r="BF35" s="230" t="str">
        <f>IF(ISERROR(MATCH(N35,#REF!, 0)), "",  INDEX(#REF!, MATCH(N35,#REF!, 0)))</f>
        <v/>
      </c>
      <c r="BG35" s="223"/>
      <c r="BH35" s="223"/>
      <c r="BI35" s="223"/>
      <c r="BJ35" s="223"/>
      <c r="BK35" s="223"/>
      <c r="BL35" s="223"/>
      <c r="BM35" s="223"/>
      <c r="BN35" s="223"/>
      <c r="BO35" s="223"/>
      <c r="BP35" s="223"/>
      <c r="BQ35" s="167" t="s">
        <v>636</v>
      </c>
    </row>
    <row r="36" spans="1:69" s="167" customFormat="1" ht="15" x14ac:dyDescent="0.25">
      <c r="A36" s="240">
        <v>134</v>
      </c>
      <c r="B36" s="142" t="s">
        <v>711</v>
      </c>
      <c r="C36" s="142" t="str">
        <f t="shared" si="1"/>
        <v>Connecting the National Wind Test Center to the Energy Systems Integration Facility</v>
      </c>
      <c r="D36" s="171">
        <v>15</v>
      </c>
      <c r="E36" s="171">
        <v>10</v>
      </c>
      <c r="F36" s="174">
        <f t="shared" si="7"/>
        <v>0.38194444444444442</v>
      </c>
      <c r="G36" s="173">
        <f t="shared" si="0"/>
        <v>0.39930555555555552</v>
      </c>
      <c r="H36" s="104">
        <v>42781</v>
      </c>
      <c r="I36" s="169" t="s">
        <v>581</v>
      </c>
      <c r="J36" s="247" t="s">
        <v>588</v>
      </c>
      <c r="K36" s="163" t="s">
        <v>538</v>
      </c>
      <c r="L36" s="163" t="s">
        <v>560</v>
      </c>
      <c r="M36" s="247" t="s">
        <v>519</v>
      </c>
      <c r="N36" s="247" t="s">
        <v>599</v>
      </c>
      <c r="O36" s="247" t="e">
        <f>INDEX(#REF!, MATCH($N36,#REF!, 0))</f>
        <v>#REF!</v>
      </c>
      <c r="P36" s="231" t="str">
        <f t="shared" si="2"/>
        <v>Dave Corbus</v>
      </c>
      <c r="Q36" s="223" t="e">
        <f t="shared" si="5"/>
        <v>#REF!</v>
      </c>
      <c r="R36" s="223" t="str">
        <f t="shared" si="6"/>
        <v>NREL</v>
      </c>
      <c r="S36" s="235"/>
      <c r="T36" s="223"/>
      <c r="U36" s="223"/>
      <c r="V36" s="223"/>
      <c r="W36" s="223"/>
      <c r="X36" s="223"/>
      <c r="Y36" s="223"/>
      <c r="Z36" s="223"/>
      <c r="AA36" s="223"/>
      <c r="AB36" s="158"/>
      <c r="AC36" s="158"/>
      <c r="AD36" s="158"/>
      <c r="AE36" s="158"/>
      <c r="AF36" s="158"/>
      <c r="AG36" s="223"/>
      <c r="AH36" s="223"/>
      <c r="AI36" s="223"/>
      <c r="AJ36" s="223"/>
      <c r="AK36" s="223"/>
      <c r="AL36" s="223"/>
      <c r="AM36" s="223" t="str">
        <f>"projects\"&amp;$A36&amp;"_sum1.pdf"</f>
        <v>projects\134_sum1.pdf</v>
      </c>
      <c r="AN36" s="223" t="str">
        <f>"projects\"&amp;$A36&amp;"_pres1.pdf"</f>
        <v>projects\134_pres1.pdf</v>
      </c>
      <c r="AO36" s="223"/>
      <c r="AP36" s="223"/>
      <c r="AQ36" s="223"/>
      <c r="AR36" s="223"/>
      <c r="AS36" s="223"/>
      <c r="AT36" s="223"/>
      <c r="AU36" s="223"/>
      <c r="AV36" s="223"/>
      <c r="AW36" s="223"/>
      <c r="AX36" s="223"/>
      <c r="AY36" s="223"/>
      <c r="AZ36" s="223"/>
      <c r="BA36" s="223"/>
      <c r="BB36" s="223"/>
      <c r="BC36" s="223"/>
      <c r="BD36" s="223"/>
      <c r="BE36" s="223"/>
      <c r="BF36" s="230" t="str">
        <f>IF(ISERROR(MATCH(N36,#REF!, 0)), "",  INDEX(#REF!, MATCH(N36,#REF!, 0)))</f>
        <v/>
      </c>
      <c r="BG36" s="223"/>
      <c r="BH36" s="223"/>
      <c r="BI36" s="223"/>
      <c r="BJ36" s="223"/>
      <c r="BK36" s="223"/>
      <c r="BL36" s="223"/>
      <c r="BM36" s="223"/>
      <c r="BN36" s="223"/>
      <c r="BO36" s="223"/>
      <c r="BP36" s="223"/>
      <c r="BQ36" s="167" t="s">
        <v>636</v>
      </c>
    </row>
    <row r="37" spans="1:69" s="167" customFormat="1" ht="15" x14ac:dyDescent="0.25">
      <c r="A37" s="240">
        <v>135</v>
      </c>
      <c r="B37" s="142" t="s">
        <v>712</v>
      </c>
      <c r="C37" s="142" t="str">
        <f t="shared" si="1"/>
        <v>Analysis Using PMU Data and Dynamic analysis</v>
      </c>
      <c r="D37" s="171">
        <v>15</v>
      </c>
      <c r="E37" s="171">
        <v>10</v>
      </c>
      <c r="F37" s="174">
        <f t="shared" si="7"/>
        <v>0.39930555555555552</v>
      </c>
      <c r="G37" s="173">
        <f t="shared" si="0"/>
        <v>0.41666666666666663</v>
      </c>
      <c r="H37" s="104">
        <v>42781</v>
      </c>
      <c r="I37" s="169" t="s">
        <v>581</v>
      </c>
      <c r="J37" s="247" t="s">
        <v>588</v>
      </c>
      <c r="K37" s="163" t="s">
        <v>538</v>
      </c>
      <c r="L37" s="163" t="s">
        <v>560</v>
      </c>
      <c r="M37" s="247" t="s">
        <v>519</v>
      </c>
      <c r="N37" s="247" t="s">
        <v>601</v>
      </c>
      <c r="O37" s="247" t="e">
        <f>INDEX(#REF!, MATCH($N37,#REF!, 0))</f>
        <v>#REF!</v>
      </c>
      <c r="P37" s="231" t="str">
        <f t="shared" si="2"/>
        <v>Edward Muljadi</v>
      </c>
      <c r="Q37" s="223" t="e">
        <f t="shared" si="5"/>
        <v>#REF!</v>
      </c>
      <c r="R37" s="223" t="str">
        <f t="shared" si="6"/>
        <v>NREL</v>
      </c>
      <c r="S37" s="235"/>
      <c r="T37" s="223"/>
      <c r="U37" s="223"/>
      <c r="V37" s="223"/>
      <c r="W37" s="223"/>
      <c r="X37" s="223"/>
      <c r="Y37" s="223"/>
      <c r="Z37" s="223"/>
      <c r="AA37" s="223"/>
      <c r="AB37" s="158"/>
      <c r="AC37" s="158"/>
      <c r="AD37" s="158"/>
      <c r="AE37" s="158"/>
      <c r="AF37" s="158"/>
      <c r="AG37" s="223"/>
      <c r="AH37" s="223"/>
      <c r="AI37" s="223"/>
      <c r="AJ37" s="223"/>
      <c r="AK37" s="223"/>
      <c r="AL37" s="223"/>
      <c r="AM37" s="223" t="str">
        <f>"projects\"&amp;$A37&amp;"_sum1.pdf"</f>
        <v>projects\135_sum1.pdf</v>
      </c>
      <c r="AN37" s="223" t="str">
        <f>"projects\"&amp;$A37&amp;"_pres1.pdf"</f>
        <v>projects\135_pres1.pdf</v>
      </c>
      <c r="AO37" s="223"/>
      <c r="AP37" s="223"/>
      <c r="AQ37" s="223"/>
      <c r="AR37" s="223"/>
      <c r="AS37" s="223"/>
      <c r="AT37" s="223"/>
      <c r="AU37" s="223"/>
      <c r="AV37" s="223"/>
      <c r="AW37" s="223"/>
      <c r="AX37" s="223"/>
      <c r="AY37" s="223"/>
      <c r="AZ37" s="223"/>
      <c r="BA37" s="223"/>
      <c r="BB37" s="223"/>
      <c r="BC37" s="223"/>
      <c r="BD37" s="223"/>
      <c r="BE37" s="223"/>
      <c r="BF37" s="230" t="str">
        <f>IF(ISERROR(MATCH(N37,#REF!, 0)), "",  INDEX(#REF!, MATCH(N37,#REF!, 0)))</f>
        <v/>
      </c>
      <c r="BG37" s="223"/>
      <c r="BH37" s="223"/>
      <c r="BI37" s="223"/>
      <c r="BJ37" s="223"/>
      <c r="BK37" s="223"/>
      <c r="BL37" s="223"/>
      <c r="BM37" s="223"/>
      <c r="BN37" s="223"/>
      <c r="BO37" s="223"/>
      <c r="BP37" s="223"/>
      <c r="BQ37" s="167" t="s">
        <v>636</v>
      </c>
    </row>
    <row r="38" spans="1:69" s="167" customFormat="1" ht="15" x14ac:dyDescent="0.25">
      <c r="A38" s="240">
        <v>136</v>
      </c>
      <c r="B38" s="142" t="s">
        <v>713</v>
      </c>
      <c r="C38" s="142" t="str">
        <f t="shared" si="1"/>
        <v>Active Power Controls</v>
      </c>
      <c r="D38" s="171">
        <v>15</v>
      </c>
      <c r="E38" s="171">
        <v>10</v>
      </c>
      <c r="F38" s="174">
        <f t="shared" si="7"/>
        <v>0.41666666666666663</v>
      </c>
      <c r="G38" s="173">
        <f t="shared" si="0"/>
        <v>0.43402777777777773</v>
      </c>
      <c r="H38" s="104">
        <v>42781</v>
      </c>
      <c r="I38" s="169" t="s">
        <v>581</v>
      </c>
      <c r="J38" s="247" t="s">
        <v>588</v>
      </c>
      <c r="K38" s="163" t="s">
        <v>538</v>
      </c>
      <c r="L38" s="163" t="s">
        <v>560</v>
      </c>
      <c r="M38" s="247" t="s">
        <v>519</v>
      </c>
      <c r="N38" s="247" t="s">
        <v>635</v>
      </c>
      <c r="O38" s="247" t="e">
        <f>INDEX(#REF!, MATCH($N38,#REF!, 0))</f>
        <v>#REF!</v>
      </c>
      <c r="P38" s="231" t="str">
        <f t="shared" si="2"/>
        <v>Yingchen Zhang</v>
      </c>
      <c r="Q38" s="223" t="e">
        <f t="shared" si="5"/>
        <v>#REF!</v>
      </c>
      <c r="R38" s="223" t="str">
        <f t="shared" si="6"/>
        <v>NREL</v>
      </c>
      <c r="S38" s="235"/>
      <c r="T38" s="223"/>
      <c r="U38" s="223"/>
      <c r="V38" s="223"/>
      <c r="W38" s="223"/>
      <c r="X38" s="223"/>
      <c r="Y38" s="223"/>
      <c r="Z38" s="223"/>
      <c r="AA38" s="223"/>
      <c r="AB38" s="158"/>
      <c r="AC38" s="158"/>
      <c r="AD38" s="158"/>
      <c r="AE38" s="158"/>
      <c r="AF38" s="158"/>
      <c r="AG38" s="223"/>
      <c r="AH38" s="223"/>
      <c r="AI38" s="223"/>
      <c r="AJ38" s="223"/>
      <c r="AK38" s="223"/>
      <c r="AL38" s="223"/>
      <c r="AM38" s="223" t="str">
        <f>"projects\"&amp;$A38&amp;"_sum1.pdf"</f>
        <v>projects\136_sum1.pdf</v>
      </c>
      <c r="AN38" s="223" t="str">
        <f>"projects\"&amp;$A38&amp;"_pres1.pdf"</f>
        <v>projects\136_pres1.pdf</v>
      </c>
      <c r="AO38" s="223"/>
      <c r="AP38" s="223"/>
      <c r="AQ38" s="223"/>
      <c r="AR38" s="223"/>
      <c r="AS38" s="223"/>
      <c r="AT38" s="223"/>
      <c r="AU38" s="223"/>
      <c r="AV38" s="223"/>
      <c r="AW38" s="223"/>
      <c r="AX38" s="223"/>
      <c r="AY38" s="223"/>
      <c r="AZ38" s="223"/>
      <c r="BA38" s="223"/>
      <c r="BB38" s="223"/>
      <c r="BC38" s="223"/>
      <c r="BD38" s="223"/>
      <c r="BE38" s="223"/>
      <c r="BF38" s="230" t="str">
        <f>IF(ISERROR(MATCH(N38,#REF!, 0)), "",  INDEX(#REF!, MATCH(N38,#REF!, 0)))</f>
        <v/>
      </c>
      <c r="BG38" s="223"/>
      <c r="BH38" s="223"/>
      <c r="BI38" s="223"/>
      <c r="BJ38" s="223"/>
      <c r="BK38" s="223"/>
      <c r="BL38" s="223"/>
      <c r="BM38" s="223"/>
      <c r="BN38" s="223"/>
      <c r="BO38" s="223"/>
      <c r="BP38" s="223"/>
      <c r="BQ38" s="167" t="s">
        <v>636</v>
      </c>
    </row>
    <row r="39" spans="1:69" s="167" customFormat="1" ht="15.75" thickBot="1" x14ac:dyDescent="0.3">
      <c r="A39" s="240" t="s">
        <v>558</v>
      </c>
      <c r="B39" s="130" t="s">
        <v>520</v>
      </c>
      <c r="C39" s="130" t="str">
        <f t="shared" si="1"/>
        <v>BREAK</v>
      </c>
      <c r="D39" s="181">
        <v>15</v>
      </c>
      <c r="E39" s="181">
        <v>0</v>
      </c>
      <c r="F39" s="206">
        <f t="shared" si="7"/>
        <v>0.43402777777777773</v>
      </c>
      <c r="G39" s="207">
        <f t="shared" si="0"/>
        <v>0.44444444444444442</v>
      </c>
      <c r="H39" s="104">
        <v>42781</v>
      </c>
      <c r="I39" s="169" t="s">
        <v>580</v>
      </c>
      <c r="J39" s="208" t="s">
        <v>588</v>
      </c>
      <c r="K39" s="130" t="s">
        <v>560</v>
      </c>
      <c r="L39" s="130" t="s">
        <v>560</v>
      </c>
      <c r="M39" s="208" t="s">
        <v>560</v>
      </c>
      <c r="N39" s="208" t="s">
        <v>560</v>
      </c>
      <c r="O39" s="208" t="e">
        <f>INDEX(#REF!, MATCH($N39,#REF!, 0))</f>
        <v>#REF!</v>
      </c>
      <c r="P39" s="232" t="str">
        <f t="shared" si="2"/>
        <v>NULL</v>
      </c>
      <c r="Q39" s="223" t="e">
        <f t="shared" si="5"/>
        <v>#REF!</v>
      </c>
      <c r="R39" s="223" t="str">
        <f t="shared" si="6"/>
        <v>NULL</v>
      </c>
      <c r="S39" s="235"/>
      <c r="T39" s="223"/>
      <c r="U39" s="223"/>
      <c r="V39" s="223"/>
      <c r="W39" s="223"/>
      <c r="X39" s="223"/>
      <c r="Y39" s="223"/>
      <c r="Z39" s="223"/>
      <c r="AA39" s="223"/>
      <c r="AB39" s="158"/>
      <c r="AC39" s="158"/>
      <c r="AD39" s="158"/>
      <c r="AE39" s="158"/>
      <c r="AF39" s="158"/>
      <c r="AG39" s="223"/>
      <c r="AH39" s="223"/>
      <c r="AI39" s="223"/>
      <c r="AJ39" s="223"/>
      <c r="AK39" s="223"/>
      <c r="AL39" s="223"/>
      <c r="AM39" s="223"/>
      <c r="AN39" s="223"/>
      <c r="AO39" s="223"/>
      <c r="AP39" s="223"/>
      <c r="AQ39" s="223"/>
      <c r="AR39" s="223"/>
      <c r="AS39" s="223"/>
      <c r="AT39" s="223"/>
      <c r="AU39" s="223"/>
      <c r="AV39" s="223"/>
      <c r="AW39" s="223"/>
      <c r="AX39" s="223"/>
      <c r="AY39" s="223"/>
      <c r="AZ39" s="223"/>
      <c r="BA39" s="223"/>
      <c r="BB39" s="223"/>
      <c r="BC39" s="223"/>
      <c r="BD39" s="223"/>
      <c r="BE39" s="223"/>
      <c r="BF39" s="230" t="str">
        <f>IF(ISERROR(MATCH(N39,#REF!, 0)), "",  INDEX(#REF!, MATCH(N39,#REF!, 0)))</f>
        <v/>
      </c>
      <c r="BG39" s="223"/>
      <c r="BH39" s="223"/>
      <c r="BI39" s="223"/>
      <c r="BJ39" s="223"/>
      <c r="BK39" s="223"/>
      <c r="BL39" s="223"/>
      <c r="BM39" s="223"/>
      <c r="BN39" s="223"/>
      <c r="BO39" s="223"/>
      <c r="BP39" s="223"/>
      <c r="BQ39" s="167" t="s">
        <v>636</v>
      </c>
    </row>
    <row r="40" spans="1:69" s="167" customFormat="1" ht="16.5" thickTop="1" thickBot="1" x14ac:dyDescent="0.3">
      <c r="A40" s="240" t="s">
        <v>693</v>
      </c>
      <c r="B40" s="138" t="s">
        <v>645</v>
      </c>
      <c r="C40" s="139" t="str">
        <f t="shared" si="1"/>
        <v>Overview of Siting, Radar, and Environmental</v>
      </c>
      <c r="D40" s="171">
        <v>10</v>
      </c>
      <c r="E40" s="171">
        <v>5</v>
      </c>
      <c r="F40" s="174">
        <f t="shared" si="7"/>
        <v>0.44444444444444442</v>
      </c>
      <c r="G40" s="173">
        <f t="shared" si="0"/>
        <v>0.45486111111111105</v>
      </c>
      <c r="H40" s="104">
        <v>42781</v>
      </c>
      <c r="I40" s="169" t="s">
        <v>581</v>
      </c>
      <c r="J40" s="123" t="s">
        <v>588</v>
      </c>
      <c r="K40" s="143" t="s">
        <v>646</v>
      </c>
      <c r="L40" s="143" t="s">
        <v>560</v>
      </c>
      <c r="M40" s="123" t="s">
        <v>516</v>
      </c>
      <c r="N40" s="123" t="s">
        <v>452</v>
      </c>
      <c r="O40" s="123" t="e">
        <f>INDEX(#REF!, MATCH($N40,#REF!, 0))</f>
        <v>#REF!</v>
      </c>
      <c r="P40" s="124" t="str">
        <f t="shared" si="2"/>
        <v>Jocelyn Brown-Saracino</v>
      </c>
      <c r="Q40" s="223" t="e">
        <f t="shared" si="5"/>
        <v>#REF!</v>
      </c>
      <c r="R40" s="223" t="str">
        <f t="shared" si="6"/>
        <v>DOE</v>
      </c>
      <c r="S40" s="235"/>
      <c r="T40" s="223"/>
      <c r="U40" s="223"/>
      <c r="V40" s="223"/>
      <c r="W40" s="223"/>
      <c r="X40" s="223"/>
      <c r="Y40" s="223"/>
      <c r="Z40" s="223"/>
      <c r="AA40" s="223"/>
      <c r="AB40" s="158"/>
      <c r="AC40" s="158"/>
      <c r="AD40" s="158"/>
      <c r="AE40" s="158"/>
      <c r="AF40" s="158"/>
      <c r="AG40" s="223"/>
      <c r="AH40" s="223"/>
      <c r="AI40" s="223"/>
      <c r="AJ40" s="223"/>
      <c r="AK40" s="223"/>
      <c r="AL40" s="223"/>
      <c r="AM40" s="223"/>
      <c r="AN40" s="223" t="str">
        <f>"program\"&amp;$A40&amp;"_pres1.pdf"</f>
        <v>program\WPG16007_pres1.pdf</v>
      </c>
      <c r="AO40" s="223"/>
      <c r="AP40" s="223"/>
      <c r="AQ40" s="223"/>
      <c r="AR40" s="223"/>
      <c r="AS40" s="223"/>
      <c r="AT40" s="223"/>
      <c r="AU40" s="223"/>
      <c r="AV40" s="223"/>
      <c r="AW40" s="223"/>
      <c r="AX40" s="223"/>
      <c r="AY40" s="223"/>
      <c r="AZ40" s="223"/>
      <c r="BA40" s="223"/>
      <c r="BB40" s="223"/>
      <c r="BC40" s="223"/>
      <c r="BD40" s="223"/>
      <c r="BE40" s="223"/>
      <c r="BF40" s="230" t="str">
        <f>IF(ISERROR(MATCH(N40,#REF!, 0)), "",  INDEX(#REF!, MATCH(N40,#REF!, 0)))</f>
        <v/>
      </c>
      <c r="BG40" s="223"/>
      <c r="BH40" s="223"/>
      <c r="BI40" s="223"/>
      <c r="BJ40" s="223"/>
      <c r="BK40" s="223"/>
      <c r="BL40" s="223"/>
      <c r="BM40" s="223"/>
      <c r="BN40" s="223"/>
      <c r="BO40" s="223"/>
      <c r="BP40" s="223"/>
      <c r="BQ40" s="167" t="s">
        <v>636</v>
      </c>
    </row>
    <row r="41" spans="1:69" s="167" customFormat="1" ht="15" x14ac:dyDescent="0.25">
      <c r="A41" s="240">
        <v>145</v>
      </c>
      <c r="B41" s="142" t="s">
        <v>714</v>
      </c>
      <c r="C41" s="142" t="str">
        <f t="shared" si="1"/>
        <v>SNL Wind-Turbine RCS Mitigation</v>
      </c>
      <c r="D41" s="171">
        <v>15</v>
      </c>
      <c r="E41" s="171">
        <v>10</v>
      </c>
      <c r="F41" s="174">
        <f t="shared" si="7"/>
        <v>0.45486111111111105</v>
      </c>
      <c r="G41" s="173">
        <f t="shared" si="0"/>
        <v>0.47222222222222215</v>
      </c>
      <c r="H41" s="104">
        <v>42781</v>
      </c>
      <c r="I41" s="169" t="s">
        <v>581</v>
      </c>
      <c r="J41" s="247" t="s">
        <v>588</v>
      </c>
      <c r="K41" s="163" t="s">
        <v>646</v>
      </c>
      <c r="L41" s="163" t="s">
        <v>560</v>
      </c>
      <c r="M41" s="247" t="s">
        <v>529</v>
      </c>
      <c r="N41" s="247" t="s">
        <v>553</v>
      </c>
      <c r="O41" s="247" t="e">
        <f>INDEX(#REF!, MATCH($N41,#REF!, 0))</f>
        <v>#REF!</v>
      </c>
      <c r="P41" s="231" t="str">
        <f t="shared" si="2"/>
        <v>Ben Karlson</v>
      </c>
      <c r="Q41" s="223" t="e">
        <f t="shared" si="5"/>
        <v>#REF!</v>
      </c>
      <c r="R41" s="223" t="str">
        <f t="shared" si="6"/>
        <v>SNL</v>
      </c>
      <c r="S41" s="235"/>
      <c r="T41" s="223"/>
      <c r="U41" s="223"/>
      <c r="V41" s="223"/>
      <c r="W41" s="223"/>
      <c r="X41" s="223"/>
      <c r="Y41" s="223"/>
      <c r="Z41" s="223"/>
      <c r="AA41" s="223"/>
      <c r="AB41" s="158"/>
      <c r="AC41" s="158"/>
      <c r="AD41" s="158"/>
      <c r="AE41" s="158"/>
      <c r="AF41" s="158"/>
      <c r="AG41" s="223"/>
      <c r="AH41" s="223"/>
      <c r="AI41" s="223"/>
      <c r="AJ41" s="223"/>
      <c r="AK41" s="223"/>
      <c r="AL41" s="223"/>
      <c r="AM41" s="223" t="str">
        <f>"projects\"&amp;$A41&amp;"_sum1.pdf"</f>
        <v>projects\145_sum1.pdf</v>
      </c>
      <c r="AN41" s="223" t="str">
        <f>"projects\"&amp;$A41&amp;"_pres1.pdf"</f>
        <v>projects\145_pres1.pdf</v>
      </c>
      <c r="AO41" s="223"/>
      <c r="AP41" s="223"/>
      <c r="AQ41" s="223"/>
      <c r="AR41" s="223"/>
      <c r="AS41" s="223"/>
      <c r="AT41" s="223"/>
      <c r="AU41" s="223"/>
      <c r="AV41" s="223"/>
      <c r="AW41" s="223"/>
      <c r="AX41" s="223"/>
      <c r="AY41" s="223"/>
      <c r="AZ41" s="223"/>
      <c r="BA41" s="223"/>
      <c r="BB41" s="223"/>
      <c r="BC41" s="223"/>
      <c r="BD41" s="223"/>
      <c r="BE41" s="223"/>
      <c r="BF41" s="230" t="str">
        <f>IF(ISERROR(MATCH(N41,#REF!, 0)), "",  INDEX(#REF!, MATCH(N41,#REF!, 0)))</f>
        <v/>
      </c>
      <c r="BG41" s="223"/>
      <c r="BH41" s="223"/>
      <c r="BI41" s="223"/>
      <c r="BJ41" s="223"/>
      <c r="BK41" s="223"/>
      <c r="BL41" s="223"/>
      <c r="BM41" s="223"/>
      <c r="BN41" s="223"/>
      <c r="BO41" s="223"/>
      <c r="BP41" s="223"/>
      <c r="BQ41" s="167" t="s">
        <v>636</v>
      </c>
    </row>
    <row r="42" spans="1:69" s="167" customFormat="1" ht="15" x14ac:dyDescent="0.25">
      <c r="A42" s="240">
        <v>128</v>
      </c>
      <c r="B42" s="142" t="s">
        <v>715</v>
      </c>
      <c r="C42" s="142" t="str">
        <f t="shared" si="1"/>
        <v>MIT Lincoln Labs Radar Mitigation R&amp;D</v>
      </c>
      <c r="D42" s="171">
        <v>15</v>
      </c>
      <c r="E42" s="171">
        <v>10</v>
      </c>
      <c r="F42" s="174">
        <f t="shared" si="7"/>
        <v>0.47222222222222215</v>
      </c>
      <c r="G42" s="173">
        <f t="shared" si="0"/>
        <v>0.48958333333333326</v>
      </c>
      <c r="H42" s="104">
        <v>42781</v>
      </c>
      <c r="I42" s="169" t="s">
        <v>581</v>
      </c>
      <c r="J42" s="247" t="s">
        <v>588</v>
      </c>
      <c r="K42" s="163" t="s">
        <v>646</v>
      </c>
      <c r="L42" s="163" t="s">
        <v>560</v>
      </c>
      <c r="M42" s="247" t="s">
        <v>607</v>
      </c>
      <c r="N42" s="247" t="s">
        <v>606</v>
      </c>
      <c r="O42" s="247" t="e">
        <f>INDEX(#REF!, MATCH($N42,#REF!, 0))</f>
        <v>#REF!</v>
      </c>
      <c r="P42" s="231" t="str">
        <f t="shared" si="2"/>
        <v>Jason Biddle</v>
      </c>
      <c r="Q42" s="223" t="e">
        <f t="shared" si="5"/>
        <v>#REF!</v>
      </c>
      <c r="R42" s="223" t="str">
        <f t="shared" si="6"/>
        <v>MIT LL</v>
      </c>
      <c r="S42" s="235"/>
      <c r="T42" s="223"/>
      <c r="U42" s="223"/>
      <c r="V42" s="223"/>
      <c r="W42" s="223"/>
      <c r="X42" s="223"/>
      <c r="Y42" s="223"/>
      <c r="Z42" s="223"/>
      <c r="AA42" s="223"/>
      <c r="AB42" s="158"/>
      <c r="AC42" s="158"/>
      <c r="AD42" s="158"/>
      <c r="AE42" s="158"/>
      <c r="AF42" s="158"/>
      <c r="AG42" s="223"/>
      <c r="AH42" s="223"/>
      <c r="AI42" s="223"/>
      <c r="AJ42" s="223"/>
      <c r="AK42" s="223"/>
      <c r="AL42" s="223"/>
      <c r="AM42" s="223" t="str">
        <f>"projects\"&amp;$A42&amp;"_sum1.pdf"</f>
        <v>projects\128_sum1.pdf</v>
      </c>
      <c r="AN42" s="223" t="str">
        <f>"projects\"&amp;$A42&amp;"_pres1.pdf"</f>
        <v>projects\128_pres1.pdf</v>
      </c>
      <c r="AO42" s="223"/>
      <c r="AP42" s="223"/>
      <c r="AQ42" s="223"/>
      <c r="AR42" s="223"/>
      <c r="AS42" s="223"/>
      <c r="AT42" s="223"/>
      <c r="AU42" s="223"/>
      <c r="AV42" s="223"/>
      <c r="AW42" s="223"/>
      <c r="AX42" s="223"/>
      <c r="AY42" s="223"/>
      <c r="AZ42" s="223"/>
      <c r="BA42" s="223"/>
      <c r="BB42" s="223"/>
      <c r="BC42" s="223"/>
      <c r="BD42" s="223"/>
      <c r="BE42" s="223"/>
      <c r="BF42" s="230" t="str">
        <f>IF(ISERROR(MATCH(N42,#REF!, 0)), "",  INDEX(#REF!, MATCH(N42,#REF!, 0)))</f>
        <v/>
      </c>
      <c r="BG42" s="223"/>
      <c r="BH42" s="223"/>
      <c r="BI42" s="223"/>
      <c r="BJ42" s="223"/>
      <c r="BK42" s="223"/>
      <c r="BL42" s="223"/>
      <c r="BM42" s="223"/>
      <c r="BN42" s="223"/>
      <c r="BO42" s="223"/>
      <c r="BP42" s="223"/>
      <c r="BQ42" s="167" t="s">
        <v>636</v>
      </c>
    </row>
    <row r="43" spans="1:69" s="167" customFormat="1" ht="15" x14ac:dyDescent="0.25">
      <c r="A43" s="240">
        <v>137</v>
      </c>
      <c r="B43" s="150" t="s">
        <v>716</v>
      </c>
      <c r="C43" s="150" t="str">
        <f t="shared" si="1"/>
        <v>Wind Environmental Collaborative Research and Support</v>
      </c>
      <c r="D43" s="171">
        <v>15</v>
      </c>
      <c r="E43" s="171">
        <v>10</v>
      </c>
      <c r="F43" s="174">
        <f t="shared" si="7"/>
        <v>0.48958333333333326</v>
      </c>
      <c r="G43" s="173">
        <f t="shared" si="0"/>
        <v>0.50694444444444442</v>
      </c>
      <c r="H43" s="104">
        <v>42781</v>
      </c>
      <c r="I43" s="169" t="s">
        <v>581</v>
      </c>
      <c r="J43" s="247" t="s">
        <v>588</v>
      </c>
      <c r="K43" s="134" t="s">
        <v>646</v>
      </c>
      <c r="L43" s="134" t="s">
        <v>560</v>
      </c>
      <c r="M43" s="247" t="s">
        <v>519</v>
      </c>
      <c r="N43" s="247" t="s">
        <v>537</v>
      </c>
      <c r="O43" s="247" t="e">
        <f>INDEX(#REF!, MATCH($N43,#REF!, 0))</f>
        <v>#REF!</v>
      </c>
      <c r="P43" s="234" t="str">
        <f t="shared" si="2"/>
        <v>Karin Sinclair</v>
      </c>
      <c r="Q43" s="223" t="e">
        <f t="shared" si="5"/>
        <v>#REF!</v>
      </c>
      <c r="R43" s="223" t="str">
        <f t="shared" si="6"/>
        <v>NREL</v>
      </c>
      <c r="S43" s="235"/>
      <c r="T43" s="223"/>
      <c r="U43" s="223"/>
      <c r="V43" s="223"/>
      <c r="W43" s="223"/>
      <c r="X43" s="223"/>
      <c r="Y43" s="223"/>
      <c r="Z43" s="223"/>
      <c r="AA43" s="223"/>
      <c r="AB43" s="223"/>
      <c r="AC43" s="223"/>
      <c r="AD43" s="223"/>
      <c r="AE43" s="223"/>
      <c r="AF43" s="223"/>
      <c r="AG43" s="223"/>
      <c r="AH43" s="223"/>
      <c r="AI43" s="223"/>
      <c r="AJ43" s="223"/>
      <c r="AK43" s="223"/>
      <c r="AL43" s="223"/>
      <c r="AM43" s="223" t="str">
        <f>"projects\"&amp;$A43&amp;"_sum1.pdf"</f>
        <v>projects\137_sum1.pdf</v>
      </c>
      <c r="AN43" s="223" t="str">
        <f>"projects\"&amp;$A43&amp;"_pres1.pdf"</f>
        <v>projects\137_pres1.pdf</v>
      </c>
      <c r="AO43" s="223"/>
      <c r="AP43" s="223"/>
      <c r="AQ43" s="223"/>
      <c r="AR43" s="223"/>
      <c r="AS43" s="223"/>
      <c r="AT43" s="223"/>
      <c r="AU43" s="223"/>
      <c r="AV43" s="223"/>
      <c r="AW43" s="223"/>
      <c r="AX43" s="223"/>
      <c r="AY43" s="223"/>
      <c r="AZ43" s="223"/>
      <c r="BA43" s="223"/>
      <c r="BB43" s="223"/>
      <c r="BC43" s="223"/>
      <c r="BD43" s="223"/>
      <c r="BE43" s="223"/>
      <c r="BF43" s="230" t="str">
        <f>IF(ISERROR(MATCH(N43,#REF!, 0)), "",  INDEX(#REF!, MATCH(N43,#REF!, 0)))</f>
        <v/>
      </c>
      <c r="BG43" s="223"/>
      <c r="BH43" s="223"/>
      <c r="BI43" s="223"/>
      <c r="BJ43" s="223"/>
      <c r="BK43" s="223"/>
      <c r="BL43" s="223"/>
      <c r="BM43" s="223"/>
      <c r="BN43" s="223"/>
      <c r="BO43" s="223"/>
      <c r="BP43" s="223"/>
      <c r="BQ43" s="167" t="s">
        <v>636</v>
      </c>
    </row>
    <row r="44" spans="1:69" s="167" customFormat="1" ht="15.75" thickBot="1" x14ac:dyDescent="0.3">
      <c r="A44" s="240" t="s">
        <v>558</v>
      </c>
      <c r="B44" s="130" t="s">
        <v>520</v>
      </c>
      <c r="C44" s="130" t="str">
        <f t="shared" si="1"/>
        <v>BREAK</v>
      </c>
      <c r="D44" s="181">
        <v>20</v>
      </c>
      <c r="E44" s="181">
        <v>0</v>
      </c>
      <c r="F44" s="206">
        <f t="shared" si="7"/>
        <v>0.50694444444444442</v>
      </c>
      <c r="G44" s="207">
        <f t="shared" si="0"/>
        <v>0.52083333333333326</v>
      </c>
      <c r="H44" s="104">
        <v>42781</v>
      </c>
      <c r="I44" s="169" t="s">
        <v>580</v>
      </c>
      <c r="J44" s="208" t="s">
        <v>588</v>
      </c>
      <c r="K44" s="130" t="s">
        <v>560</v>
      </c>
      <c r="L44" s="130" t="s">
        <v>560</v>
      </c>
      <c r="M44" s="208" t="s">
        <v>560</v>
      </c>
      <c r="N44" s="208" t="s">
        <v>560</v>
      </c>
      <c r="O44" s="208" t="e">
        <f>INDEX(#REF!, MATCH($N44,#REF!, 0))</f>
        <v>#REF!</v>
      </c>
      <c r="P44" s="232" t="str">
        <f t="shared" si="2"/>
        <v>NULL</v>
      </c>
      <c r="Q44" s="223" t="e">
        <f t="shared" si="5"/>
        <v>#REF!</v>
      </c>
      <c r="R44" s="223" t="str">
        <f t="shared" si="6"/>
        <v>NULL</v>
      </c>
      <c r="S44" s="235"/>
      <c r="T44" s="223"/>
      <c r="U44" s="223"/>
      <c r="V44" s="223"/>
      <c r="W44" s="223"/>
      <c r="X44" s="223"/>
      <c r="Y44" s="223"/>
      <c r="Z44" s="223"/>
      <c r="AA44" s="223"/>
      <c r="AB44" s="223"/>
      <c r="AC44" s="223"/>
      <c r="AD44" s="223"/>
      <c r="AE44" s="223"/>
      <c r="AF44" s="223"/>
      <c r="AG44" s="223"/>
      <c r="AH44" s="223"/>
      <c r="AI44" s="223"/>
      <c r="AJ44" s="223"/>
      <c r="AK44" s="223"/>
      <c r="AL44" s="223"/>
      <c r="AM44" s="223"/>
      <c r="AN44" s="223"/>
      <c r="AO44" s="223"/>
      <c r="AP44" s="223"/>
      <c r="AQ44" s="223"/>
      <c r="AR44" s="223"/>
      <c r="AS44" s="223"/>
      <c r="AT44" s="223"/>
      <c r="AU44" s="223"/>
      <c r="AV44" s="223"/>
      <c r="AW44" s="223"/>
      <c r="AX44" s="223"/>
      <c r="AY44" s="223"/>
      <c r="AZ44" s="223"/>
      <c r="BA44" s="223"/>
      <c r="BB44" s="223"/>
      <c r="BC44" s="223"/>
      <c r="BD44" s="223"/>
      <c r="BE44" s="223"/>
      <c r="BF44" s="230" t="str">
        <f>IF(ISERROR(MATCH(N44,#REF!, 0)), "",  INDEX(#REF!, MATCH(N44,#REF!, 0)))</f>
        <v/>
      </c>
      <c r="BG44" s="223"/>
      <c r="BH44" s="223"/>
      <c r="BI44" s="223"/>
      <c r="BJ44" s="223"/>
      <c r="BK44" s="223"/>
      <c r="BL44" s="223"/>
      <c r="BM44" s="223"/>
      <c r="BN44" s="223"/>
      <c r="BO44" s="223"/>
      <c r="BP44" s="223"/>
      <c r="BQ44" s="167" t="s">
        <v>636</v>
      </c>
    </row>
    <row r="45" spans="1:69" s="191" customFormat="1" ht="16.5" thickTop="1" thickBot="1" x14ac:dyDescent="0.3">
      <c r="A45" s="239" t="s">
        <v>558</v>
      </c>
      <c r="B45" s="185" t="s">
        <v>521</v>
      </c>
      <c r="C45" s="185" t="str">
        <f t="shared" si="1"/>
        <v>LUNCH</v>
      </c>
      <c r="D45" s="186">
        <v>60</v>
      </c>
      <c r="E45" s="187">
        <v>0</v>
      </c>
      <c r="F45" s="188">
        <f t="shared" si="7"/>
        <v>0.52083333333333326</v>
      </c>
      <c r="G45" s="189">
        <f t="shared" si="0"/>
        <v>0.56249999999999989</v>
      </c>
      <c r="H45" s="104">
        <v>42781</v>
      </c>
      <c r="I45" s="169" t="s">
        <v>563</v>
      </c>
      <c r="J45" s="190" t="s">
        <v>588</v>
      </c>
      <c r="K45" s="185" t="s">
        <v>560</v>
      </c>
      <c r="L45" s="185" t="s">
        <v>560</v>
      </c>
      <c r="M45" s="190" t="s">
        <v>522</v>
      </c>
      <c r="N45" s="190" t="s">
        <v>522</v>
      </c>
      <c r="O45" s="190" t="e">
        <f>INDEX(#REF!, MATCH($N45,#REF!, 0))</f>
        <v>#REF!</v>
      </c>
      <c r="P45" s="185" t="str">
        <f t="shared" si="2"/>
        <v>tbd</v>
      </c>
      <c r="Q45" s="223" t="e">
        <f t="shared" si="5"/>
        <v>#REF!</v>
      </c>
      <c r="R45" s="223" t="str">
        <f t="shared" si="6"/>
        <v>tbd</v>
      </c>
      <c r="S45" s="236"/>
      <c r="T45" s="236"/>
      <c r="U45" s="236"/>
      <c r="V45" s="236"/>
      <c r="W45" s="236"/>
      <c r="X45" s="236"/>
      <c r="Y45" s="236"/>
      <c r="Z45" s="236"/>
      <c r="AA45" s="236"/>
      <c r="AB45" s="236"/>
      <c r="AC45" s="236"/>
      <c r="AD45" s="236"/>
      <c r="AE45" s="236"/>
      <c r="AF45" s="236"/>
      <c r="AG45" s="236"/>
      <c r="AH45" s="236"/>
      <c r="AI45" s="236"/>
      <c r="AJ45" s="236"/>
      <c r="AK45" s="236"/>
      <c r="AL45" s="236"/>
      <c r="AM45" s="236"/>
      <c r="AN45" s="236"/>
      <c r="AO45" s="236"/>
      <c r="AP45" s="236"/>
      <c r="AQ45" s="236"/>
      <c r="AR45" s="236"/>
      <c r="AS45" s="236"/>
      <c r="AT45" s="236"/>
      <c r="AU45" s="236"/>
      <c r="AV45" s="236"/>
      <c r="AW45" s="236"/>
      <c r="AX45" s="236"/>
      <c r="AY45" s="236"/>
      <c r="AZ45" s="236"/>
      <c r="BA45" s="236"/>
      <c r="BB45" s="236"/>
      <c r="BC45" s="236"/>
      <c r="BD45" s="236"/>
      <c r="BE45" s="236"/>
      <c r="BF45" s="230" t="str">
        <f>IF(ISERROR(MATCH(N45,#REF!, 0)), "",  INDEX(#REF!, MATCH(N45,#REF!, 0)))</f>
        <v/>
      </c>
      <c r="BG45" s="236"/>
      <c r="BH45" s="236"/>
      <c r="BI45" s="236"/>
      <c r="BJ45" s="236"/>
      <c r="BK45" s="236"/>
      <c r="BL45" s="236"/>
      <c r="BM45" s="236"/>
      <c r="BN45" s="236"/>
      <c r="BO45" s="236"/>
      <c r="BP45" s="236"/>
      <c r="BQ45" s="167" t="s">
        <v>636</v>
      </c>
    </row>
    <row r="46" spans="1:69" s="167" customFormat="1" ht="15.5" thickTop="1" thickBot="1" x14ac:dyDescent="0.4">
      <c r="A46" s="240" t="s">
        <v>576</v>
      </c>
      <c r="B46" s="138" t="s">
        <v>647</v>
      </c>
      <c r="C46" s="139" t="str">
        <f t="shared" si="1"/>
        <v>Recap – Siting, Radar, and Environmental</v>
      </c>
      <c r="D46" s="171">
        <v>5</v>
      </c>
      <c r="E46" s="171">
        <v>0</v>
      </c>
      <c r="F46" s="174">
        <f t="shared" si="7"/>
        <v>0.56249999999999989</v>
      </c>
      <c r="G46" s="173">
        <f t="shared" si="0"/>
        <v>0.5659722222222221</v>
      </c>
      <c r="H46" s="104">
        <v>42781</v>
      </c>
      <c r="I46" s="169" t="s">
        <v>581</v>
      </c>
      <c r="J46" s="123" t="s">
        <v>588</v>
      </c>
      <c r="K46" s="143" t="s">
        <v>646</v>
      </c>
      <c r="L46" s="143" t="s">
        <v>560</v>
      </c>
      <c r="M46" s="123" t="s">
        <v>516</v>
      </c>
      <c r="N46" s="123" t="s">
        <v>452</v>
      </c>
      <c r="O46" s="123" t="e">
        <f>INDEX(#REF!, MATCH($N46,#REF!, 0))</f>
        <v>#REF!</v>
      </c>
      <c r="P46" s="124" t="str">
        <f t="shared" si="2"/>
        <v>Jocelyn Brown-Saracino</v>
      </c>
      <c r="Q46" s="223" t="e">
        <f t="shared" si="5"/>
        <v>#REF!</v>
      </c>
      <c r="R46" s="223" t="str">
        <f t="shared" si="6"/>
        <v>DOE</v>
      </c>
      <c r="S46" s="235"/>
      <c r="T46" s="223"/>
      <c r="U46" s="223"/>
      <c r="V46" s="223"/>
      <c r="W46" s="223"/>
      <c r="X46" s="223"/>
      <c r="Y46" s="223"/>
      <c r="Z46" s="223"/>
      <c r="AA46" s="223"/>
      <c r="AB46" s="223"/>
      <c r="AC46" s="223"/>
      <c r="AD46" s="223"/>
      <c r="AE46" s="223"/>
      <c r="AF46" s="223"/>
      <c r="AG46" s="223"/>
      <c r="AH46" s="223"/>
      <c r="AI46" s="223"/>
      <c r="AJ46" s="223"/>
      <c r="AK46" s="223"/>
      <c r="AL46" s="223"/>
      <c r="AM46" s="223"/>
      <c r="AN46" s="223"/>
      <c r="AO46" s="223"/>
      <c r="AP46" s="223"/>
      <c r="AQ46" s="223"/>
      <c r="AR46" s="223"/>
      <c r="AS46" s="223"/>
      <c r="AT46" s="223"/>
      <c r="AU46" s="223"/>
      <c r="AV46" s="223"/>
      <c r="AW46" s="223"/>
      <c r="AX46" s="223"/>
      <c r="AY46" s="223"/>
      <c r="AZ46" s="223"/>
      <c r="BA46" s="223"/>
      <c r="BB46" s="223"/>
      <c r="BC46" s="223"/>
      <c r="BD46" s="223"/>
      <c r="BE46" s="223"/>
      <c r="BF46" s="230" t="str">
        <f>IF(ISERROR(MATCH(N46,#REF!, 0)), "",  INDEX(#REF!, MATCH(N46,#REF!, 0)))</f>
        <v/>
      </c>
      <c r="BG46" s="223"/>
      <c r="BH46" s="223"/>
      <c r="BI46" s="223"/>
      <c r="BJ46" s="223"/>
      <c r="BK46" s="223"/>
      <c r="BL46" s="223"/>
      <c r="BM46" s="223"/>
      <c r="BN46" s="223"/>
      <c r="BO46" s="223"/>
      <c r="BP46" s="223"/>
      <c r="BQ46" s="167" t="s">
        <v>636</v>
      </c>
    </row>
    <row r="47" spans="1:69" s="167" customFormat="1" ht="15" x14ac:dyDescent="0.25">
      <c r="A47" s="240">
        <v>150</v>
      </c>
      <c r="B47" s="142" t="s">
        <v>717</v>
      </c>
      <c r="C47" s="142" t="str">
        <f t="shared" si="1"/>
        <v>Texturizing Wind Turbine Towers to Reduce Bat Mortality</v>
      </c>
      <c r="D47" s="171">
        <v>15</v>
      </c>
      <c r="E47" s="171">
        <v>10</v>
      </c>
      <c r="F47" s="174">
        <f t="shared" si="7"/>
        <v>0.5659722222222221</v>
      </c>
      <c r="G47" s="173">
        <f t="shared" si="0"/>
        <v>0.58333333333333315</v>
      </c>
      <c r="H47" s="104">
        <v>42781</v>
      </c>
      <c r="I47" s="169" t="s">
        <v>581</v>
      </c>
      <c r="J47" s="247" t="s">
        <v>588</v>
      </c>
      <c r="K47" s="163" t="s">
        <v>646</v>
      </c>
      <c r="L47" s="163" t="s">
        <v>560</v>
      </c>
      <c r="M47" s="247" t="s">
        <v>632</v>
      </c>
      <c r="N47" s="247" t="s">
        <v>631</v>
      </c>
      <c r="O47" s="247" t="e">
        <f>INDEX(#REF!, MATCH($N47,#REF!, 0))</f>
        <v>#REF!</v>
      </c>
      <c r="P47" s="231" t="str">
        <f t="shared" si="2"/>
        <v>Victoria Bennett</v>
      </c>
      <c r="Q47" s="223" t="e">
        <f t="shared" si="5"/>
        <v>#REF!</v>
      </c>
      <c r="R47" s="223" t="str">
        <f t="shared" si="6"/>
        <v>Texas Christian University</v>
      </c>
      <c r="S47" s="235"/>
      <c r="T47" s="223"/>
      <c r="U47" s="223"/>
      <c r="V47" s="223"/>
      <c r="W47" s="223"/>
      <c r="X47" s="223"/>
      <c r="Y47" s="223"/>
      <c r="Z47" s="223"/>
      <c r="AA47" s="223"/>
      <c r="AB47" s="223"/>
      <c r="AC47" s="223"/>
      <c r="AD47" s="223"/>
      <c r="AE47" s="223"/>
      <c r="AF47" s="223"/>
      <c r="AG47" s="223"/>
      <c r="AH47" s="223"/>
      <c r="AI47" s="223"/>
      <c r="AJ47" s="223"/>
      <c r="AK47" s="223"/>
      <c r="AL47" s="223"/>
      <c r="AM47" s="223" t="str">
        <f>"projects\"&amp;$A47&amp;"_sum1.pdf"</f>
        <v>projects\150_sum1.pdf</v>
      </c>
      <c r="AN47" s="223" t="str">
        <f>"projects\"&amp;$A47&amp;"_pres1.pdf"</f>
        <v>projects\150_pres1.pdf</v>
      </c>
      <c r="AO47" s="223"/>
      <c r="AP47" s="223"/>
      <c r="AQ47" s="223"/>
      <c r="AR47" s="223"/>
      <c r="AS47" s="223"/>
      <c r="AT47" s="223"/>
      <c r="AU47" s="223"/>
      <c r="AV47" s="223"/>
      <c r="AW47" s="223"/>
      <c r="AX47" s="223"/>
      <c r="AY47" s="223"/>
      <c r="AZ47" s="223"/>
      <c r="BA47" s="223"/>
      <c r="BB47" s="223"/>
      <c r="BC47" s="223"/>
      <c r="BD47" s="223"/>
      <c r="BE47" s="223"/>
      <c r="BF47" s="230" t="str">
        <f>IF(ISERROR(MATCH(N47,#REF!, 0)), "",  INDEX(#REF!, MATCH(N47,#REF!, 0)))</f>
        <v/>
      </c>
      <c r="BG47" s="223"/>
      <c r="BH47" s="223"/>
      <c r="BI47" s="223"/>
      <c r="BJ47" s="223"/>
      <c r="BK47" s="223"/>
      <c r="BL47" s="223"/>
      <c r="BM47" s="223"/>
      <c r="BN47" s="223"/>
      <c r="BO47" s="223"/>
      <c r="BP47" s="223"/>
      <c r="BQ47" s="167" t="s">
        <v>636</v>
      </c>
    </row>
    <row r="48" spans="1:69" s="167" customFormat="1" x14ac:dyDescent="0.35">
      <c r="A48" s="240">
        <v>149</v>
      </c>
      <c r="B48" s="142" t="s">
        <v>718</v>
      </c>
      <c r="C48" s="142" t="str">
        <f t="shared" si="1"/>
        <v>A Biomimetic Ultrasonic Whistle for Use as a Bat Deterrent on Wind Turbines</v>
      </c>
      <c r="D48" s="171">
        <v>15</v>
      </c>
      <c r="E48" s="171">
        <v>10</v>
      </c>
      <c r="F48" s="174">
        <f t="shared" si="7"/>
        <v>0.58333333333333315</v>
      </c>
      <c r="G48" s="173">
        <f t="shared" si="0"/>
        <v>0.6006944444444442</v>
      </c>
      <c r="H48" s="104">
        <v>42781</v>
      </c>
      <c r="I48" s="169" t="s">
        <v>581</v>
      </c>
      <c r="J48" s="247" t="s">
        <v>588</v>
      </c>
      <c r="K48" s="163" t="s">
        <v>646</v>
      </c>
      <c r="L48" s="163" t="s">
        <v>560</v>
      </c>
      <c r="M48" s="247" t="s">
        <v>624</v>
      </c>
      <c r="N48" s="247" t="s">
        <v>623</v>
      </c>
      <c r="O48" s="247" t="e">
        <f>INDEX(#REF!, MATCH($N48,#REF!, 0))</f>
        <v>#REF!</v>
      </c>
      <c r="P48" s="231" t="str">
        <f t="shared" si="2"/>
        <v>Paul Sievert</v>
      </c>
      <c r="Q48" s="223" t="e">
        <f t="shared" si="5"/>
        <v>#REF!</v>
      </c>
      <c r="R48" s="223" t="str">
        <f t="shared" si="6"/>
        <v>University of Massachusetts Amherst</v>
      </c>
      <c r="S48" s="235"/>
      <c r="T48" s="223"/>
      <c r="U48" s="223"/>
      <c r="V48" s="223"/>
      <c r="W48" s="223"/>
      <c r="X48" s="223"/>
      <c r="Y48" s="223"/>
      <c r="Z48" s="223"/>
      <c r="AA48" s="223"/>
      <c r="AB48" s="223"/>
      <c r="AC48" s="223"/>
      <c r="AD48" s="223"/>
      <c r="AE48" s="223"/>
      <c r="AF48" s="223"/>
      <c r="AG48" s="223"/>
      <c r="AH48" s="223"/>
      <c r="AI48" s="223"/>
      <c r="AJ48" s="223"/>
      <c r="AK48" s="223"/>
      <c r="AL48" s="223"/>
      <c r="AM48" s="223" t="str">
        <f>"projects\"&amp;$A48&amp;"_sum1.pdf"</f>
        <v>projects\149_sum1.pdf</v>
      </c>
      <c r="AN48" s="223" t="str">
        <f>"projects\"&amp;$A48&amp;"_pres1.pdf"</f>
        <v>projects\149_pres1.pdf</v>
      </c>
      <c r="AO48" s="223"/>
      <c r="AP48" s="223"/>
      <c r="AQ48" s="223"/>
      <c r="AR48" s="223"/>
      <c r="AS48" s="223"/>
      <c r="AT48" s="223"/>
      <c r="AU48" s="223"/>
      <c r="AV48" s="223"/>
      <c r="AW48" s="223"/>
      <c r="AX48" s="223"/>
      <c r="AY48" s="223"/>
      <c r="AZ48" s="223"/>
      <c r="BA48" s="223"/>
      <c r="BB48" s="223"/>
      <c r="BC48" s="223"/>
      <c r="BD48" s="223"/>
      <c r="BE48" s="223"/>
      <c r="BF48" s="230" t="str">
        <f>IF(ISERROR(MATCH(N48,#REF!, 0)), "",  INDEX(#REF!, MATCH(N48,#REF!, 0)))</f>
        <v/>
      </c>
      <c r="BG48" s="223"/>
      <c r="BH48" s="223"/>
      <c r="BI48" s="223"/>
      <c r="BJ48" s="223"/>
      <c r="BK48" s="223"/>
      <c r="BL48" s="223"/>
      <c r="BM48" s="223"/>
      <c r="BN48" s="223"/>
      <c r="BO48" s="223"/>
      <c r="BP48" s="223"/>
      <c r="BQ48" s="167" t="s">
        <v>636</v>
      </c>
    </row>
    <row r="49" spans="1:69" s="167" customFormat="1" x14ac:dyDescent="0.35">
      <c r="A49" s="240">
        <v>151</v>
      </c>
      <c r="B49" s="142" t="s">
        <v>719</v>
      </c>
      <c r="C49" s="142" t="str">
        <f t="shared" si="1"/>
        <v>Rotor-Mounted Bat Impact Mitigation System</v>
      </c>
      <c r="D49" s="171">
        <v>15</v>
      </c>
      <c r="E49" s="171">
        <v>10</v>
      </c>
      <c r="F49" s="174">
        <f t="shared" si="7"/>
        <v>0.6006944444444442</v>
      </c>
      <c r="G49" s="173">
        <f t="shared" si="0"/>
        <v>0.61805555555555525</v>
      </c>
      <c r="H49" s="104">
        <v>42781</v>
      </c>
      <c r="I49" s="169" t="s">
        <v>581</v>
      </c>
      <c r="J49" s="247" t="s">
        <v>588</v>
      </c>
      <c r="K49" s="163" t="s">
        <v>646</v>
      </c>
      <c r="L49" s="163" t="s">
        <v>560</v>
      </c>
      <c r="M49" s="247" t="s">
        <v>648</v>
      </c>
      <c r="N49" s="247" t="s">
        <v>622</v>
      </c>
      <c r="O49" s="247" t="e">
        <f>INDEX(#REF!, MATCH($N49,#REF!, 0))</f>
        <v>#REF!</v>
      </c>
      <c r="P49" s="231" t="str">
        <f t="shared" si="2"/>
        <v>Myron Miller</v>
      </c>
      <c r="Q49" s="223" t="e">
        <f t="shared" si="5"/>
        <v>#REF!</v>
      </c>
      <c r="R49" s="223" t="str">
        <f t="shared" si="6"/>
        <v>Frontier Wind LLC</v>
      </c>
      <c r="S49" s="235"/>
      <c r="T49" s="223"/>
      <c r="U49" s="223"/>
      <c r="V49" s="223"/>
      <c r="W49" s="223"/>
      <c r="X49" s="223"/>
      <c r="Y49" s="223"/>
      <c r="Z49" s="223"/>
      <c r="AA49" s="223"/>
      <c r="AB49" s="223"/>
      <c r="AC49" s="223"/>
      <c r="AD49" s="223"/>
      <c r="AE49" s="223"/>
      <c r="AF49" s="223"/>
      <c r="AG49" s="223"/>
      <c r="AH49" s="223"/>
      <c r="AI49" s="223"/>
      <c r="AJ49" s="223"/>
      <c r="AK49" s="223"/>
      <c r="AL49" s="223"/>
      <c r="AM49" s="223" t="str">
        <f>"projects\"&amp;$A49&amp;"_sum1.pdf"</f>
        <v>projects\151_sum1.pdf</v>
      </c>
      <c r="AN49" s="223" t="str">
        <f>"projects\"&amp;$A49&amp;"_pres1.pdf"</f>
        <v>projects\151_pres1.pdf</v>
      </c>
      <c r="AO49" s="223"/>
      <c r="AP49" s="223"/>
      <c r="AQ49" s="223"/>
      <c r="AR49" s="223"/>
      <c r="AS49" s="223"/>
      <c r="AT49" s="223"/>
      <c r="AU49" s="223"/>
      <c r="AV49" s="223"/>
      <c r="AW49" s="223"/>
      <c r="AX49" s="223"/>
      <c r="AY49" s="223"/>
      <c r="AZ49" s="223"/>
      <c r="BA49" s="223"/>
      <c r="BB49" s="223"/>
      <c r="BC49" s="223"/>
      <c r="BD49" s="223"/>
      <c r="BE49" s="223"/>
      <c r="BF49" s="230" t="str">
        <f>IF(ISERROR(MATCH(N49,#REF!, 0)), "",  INDEX(#REF!, MATCH(N49,#REF!, 0)))</f>
        <v/>
      </c>
      <c r="BG49" s="223"/>
      <c r="BH49" s="223"/>
      <c r="BI49" s="223"/>
      <c r="BJ49" s="223"/>
      <c r="BK49" s="223"/>
      <c r="BL49" s="223"/>
      <c r="BM49" s="223"/>
      <c r="BN49" s="223"/>
      <c r="BO49" s="223"/>
      <c r="BP49" s="223"/>
      <c r="BQ49" s="167" t="s">
        <v>636</v>
      </c>
    </row>
    <row r="50" spans="1:69" s="167" customFormat="1" x14ac:dyDescent="0.35">
      <c r="A50" s="240">
        <v>152</v>
      </c>
      <c r="B50" s="142" t="s">
        <v>720</v>
      </c>
      <c r="C50" s="142" t="str">
        <f t="shared" si="1"/>
        <v>Ultrasonic Bat Deterrent Technology</v>
      </c>
      <c r="D50" s="171">
        <v>15</v>
      </c>
      <c r="E50" s="171">
        <v>10</v>
      </c>
      <c r="F50" s="174">
        <f t="shared" si="7"/>
        <v>0.61805555555555525</v>
      </c>
      <c r="G50" s="173">
        <f t="shared" si="0"/>
        <v>0.6354166666666663</v>
      </c>
      <c r="H50" s="104">
        <v>42781</v>
      </c>
      <c r="I50" s="169" t="s">
        <v>581</v>
      </c>
      <c r="J50" s="247" t="s">
        <v>588</v>
      </c>
      <c r="K50" s="163" t="s">
        <v>646</v>
      </c>
      <c r="L50" s="163" t="s">
        <v>560</v>
      </c>
      <c r="M50" s="247" t="s">
        <v>590</v>
      </c>
      <c r="N50" s="247" t="s">
        <v>620</v>
      </c>
      <c r="O50" s="247" t="e">
        <f>INDEX(#REF!, MATCH($N50,#REF!, 0))</f>
        <v>#REF!</v>
      </c>
      <c r="P50" s="231" t="str">
        <f t="shared" si="2"/>
        <v>Michael Booth</v>
      </c>
      <c r="Q50" s="223" t="e">
        <f t="shared" si="5"/>
        <v>#REF!</v>
      </c>
      <c r="R50" s="223" t="str">
        <f t="shared" si="6"/>
        <v>General Electric</v>
      </c>
      <c r="S50" s="235"/>
      <c r="T50" s="223"/>
      <c r="U50" s="223"/>
      <c r="V50" s="223"/>
      <c r="W50" s="223"/>
      <c r="X50" s="223"/>
      <c r="Y50" s="223"/>
      <c r="Z50" s="223"/>
      <c r="AA50" s="223"/>
      <c r="AB50" s="223"/>
      <c r="AC50" s="223"/>
      <c r="AD50" s="223"/>
      <c r="AE50" s="223"/>
      <c r="AF50" s="223"/>
      <c r="AG50" s="223"/>
      <c r="AH50" s="223"/>
      <c r="AI50" s="223"/>
      <c r="AJ50" s="223"/>
      <c r="AK50" s="223"/>
      <c r="AL50" s="223"/>
      <c r="AM50" s="223" t="str">
        <f>"projects\"&amp;$A50&amp;"_sum1.pdf"</f>
        <v>projects\152_sum1.pdf</v>
      </c>
      <c r="AN50" s="223" t="str">
        <f>"projects\"&amp;$A50&amp;"_pres1.pdf"</f>
        <v>projects\152_pres1.pdf</v>
      </c>
      <c r="AO50" s="223"/>
      <c r="AP50" s="223"/>
      <c r="AQ50" s="223"/>
      <c r="AR50" s="223"/>
      <c r="AS50" s="223"/>
      <c r="AT50" s="223"/>
      <c r="AU50" s="223"/>
      <c r="AV50" s="223"/>
      <c r="AW50" s="223"/>
      <c r="AX50" s="223"/>
      <c r="AY50" s="223"/>
      <c r="AZ50" s="223"/>
      <c r="BA50" s="223"/>
      <c r="BB50" s="223"/>
      <c r="BC50" s="223"/>
      <c r="BD50" s="223"/>
      <c r="BE50" s="223"/>
      <c r="BF50" s="230" t="str">
        <f>IF(ISERROR(MATCH(N50,#REF!, 0)), "",  INDEX(#REF!, MATCH(N50,#REF!, 0)))</f>
        <v/>
      </c>
      <c r="BG50" s="223"/>
      <c r="BH50" s="223"/>
      <c r="BI50" s="223"/>
      <c r="BJ50" s="223"/>
      <c r="BK50" s="223"/>
      <c r="BL50" s="223"/>
      <c r="BM50" s="223"/>
      <c r="BN50" s="223"/>
      <c r="BO50" s="223"/>
      <c r="BP50" s="223"/>
      <c r="BQ50" s="167" t="s">
        <v>636</v>
      </c>
    </row>
    <row r="51" spans="1:69" s="167" customFormat="1" x14ac:dyDescent="0.35">
      <c r="A51" s="240">
        <v>153</v>
      </c>
      <c r="B51" s="142" t="s">
        <v>721</v>
      </c>
      <c r="C51" s="142" t="str">
        <f t="shared" si="1"/>
        <v>Evaluating the Effectiveness of Ultrasonic Acoustic Deterrents in Reducing Bat Fatalities at Wind Energy Facilities</v>
      </c>
      <c r="D51" s="171">
        <v>15</v>
      </c>
      <c r="E51" s="171">
        <v>10</v>
      </c>
      <c r="F51" s="174">
        <f t="shared" si="7"/>
        <v>0.6354166666666663</v>
      </c>
      <c r="G51" s="173">
        <f t="shared" si="0"/>
        <v>0.65277777777777735</v>
      </c>
      <c r="H51" s="104">
        <v>42781</v>
      </c>
      <c r="I51" s="169" t="s">
        <v>581</v>
      </c>
      <c r="J51" s="247" t="s">
        <v>588</v>
      </c>
      <c r="K51" s="163" t="s">
        <v>646</v>
      </c>
      <c r="L51" s="163" t="s">
        <v>560</v>
      </c>
      <c r="M51" s="247" t="s">
        <v>598</v>
      </c>
      <c r="N51" s="247" t="s">
        <v>597</v>
      </c>
      <c r="O51" s="247" t="e">
        <f>INDEX(#REF!, MATCH($N51,#REF!, 0))</f>
        <v>#REF!</v>
      </c>
      <c r="P51" s="231" t="str">
        <f t="shared" si="2"/>
        <v>Cris Hein</v>
      </c>
      <c r="Q51" s="223" t="e">
        <f t="shared" si="5"/>
        <v>#REF!</v>
      </c>
      <c r="R51" s="223" t="str">
        <f t="shared" si="6"/>
        <v>Bat Conservation International</v>
      </c>
      <c r="S51" s="235"/>
      <c r="T51" s="223"/>
      <c r="U51" s="223"/>
      <c r="V51" s="223"/>
      <c r="W51" s="223"/>
      <c r="X51" s="223"/>
      <c r="Y51" s="223"/>
      <c r="Z51" s="223"/>
      <c r="AA51" s="223"/>
      <c r="AB51" s="223"/>
      <c r="AC51" s="223"/>
      <c r="AD51" s="223"/>
      <c r="AE51" s="223"/>
      <c r="AF51" s="223"/>
      <c r="AG51" s="223"/>
      <c r="AH51" s="223"/>
      <c r="AI51" s="223"/>
      <c r="AJ51" s="223"/>
      <c r="AK51" s="223"/>
      <c r="AL51" s="223"/>
      <c r="AM51" s="223" t="str">
        <f>"projects\"&amp;$A51&amp;"_sum1.pdf"</f>
        <v>projects\153_sum1.pdf</v>
      </c>
      <c r="AN51" s="223" t="str">
        <f>"projects\"&amp;$A51&amp;"_pres1.pdf"</f>
        <v>projects\153_pres1.pdf</v>
      </c>
      <c r="AO51" s="223"/>
      <c r="AP51" s="223"/>
      <c r="AQ51" s="223"/>
      <c r="AR51" s="223"/>
      <c r="AS51" s="223"/>
      <c r="AT51" s="223"/>
      <c r="AU51" s="223"/>
      <c r="AV51" s="223"/>
      <c r="AW51" s="223"/>
      <c r="AX51" s="223"/>
      <c r="AY51" s="223"/>
      <c r="AZ51" s="223"/>
      <c r="BA51" s="223"/>
      <c r="BB51" s="223"/>
      <c r="BC51" s="223"/>
      <c r="BD51" s="223"/>
      <c r="BE51" s="223"/>
      <c r="BF51" s="230" t="str">
        <f>IF(ISERROR(MATCH(N51,#REF!, 0)), "",  INDEX(#REF!, MATCH(N51,#REF!, 0)))</f>
        <v/>
      </c>
      <c r="BG51" s="223"/>
      <c r="BH51" s="223"/>
      <c r="BI51" s="223"/>
      <c r="BJ51" s="223"/>
      <c r="BK51" s="223"/>
      <c r="BL51" s="223"/>
      <c r="BM51" s="223"/>
      <c r="BN51" s="223"/>
      <c r="BO51" s="223"/>
      <c r="BP51" s="223"/>
      <c r="BQ51" s="167" t="s">
        <v>636</v>
      </c>
    </row>
    <row r="52" spans="1:69" s="167" customFormat="1" ht="15" thickBot="1" x14ac:dyDescent="0.4">
      <c r="A52" s="240" t="s">
        <v>558</v>
      </c>
      <c r="B52" s="130" t="s">
        <v>520</v>
      </c>
      <c r="C52" s="130" t="str">
        <f t="shared" si="1"/>
        <v>BREAK</v>
      </c>
      <c r="D52" s="181">
        <v>15</v>
      </c>
      <c r="E52" s="181">
        <v>0</v>
      </c>
      <c r="F52" s="206">
        <f t="shared" si="7"/>
        <v>0.65277777777777735</v>
      </c>
      <c r="G52" s="207">
        <f t="shared" si="0"/>
        <v>0.66319444444444398</v>
      </c>
      <c r="H52" s="104">
        <v>42781</v>
      </c>
      <c r="I52" s="169" t="s">
        <v>580</v>
      </c>
      <c r="J52" s="208" t="s">
        <v>588</v>
      </c>
      <c r="K52" s="130" t="s">
        <v>560</v>
      </c>
      <c r="L52" s="130" t="s">
        <v>560</v>
      </c>
      <c r="M52" s="208" t="s">
        <v>560</v>
      </c>
      <c r="N52" s="208" t="s">
        <v>560</v>
      </c>
      <c r="O52" s="208" t="e">
        <f>INDEX(#REF!, MATCH($N52,#REF!, 0))</f>
        <v>#REF!</v>
      </c>
      <c r="P52" s="232" t="str">
        <f t="shared" si="2"/>
        <v>NULL</v>
      </c>
      <c r="Q52" s="223" t="e">
        <f t="shared" si="5"/>
        <v>#REF!</v>
      </c>
      <c r="R52" s="223" t="str">
        <f t="shared" si="6"/>
        <v>NULL</v>
      </c>
      <c r="S52" s="235"/>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30" t="str">
        <f>IF(ISERROR(MATCH(N52,#REF!, 0)), "",  INDEX(#REF!, MATCH(N52,#REF!, 0)))</f>
        <v/>
      </c>
      <c r="BG52" s="223"/>
      <c r="BH52" s="223"/>
      <c r="BI52" s="223"/>
      <c r="BJ52" s="223"/>
      <c r="BK52" s="223"/>
      <c r="BL52" s="223"/>
      <c r="BM52" s="223"/>
      <c r="BN52" s="223"/>
      <c r="BO52" s="223"/>
      <c r="BP52" s="223"/>
      <c r="BQ52" s="167" t="s">
        <v>636</v>
      </c>
    </row>
    <row r="53" spans="1:69" s="167" customFormat="1" ht="15.5" thickTop="1" thickBot="1" x14ac:dyDescent="0.4">
      <c r="A53" s="240" t="s">
        <v>576</v>
      </c>
      <c r="B53" s="138" t="s">
        <v>647</v>
      </c>
      <c r="C53" s="139" t="str">
        <f t="shared" si="1"/>
        <v>Recap – Siting, Radar, and Environmental</v>
      </c>
      <c r="D53" s="171">
        <v>5</v>
      </c>
      <c r="E53" s="171">
        <v>0</v>
      </c>
      <c r="F53" s="174">
        <f t="shared" si="7"/>
        <v>0.66319444444444398</v>
      </c>
      <c r="G53" s="173">
        <f t="shared" si="0"/>
        <v>0.66666666666666619</v>
      </c>
      <c r="H53" s="104">
        <v>42781</v>
      </c>
      <c r="I53" s="169" t="s">
        <v>581</v>
      </c>
      <c r="J53" s="123" t="s">
        <v>588</v>
      </c>
      <c r="K53" s="143" t="s">
        <v>646</v>
      </c>
      <c r="L53" s="143" t="s">
        <v>560</v>
      </c>
      <c r="M53" s="123" t="s">
        <v>516</v>
      </c>
      <c r="N53" s="123" t="s">
        <v>452</v>
      </c>
      <c r="O53" s="123" t="e">
        <f>INDEX(#REF!, MATCH($N53,#REF!, 0))</f>
        <v>#REF!</v>
      </c>
      <c r="P53" s="124" t="str">
        <f t="shared" si="2"/>
        <v>Jocelyn Brown-Saracino</v>
      </c>
      <c r="Q53" s="223" t="e">
        <f t="shared" si="5"/>
        <v>#REF!</v>
      </c>
      <c r="R53" s="223" t="str">
        <f t="shared" si="6"/>
        <v>DOE</v>
      </c>
      <c r="S53" s="235"/>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30" t="str">
        <f>IF(ISERROR(MATCH(N53,#REF!, 0)), "",  INDEX(#REF!, MATCH(N53,#REF!, 0)))</f>
        <v/>
      </c>
      <c r="BG53" s="223"/>
      <c r="BH53" s="223"/>
      <c r="BI53" s="223"/>
      <c r="BJ53" s="223"/>
      <c r="BK53" s="223"/>
      <c r="BL53" s="223"/>
      <c r="BM53" s="223"/>
      <c r="BN53" s="223"/>
      <c r="BO53" s="223"/>
      <c r="BP53" s="223"/>
      <c r="BQ53" s="167" t="s">
        <v>636</v>
      </c>
    </row>
    <row r="54" spans="1:69" s="167" customFormat="1" x14ac:dyDescent="0.35">
      <c r="A54" s="393">
        <v>143</v>
      </c>
      <c r="B54" s="142" t="s">
        <v>788</v>
      </c>
      <c r="C54" s="142" t="str">
        <f t="shared" si="1"/>
        <v>OSW Environmental Data Aggregation, Analysis and Dissemination</v>
      </c>
      <c r="D54" s="171">
        <v>15</v>
      </c>
      <c r="E54" s="171">
        <v>5</v>
      </c>
      <c r="F54" s="174">
        <f t="shared" si="7"/>
        <v>0.66666666666666619</v>
      </c>
      <c r="G54" s="173">
        <f t="shared" si="0"/>
        <v>0.68055555555555503</v>
      </c>
      <c r="H54" s="104">
        <v>42781</v>
      </c>
      <c r="I54" s="169" t="s">
        <v>581</v>
      </c>
      <c r="J54" s="247" t="s">
        <v>588</v>
      </c>
      <c r="K54" s="163" t="s">
        <v>646</v>
      </c>
      <c r="L54" s="163" t="s">
        <v>560</v>
      </c>
      <c r="M54" s="247" t="s">
        <v>525</v>
      </c>
      <c r="N54" s="247" t="s">
        <v>551</v>
      </c>
      <c r="O54" s="247" t="e">
        <f>INDEX(#REF!, MATCH($N54,#REF!, 0))</f>
        <v>#REF!</v>
      </c>
      <c r="P54" s="231" t="str">
        <f t="shared" si="2"/>
        <v>Andrea Copping</v>
      </c>
      <c r="Q54" s="223" t="e">
        <f t="shared" si="5"/>
        <v>#REF!</v>
      </c>
      <c r="R54" s="223" t="str">
        <f t="shared" si="6"/>
        <v>PNNL</v>
      </c>
      <c r="S54" s="235"/>
      <c r="T54" s="223"/>
      <c r="U54" s="223"/>
      <c r="V54" s="223"/>
      <c r="W54" s="223"/>
      <c r="X54" s="223"/>
      <c r="Y54" s="223"/>
      <c r="Z54" s="223"/>
      <c r="AA54" s="223"/>
      <c r="AB54" s="223"/>
      <c r="AC54" s="223"/>
      <c r="AD54" s="223"/>
      <c r="AE54" s="223"/>
      <c r="AF54" s="223"/>
      <c r="AG54" s="223"/>
      <c r="AH54" s="223"/>
      <c r="AI54" s="223"/>
      <c r="AJ54" s="223"/>
      <c r="AK54" s="223"/>
      <c r="AL54" s="223"/>
      <c r="AM54" s="223" t="str">
        <f>"projects\"&amp;$A54&amp;"_sum1.pdf"</f>
        <v>projects\143_sum1.pdf</v>
      </c>
      <c r="AN54" s="223" t="str">
        <f>"projects\"&amp;$A54&amp;"_pres1.pdf"</f>
        <v>projects\143_pres1.pdf</v>
      </c>
      <c r="AO54" s="223"/>
      <c r="AP54" s="223"/>
      <c r="AQ54" s="223"/>
      <c r="AR54" s="223"/>
      <c r="AS54" s="223"/>
      <c r="AT54" s="223"/>
      <c r="AU54" s="223"/>
      <c r="AV54" s="223"/>
      <c r="AW54" s="223"/>
      <c r="AX54" s="223"/>
      <c r="AY54" s="223"/>
      <c r="AZ54" s="223"/>
      <c r="BA54" s="223"/>
      <c r="BB54" s="223"/>
      <c r="BC54" s="223"/>
      <c r="BD54" s="223"/>
      <c r="BE54" s="223"/>
      <c r="BF54" s="230" t="str">
        <f>IF(ISERROR(MATCH(N54,#REF!, 0)), "",  INDEX(#REF!, MATCH(N54,#REF!, 0)))</f>
        <v/>
      </c>
      <c r="BG54" s="158" t="s">
        <v>678</v>
      </c>
      <c r="BH54" s="158" t="s">
        <v>679</v>
      </c>
      <c r="BI54" s="158" t="s">
        <v>680</v>
      </c>
      <c r="BJ54" s="158" t="s">
        <v>681</v>
      </c>
      <c r="BK54" s="158" t="s">
        <v>682</v>
      </c>
      <c r="BL54" s="158" t="s">
        <v>683</v>
      </c>
      <c r="BM54" s="158" t="s">
        <v>684</v>
      </c>
      <c r="BN54" s="158" t="s">
        <v>685</v>
      </c>
      <c r="BO54" s="158" t="s">
        <v>686</v>
      </c>
      <c r="BP54" s="158" t="s">
        <v>687</v>
      </c>
      <c r="BQ54" s="167" t="s">
        <v>636</v>
      </c>
    </row>
    <row r="55" spans="1:69" s="167" customFormat="1" x14ac:dyDescent="0.35">
      <c r="A55" s="240">
        <v>147</v>
      </c>
      <c r="B55" s="142" t="s">
        <v>722</v>
      </c>
      <c r="C55" s="142" t="str">
        <f t="shared" si="1"/>
        <v>Stereo-Optic High Definition Imaging: A New Technology to Understand Bird and Bat Avoidance of Wind Turbines</v>
      </c>
      <c r="D55" s="171">
        <v>15</v>
      </c>
      <c r="E55" s="171">
        <v>5</v>
      </c>
      <c r="F55" s="174">
        <f t="shared" si="7"/>
        <v>0.68055555555555503</v>
      </c>
      <c r="G55" s="173">
        <f t="shared" si="0"/>
        <v>0.69444444444444386</v>
      </c>
      <c r="H55" s="104">
        <v>42781</v>
      </c>
      <c r="I55" s="169" t="s">
        <v>581</v>
      </c>
      <c r="J55" s="247" t="s">
        <v>588</v>
      </c>
      <c r="K55" s="163" t="s">
        <v>646</v>
      </c>
      <c r="L55" s="163" t="s">
        <v>560</v>
      </c>
      <c r="M55" s="247" t="s">
        <v>649</v>
      </c>
      <c r="N55" s="247" t="s">
        <v>650</v>
      </c>
      <c r="O55" s="247" t="e">
        <f>INDEX(#REF!, MATCH($N55,#REF!, 0))</f>
        <v>#REF!</v>
      </c>
      <c r="P55" s="231" t="str">
        <f t="shared" si="2"/>
        <v>Evan Adams</v>
      </c>
      <c r="Q55" s="223" t="e">
        <f t="shared" si="5"/>
        <v>#REF!</v>
      </c>
      <c r="R55" s="223" t="str">
        <f t="shared" si="6"/>
        <v>Biodiversity Research Institute</v>
      </c>
      <c r="S55" s="235"/>
      <c r="T55" s="223"/>
      <c r="U55" s="223"/>
      <c r="V55" s="223"/>
      <c r="W55" s="223"/>
      <c r="X55" s="223"/>
      <c r="Y55" s="223"/>
      <c r="Z55" s="223"/>
      <c r="AA55" s="223"/>
      <c r="AB55" s="223"/>
      <c r="AC55" s="223"/>
      <c r="AD55" s="223"/>
      <c r="AE55" s="223"/>
      <c r="AF55" s="223"/>
      <c r="AG55" s="223"/>
      <c r="AH55" s="223"/>
      <c r="AI55" s="223"/>
      <c r="AJ55" s="223"/>
      <c r="AK55" s="223"/>
      <c r="AL55" s="223"/>
      <c r="AM55" s="223" t="str">
        <f>"projects\"&amp;$A55&amp;"_sum1.pdf"</f>
        <v>projects\147_sum1.pdf</v>
      </c>
      <c r="AN55" s="223" t="str">
        <f>"projects\"&amp;$A55&amp;"_pres1.pdf"</f>
        <v>projects\147_pres1.pdf</v>
      </c>
      <c r="AO55" s="223"/>
      <c r="AP55" s="223"/>
      <c r="AQ55" s="223"/>
      <c r="AR55" s="223"/>
      <c r="AS55" s="223"/>
      <c r="AT55" s="223"/>
      <c r="AU55" s="223"/>
      <c r="AV55" s="223"/>
      <c r="AW55" s="223"/>
      <c r="AX55" s="223"/>
      <c r="AY55" s="223"/>
      <c r="AZ55" s="223"/>
      <c r="BA55" s="223"/>
      <c r="BB55" s="223"/>
      <c r="BC55" s="223"/>
      <c r="BD55" s="223"/>
      <c r="BE55" s="223"/>
      <c r="BF55" s="230" t="str">
        <f>IF(ISERROR(MATCH(N55,#REF!, 0)), "",  INDEX(#REF!, MATCH(N55,#REF!, 0)))</f>
        <v/>
      </c>
      <c r="BG55" s="223"/>
      <c r="BH55" s="223"/>
      <c r="BI55" s="223"/>
      <c r="BJ55" s="223"/>
      <c r="BK55" s="223"/>
      <c r="BL55" s="223"/>
      <c r="BM55" s="223"/>
      <c r="BN55" s="223"/>
      <c r="BO55" s="223"/>
      <c r="BP55" s="223"/>
      <c r="BQ55" s="167" t="s">
        <v>636</v>
      </c>
    </row>
    <row r="56" spans="1:69" s="167" customFormat="1" x14ac:dyDescent="0.35">
      <c r="A56" s="240">
        <v>269</v>
      </c>
      <c r="B56" s="142" t="s">
        <v>723</v>
      </c>
      <c r="C56" s="142" t="str">
        <f t="shared" si="1"/>
        <v>Avian Remote Sensing</v>
      </c>
      <c r="D56" s="171">
        <v>15</v>
      </c>
      <c r="E56" s="171">
        <v>5</v>
      </c>
      <c r="F56" s="174">
        <f t="shared" si="7"/>
        <v>0.69444444444444386</v>
      </c>
      <c r="G56" s="173">
        <f t="shared" si="0"/>
        <v>0.7083333333333327</v>
      </c>
      <c r="H56" s="104">
        <v>42781</v>
      </c>
      <c r="I56" s="169" t="s">
        <v>581</v>
      </c>
      <c r="J56" s="247" t="s">
        <v>588</v>
      </c>
      <c r="K56" s="163" t="s">
        <v>646</v>
      </c>
      <c r="L56" s="163" t="s">
        <v>560</v>
      </c>
      <c r="M56" s="247" t="s">
        <v>525</v>
      </c>
      <c r="N56" s="247" t="s">
        <v>628</v>
      </c>
      <c r="O56" s="247" t="e">
        <f>INDEX(#REF!, MATCH($N56,#REF!, 0))</f>
        <v>#REF!</v>
      </c>
      <c r="P56" s="231" t="str">
        <f t="shared" si="2"/>
        <v>Shari Matzner</v>
      </c>
      <c r="Q56" s="223" t="e">
        <f t="shared" si="5"/>
        <v>#REF!</v>
      </c>
      <c r="R56" s="223" t="str">
        <f t="shared" si="6"/>
        <v>PNNL</v>
      </c>
      <c r="S56" s="235"/>
      <c r="T56" s="223"/>
      <c r="U56" s="223"/>
      <c r="V56" s="223"/>
      <c r="W56" s="223"/>
      <c r="X56" s="223"/>
      <c r="Y56" s="223"/>
      <c r="Z56" s="223"/>
      <c r="AA56" s="223"/>
      <c r="AB56" s="223"/>
      <c r="AC56" s="223"/>
      <c r="AD56" s="223"/>
      <c r="AE56" s="223"/>
      <c r="AF56" s="223"/>
      <c r="AG56" s="223"/>
      <c r="AH56" s="223"/>
      <c r="AI56" s="223"/>
      <c r="AJ56" s="223"/>
      <c r="AK56" s="223"/>
      <c r="AL56" s="223"/>
      <c r="AM56" s="223" t="str">
        <f>"projects\"&amp;$A56&amp;"_sum1.pdf"</f>
        <v>projects\269_sum1.pdf</v>
      </c>
      <c r="AN56" s="223" t="str">
        <f>"projects\"&amp;$A56&amp;"_pres1.pdf"</f>
        <v>projects\269_pres1.pdf</v>
      </c>
      <c r="AO56" s="223"/>
      <c r="AP56" s="223"/>
      <c r="AQ56" s="223"/>
      <c r="AR56" s="223"/>
      <c r="AS56" s="223"/>
      <c r="AT56" s="223"/>
      <c r="AU56" s="223"/>
      <c r="AV56" s="223"/>
      <c r="AW56" s="223"/>
      <c r="AX56" s="223"/>
      <c r="AY56" s="223"/>
      <c r="AZ56" s="223"/>
      <c r="BA56" s="223"/>
      <c r="BB56" s="223"/>
      <c r="BC56" s="223"/>
      <c r="BD56" s="223"/>
      <c r="BE56" s="223"/>
      <c r="BF56" s="230" t="str">
        <f>IF(ISERROR(MATCH(N56,#REF!, 0)), "",  INDEX(#REF!, MATCH(N56,#REF!, 0)))</f>
        <v/>
      </c>
      <c r="BG56" s="223"/>
      <c r="BH56" s="223"/>
      <c r="BI56" s="223"/>
      <c r="BJ56" s="223"/>
      <c r="BK56" s="223"/>
      <c r="BL56" s="223"/>
      <c r="BM56" s="223"/>
      <c r="BN56" s="223"/>
      <c r="BO56" s="223"/>
      <c r="BP56" s="223"/>
      <c r="BQ56" s="167" t="s">
        <v>636</v>
      </c>
    </row>
    <row r="57" spans="1:69" s="167" customFormat="1" x14ac:dyDescent="0.35">
      <c r="A57" s="240" t="s">
        <v>558</v>
      </c>
      <c r="B57" s="253" t="s">
        <v>651</v>
      </c>
      <c r="C57" s="253" t="str">
        <f t="shared" si="1"/>
        <v>Closing Thoughts-Chairperson</v>
      </c>
      <c r="D57" s="171">
        <v>20</v>
      </c>
      <c r="E57" s="171">
        <v>10</v>
      </c>
      <c r="F57" s="174">
        <f t="shared" si="7"/>
        <v>0.7083333333333327</v>
      </c>
      <c r="G57" s="173">
        <f t="shared" si="0"/>
        <v>0.72916666666666596</v>
      </c>
      <c r="H57" s="104">
        <v>42781</v>
      </c>
      <c r="I57" s="169" t="s">
        <v>581</v>
      </c>
      <c r="J57" s="254" t="s">
        <v>588</v>
      </c>
      <c r="K57" s="254" t="s">
        <v>560</v>
      </c>
      <c r="L57" s="254" t="s">
        <v>560</v>
      </c>
      <c r="M57" s="254" t="s">
        <v>572</v>
      </c>
      <c r="N57" s="254" t="s">
        <v>589</v>
      </c>
      <c r="O57" s="254" t="e">
        <f>INDEX(#REF!, MATCH($N57,#REF!, 0))</f>
        <v>#REF!</v>
      </c>
      <c r="P57" s="254" t="str">
        <f t="shared" si="2"/>
        <v>Stu Webster</v>
      </c>
      <c r="Q57" s="223" t="e">
        <f t="shared" si="5"/>
        <v>#REF!</v>
      </c>
      <c r="R57" s="223" t="str">
        <f t="shared" si="6"/>
        <v>Chair</v>
      </c>
      <c r="S57" s="235"/>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30" t="str">
        <f>IF(ISERROR(MATCH(N57,#REF!, 0)), "",  INDEX(#REF!, MATCH(N57,#REF!, 0)))</f>
        <v/>
      </c>
      <c r="BG57" s="223"/>
      <c r="BH57" s="223"/>
      <c r="BI57" s="223"/>
      <c r="BJ57" s="223"/>
      <c r="BK57" s="223"/>
      <c r="BL57" s="223"/>
      <c r="BM57" s="223"/>
      <c r="BN57" s="223"/>
      <c r="BO57" s="223"/>
      <c r="BP57" s="223"/>
      <c r="BQ57" s="167" t="s">
        <v>636</v>
      </c>
    </row>
    <row r="58" spans="1:69" s="167" customFormat="1" x14ac:dyDescent="0.35">
      <c r="A58" s="240" t="s">
        <v>558</v>
      </c>
      <c r="B58" s="255" t="s">
        <v>652</v>
      </c>
      <c r="C58" s="255" t="str">
        <f t="shared" si="1"/>
        <v>Closing Thoughts-Director</v>
      </c>
      <c r="D58" s="171">
        <v>20</v>
      </c>
      <c r="E58" s="171">
        <v>10</v>
      </c>
      <c r="F58" s="174">
        <f t="shared" si="7"/>
        <v>0.72916666666666596</v>
      </c>
      <c r="G58" s="173">
        <f t="shared" si="0"/>
        <v>0.74999999999999922</v>
      </c>
      <c r="H58" s="104">
        <v>42781</v>
      </c>
      <c r="I58" s="169" t="s">
        <v>581</v>
      </c>
      <c r="J58" s="256" t="s">
        <v>588</v>
      </c>
      <c r="K58" s="256" t="s">
        <v>560</v>
      </c>
      <c r="L58" s="256" t="s">
        <v>560</v>
      </c>
      <c r="M58" s="256" t="s">
        <v>516</v>
      </c>
      <c r="N58" s="256" t="s">
        <v>517</v>
      </c>
      <c r="O58" s="256" t="e">
        <f>INDEX(#REF!, MATCH($N58,#REF!, 0))</f>
        <v>#REF!</v>
      </c>
      <c r="P58" s="256" t="str">
        <f t="shared" si="2"/>
        <v>Jose Zayas</v>
      </c>
      <c r="Q58" s="223" t="e">
        <f t="shared" si="5"/>
        <v>#REF!</v>
      </c>
      <c r="R58" s="223" t="str">
        <f t="shared" si="6"/>
        <v>DOE</v>
      </c>
      <c r="S58" s="235"/>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30" t="str">
        <f>IF(ISERROR(MATCH(N58,#REF!, 0)), "",  INDEX(#REF!, MATCH(N58,#REF!, 0)))</f>
        <v/>
      </c>
      <c r="BG58" s="223"/>
      <c r="BH58" s="223"/>
      <c r="BI58" s="223"/>
      <c r="BJ58" s="223"/>
      <c r="BK58" s="223"/>
      <c r="BL58" s="223"/>
      <c r="BM58" s="223"/>
      <c r="BN58" s="223"/>
      <c r="BO58" s="223"/>
      <c r="BP58" s="223"/>
      <c r="BQ58" s="167" t="s">
        <v>636</v>
      </c>
    </row>
    <row r="59" spans="1:69" s="167" customFormat="1" x14ac:dyDescent="0.35">
      <c r="A59" s="246" t="s">
        <v>558</v>
      </c>
      <c r="B59" s="145" t="s">
        <v>574</v>
      </c>
      <c r="C59" s="145" t="str">
        <f t="shared" si="1"/>
        <v>Breakfast</v>
      </c>
      <c r="D59" s="171">
        <v>45</v>
      </c>
      <c r="E59" s="171">
        <v>0</v>
      </c>
      <c r="F59" s="172">
        <v>0.33333333333333331</v>
      </c>
      <c r="G59" s="173">
        <f t="shared" si="0"/>
        <v>0.36458333333333331</v>
      </c>
      <c r="H59" s="104">
        <v>42782</v>
      </c>
      <c r="I59" s="169" t="s">
        <v>563</v>
      </c>
      <c r="J59" s="209" t="s">
        <v>588</v>
      </c>
      <c r="K59" s="152" t="s">
        <v>560</v>
      </c>
      <c r="L59" s="152" t="s">
        <v>560</v>
      </c>
      <c r="M59" s="210" t="s">
        <v>560</v>
      </c>
      <c r="N59" s="210" t="s">
        <v>560</v>
      </c>
      <c r="O59" s="210" t="e">
        <f>INDEX(#REF!, MATCH($N59,#REF!, 0))</f>
        <v>#REF!</v>
      </c>
      <c r="P59" s="126" t="str">
        <f t="shared" si="2"/>
        <v>NULL</v>
      </c>
      <c r="Q59" s="223" t="e">
        <f t="shared" si="5"/>
        <v>#REF!</v>
      </c>
      <c r="R59" s="223" t="str">
        <f t="shared" si="6"/>
        <v>NULL</v>
      </c>
      <c r="S59" s="235"/>
      <c r="T59" s="223"/>
      <c r="U59" s="223"/>
      <c r="V59" s="223"/>
      <c r="W59" s="223"/>
      <c r="X59" s="223"/>
      <c r="Y59" s="223"/>
      <c r="Z59" s="223"/>
      <c r="AA59" s="223"/>
      <c r="AB59" s="158"/>
      <c r="AC59" s="158"/>
      <c r="AD59" s="158"/>
      <c r="AE59" s="158"/>
      <c r="AF59" s="158"/>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30" t="str">
        <f>IF(ISERROR(MATCH(N59,#REF!, 0)), "",  INDEX(#REF!, MATCH(N59,#REF!, 0)))</f>
        <v/>
      </c>
      <c r="BG59" s="223"/>
      <c r="BH59" s="223"/>
      <c r="BI59" s="223"/>
      <c r="BJ59" s="223"/>
      <c r="BK59" s="223"/>
      <c r="BL59" s="223"/>
      <c r="BM59" s="223"/>
      <c r="BN59" s="223"/>
      <c r="BO59" s="223"/>
      <c r="BP59" s="223"/>
      <c r="BQ59" s="167" t="s">
        <v>636</v>
      </c>
    </row>
    <row r="60" spans="1:69" s="167" customFormat="1" x14ac:dyDescent="0.35">
      <c r="A60" s="240" t="s">
        <v>558</v>
      </c>
      <c r="B60" s="205" t="s">
        <v>575</v>
      </c>
      <c r="C60" s="205" t="str">
        <f t="shared" si="1"/>
        <v>Daily Recap</v>
      </c>
      <c r="D60" s="171">
        <v>15</v>
      </c>
      <c r="E60" s="171">
        <v>0</v>
      </c>
      <c r="F60" s="174">
        <f t="shared" ref="F60:F65" si="8">G59</f>
        <v>0.36458333333333331</v>
      </c>
      <c r="G60" s="173">
        <f t="shared" si="0"/>
        <v>0.375</v>
      </c>
      <c r="H60" s="104">
        <v>42782</v>
      </c>
      <c r="I60" s="169" t="s">
        <v>563</v>
      </c>
      <c r="J60" s="116" t="s">
        <v>588</v>
      </c>
      <c r="K60" s="142" t="s">
        <v>560</v>
      </c>
      <c r="L60" s="142" t="s">
        <v>560</v>
      </c>
      <c r="M60" s="147" t="s">
        <v>516</v>
      </c>
      <c r="N60" s="147" t="s">
        <v>565</v>
      </c>
      <c r="O60" s="147" t="e">
        <f>INDEX(#REF!, MATCH($N60,#REF!, 0))</f>
        <v>#REF!</v>
      </c>
      <c r="P60" s="114" t="str">
        <f t="shared" si="2"/>
        <v>Alex Lemke</v>
      </c>
      <c r="Q60" s="223" t="e">
        <f t="shared" si="5"/>
        <v>#REF!</v>
      </c>
      <c r="R60" s="223" t="str">
        <f t="shared" si="6"/>
        <v>DOE</v>
      </c>
      <c r="S60" s="235"/>
      <c r="T60" s="223"/>
      <c r="U60" s="223"/>
      <c r="V60" s="223"/>
      <c r="W60" s="223"/>
      <c r="X60" s="223"/>
      <c r="Y60" s="223"/>
      <c r="Z60" s="223"/>
      <c r="AA60" s="223"/>
      <c r="AB60" s="158"/>
      <c r="AC60" s="158"/>
      <c r="AD60" s="158"/>
      <c r="AE60" s="158"/>
      <c r="AF60" s="158"/>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30" t="str">
        <f>IF(ISERROR(MATCH(N60,#REF!, 0)), "",  INDEX(#REF!, MATCH(N60,#REF!, 0)))</f>
        <v/>
      </c>
      <c r="BG60" s="223"/>
      <c r="BH60" s="223"/>
      <c r="BI60" s="223"/>
      <c r="BJ60" s="223"/>
      <c r="BK60" s="223"/>
      <c r="BL60" s="223"/>
      <c r="BM60" s="223"/>
      <c r="BN60" s="223"/>
      <c r="BO60" s="223"/>
      <c r="BP60" s="223"/>
      <c r="BQ60" s="167" t="s">
        <v>636</v>
      </c>
    </row>
    <row r="61" spans="1:69" s="167" customFormat="1" x14ac:dyDescent="0.35">
      <c r="A61" s="240" t="s">
        <v>558</v>
      </c>
      <c r="B61" s="117" t="s">
        <v>570</v>
      </c>
      <c r="C61" s="117" t="str">
        <f t="shared" si="1"/>
        <v>TRANSITION</v>
      </c>
      <c r="D61" s="171">
        <v>5</v>
      </c>
      <c r="E61" s="171">
        <v>0</v>
      </c>
      <c r="F61" s="175">
        <f t="shared" si="8"/>
        <v>0.375</v>
      </c>
      <c r="G61" s="137">
        <f t="shared" si="0"/>
        <v>0.37847222222222221</v>
      </c>
      <c r="H61" s="104">
        <v>42782</v>
      </c>
      <c r="I61" s="169" t="s">
        <v>560</v>
      </c>
      <c r="J61" s="211" t="s">
        <v>588</v>
      </c>
      <c r="K61" s="117" t="s">
        <v>560</v>
      </c>
      <c r="L61" s="117" t="s">
        <v>560</v>
      </c>
      <c r="M61" s="212" t="s">
        <v>560</v>
      </c>
      <c r="N61" s="212" t="s">
        <v>560</v>
      </c>
      <c r="O61" s="212" t="e">
        <f>INDEX(#REF!, MATCH($N61,#REF!, 0))</f>
        <v>#REF!</v>
      </c>
      <c r="P61" s="232" t="str">
        <f t="shared" si="2"/>
        <v>NULL</v>
      </c>
      <c r="Q61" s="223" t="e">
        <f t="shared" si="5"/>
        <v>#REF!</v>
      </c>
      <c r="R61" s="223" t="str">
        <f t="shared" si="6"/>
        <v>NULL</v>
      </c>
      <c r="S61" s="235"/>
      <c r="T61" s="223"/>
      <c r="U61" s="223"/>
      <c r="V61" s="223"/>
      <c r="W61" s="223"/>
      <c r="X61" s="223"/>
      <c r="Y61" s="223"/>
      <c r="Z61" s="223"/>
      <c r="AA61" s="223"/>
      <c r="AB61" s="158"/>
      <c r="AC61" s="158"/>
      <c r="AD61" s="158"/>
      <c r="AE61" s="158"/>
      <c r="AF61" s="158"/>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30" t="str">
        <f>IF(ISERROR(MATCH(N61,#REF!, 0)), "",  INDEX(#REF!, MATCH(N61,#REF!, 0)))</f>
        <v/>
      </c>
      <c r="BG61" s="223"/>
      <c r="BH61" s="223"/>
      <c r="BI61" s="223"/>
      <c r="BJ61" s="223"/>
      <c r="BK61" s="223"/>
      <c r="BL61" s="223"/>
      <c r="BM61" s="223"/>
      <c r="BN61" s="223"/>
      <c r="BO61" s="223"/>
      <c r="BP61" s="223"/>
      <c r="BQ61" s="167" t="s">
        <v>636</v>
      </c>
    </row>
    <row r="62" spans="1:69" s="167" customFormat="1" x14ac:dyDescent="0.35">
      <c r="A62" s="240" t="s">
        <v>558</v>
      </c>
      <c r="B62" s="253" t="s">
        <v>697</v>
      </c>
      <c r="C62" s="253" t="str">
        <f t="shared" si="1"/>
        <v>MA&amp;D Panel Debrief (closed session)</v>
      </c>
      <c r="D62" s="171">
        <v>60</v>
      </c>
      <c r="E62" s="171">
        <v>0</v>
      </c>
      <c r="F62" s="174">
        <f t="shared" si="8"/>
        <v>0.37847222222222221</v>
      </c>
      <c r="G62" s="173">
        <f t="shared" si="0"/>
        <v>0.4201388888888889</v>
      </c>
      <c r="H62" s="104">
        <v>42782</v>
      </c>
      <c r="I62" s="169" t="s">
        <v>581</v>
      </c>
      <c r="J62" s="254" t="s">
        <v>588</v>
      </c>
      <c r="K62" s="257" t="s">
        <v>560</v>
      </c>
      <c r="L62" s="257" t="s">
        <v>560</v>
      </c>
      <c r="M62" s="254" t="s">
        <v>572</v>
      </c>
      <c r="N62" s="254" t="s">
        <v>589</v>
      </c>
      <c r="O62" s="253" t="e">
        <f>INDEX(#REF!, MATCH($N62,#REF!, 0))</f>
        <v>#REF!</v>
      </c>
      <c r="P62" s="254" t="str">
        <f t="shared" si="2"/>
        <v>Stu Webster</v>
      </c>
      <c r="Q62" s="223" t="e">
        <f t="shared" si="5"/>
        <v>#REF!</v>
      </c>
      <c r="R62" s="223" t="str">
        <f t="shared" si="6"/>
        <v>Chair</v>
      </c>
      <c r="S62" s="235"/>
      <c r="T62" s="223"/>
      <c r="U62" s="223"/>
      <c r="V62" s="223"/>
      <c r="W62" s="223"/>
      <c r="X62" s="223"/>
      <c r="Y62" s="223"/>
      <c r="Z62" s="223"/>
      <c r="AA62" s="223"/>
      <c r="AB62" s="158"/>
      <c r="AC62" s="158"/>
      <c r="AD62" s="158"/>
      <c r="AE62" s="158"/>
      <c r="AF62" s="158"/>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30" t="str">
        <f>IF(ISERROR(MATCH(N62,#REF!, 0)), "",  INDEX(#REF!, MATCH(N62,#REF!, 0)))</f>
        <v/>
      </c>
      <c r="BG62" s="223"/>
      <c r="BH62" s="223"/>
      <c r="BI62" s="223"/>
      <c r="BJ62" s="223"/>
      <c r="BK62" s="223"/>
      <c r="BL62" s="223"/>
      <c r="BM62" s="223"/>
      <c r="BN62" s="223"/>
      <c r="BO62" s="223"/>
      <c r="BP62" s="223"/>
      <c r="BQ62" s="167" t="s">
        <v>636</v>
      </c>
    </row>
    <row r="63" spans="1:69" s="167" customFormat="1" ht="15" thickBot="1" x14ac:dyDescent="0.4">
      <c r="A63" s="240" t="s">
        <v>558</v>
      </c>
      <c r="B63" s="130" t="s">
        <v>579</v>
      </c>
      <c r="C63" s="130" t="str">
        <f t="shared" si="1"/>
        <v>Reviewer Note Taking Time</v>
      </c>
      <c r="D63" s="181">
        <v>145</v>
      </c>
      <c r="E63" s="181">
        <v>0</v>
      </c>
      <c r="F63" s="206">
        <f t="shared" si="8"/>
        <v>0.4201388888888889</v>
      </c>
      <c r="G63" s="207">
        <f t="shared" si="0"/>
        <v>0.52083333333333337</v>
      </c>
      <c r="H63" s="104">
        <v>42782</v>
      </c>
      <c r="I63" s="169" t="s">
        <v>653</v>
      </c>
      <c r="J63" s="208" t="s">
        <v>588</v>
      </c>
      <c r="K63" s="130" t="s">
        <v>560</v>
      </c>
      <c r="L63" s="130" t="s">
        <v>560</v>
      </c>
      <c r="M63" s="208" t="s">
        <v>560</v>
      </c>
      <c r="N63" s="208" t="s">
        <v>560</v>
      </c>
      <c r="O63" s="208" t="e">
        <f>INDEX(#REF!, MATCH($N63,#REF!, 0))</f>
        <v>#REF!</v>
      </c>
      <c r="P63" s="232" t="str">
        <f t="shared" si="2"/>
        <v>NULL</v>
      </c>
      <c r="Q63" s="223" t="e">
        <f t="shared" si="5"/>
        <v>#REF!</v>
      </c>
      <c r="R63" s="223" t="str">
        <f t="shared" si="6"/>
        <v>NULL</v>
      </c>
      <c r="S63" s="235"/>
      <c r="T63" s="223"/>
      <c r="U63" s="223"/>
      <c r="V63" s="223"/>
      <c r="W63" s="223"/>
      <c r="X63" s="223"/>
      <c r="Y63" s="223"/>
      <c r="Z63" s="223"/>
      <c r="AA63" s="223"/>
      <c r="AB63" s="158"/>
      <c r="AC63" s="158"/>
      <c r="AD63" s="158"/>
      <c r="AE63" s="158"/>
      <c r="AF63" s="158"/>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30" t="str">
        <f>IF(ISERROR(MATCH(N63,#REF!, 0)), "",  INDEX(#REF!, MATCH(N63,#REF!, 0)))</f>
        <v/>
      </c>
      <c r="BG63" s="223"/>
      <c r="BH63" s="223"/>
      <c r="BI63" s="223"/>
      <c r="BJ63" s="223"/>
      <c r="BK63" s="223"/>
      <c r="BL63" s="223"/>
      <c r="BM63" s="223"/>
      <c r="BN63" s="223"/>
      <c r="BO63" s="223"/>
      <c r="BP63" s="223"/>
      <c r="BQ63" s="167" t="s">
        <v>636</v>
      </c>
    </row>
    <row r="64" spans="1:69" s="191" customFormat="1" ht="15.5" thickTop="1" thickBot="1" x14ac:dyDescent="0.4">
      <c r="A64" s="239" t="s">
        <v>558</v>
      </c>
      <c r="B64" s="185" t="s">
        <v>521</v>
      </c>
      <c r="C64" s="185" t="str">
        <f t="shared" si="1"/>
        <v>LUNCH</v>
      </c>
      <c r="D64" s="186">
        <f>SUM(D139:E139)</f>
        <v>60</v>
      </c>
      <c r="E64" s="187">
        <v>0</v>
      </c>
      <c r="F64" s="188">
        <f t="shared" si="8"/>
        <v>0.52083333333333337</v>
      </c>
      <c r="G64" s="189">
        <f t="shared" si="0"/>
        <v>0.5625</v>
      </c>
      <c r="H64" s="104">
        <v>42782</v>
      </c>
      <c r="I64" s="169" t="s">
        <v>563</v>
      </c>
      <c r="J64" s="190" t="s">
        <v>588</v>
      </c>
      <c r="K64" s="185" t="s">
        <v>560</v>
      </c>
      <c r="L64" s="185" t="s">
        <v>560</v>
      </c>
      <c r="M64" s="190" t="s">
        <v>522</v>
      </c>
      <c r="N64" s="190" t="s">
        <v>522</v>
      </c>
      <c r="O64" s="190" t="e">
        <f>INDEX(#REF!, MATCH($N64,#REF!, 0))</f>
        <v>#REF!</v>
      </c>
      <c r="P64" s="185" t="str">
        <f t="shared" si="2"/>
        <v>tbd</v>
      </c>
      <c r="Q64" s="223" t="e">
        <f t="shared" si="5"/>
        <v>#REF!</v>
      </c>
      <c r="R64" s="223" t="str">
        <f t="shared" si="6"/>
        <v>tbd</v>
      </c>
      <c r="S64" s="236"/>
      <c r="T64" s="236"/>
      <c r="U64" s="236"/>
      <c r="V64" s="236"/>
      <c r="W64" s="236"/>
      <c r="X64" s="236"/>
      <c r="Y64" s="236"/>
      <c r="Z64" s="236"/>
      <c r="AA64" s="236"/>
      <c r="AB64" s="236"/>
      <c r="AC64" s="236"/>
      <c r="AD64" s="236"/>
      <c r="AE64" s="236"/>
      <c r="AF64" s="236"/>
      <c r="AG64" s="236"/>
      <c r="AH64" s="236"/>
      <c r="AI64" s="236"/>
      <c r="AJ64" s="236"/>
      <c r="AK64" s="236"/>
      <c r="AL64" s="236"/>
      <c r="AM64" s="236"/>
      <c r="AN64" s="236"/>
      <c r="AO64" s="236"/>
      <c r="AP64" s="236"/>
      <c r="AQ64" s="236"/>
      <c r="AR64" s="236"/>
      <c r="AS64" s="236"/>
      <c r="AT64" s="236"/>
      <c r="AU64" s="236"/>
      <c r="AV64" s="236"/>
      <c r="AW64" s="236"/>
      <c r="AX64" s="236"/>
      <c r="AY64" s="236"/>
      <c r="AZ64" s="236"/>
      <c r="BA64" s="236"/>
      <c r="BB64" s="236"/>
      <c r="BC64" s="236"/>
      <c r="BD64" s="236"/>
      <c r="BE64" s="236"/>
      <c r="BF64" s="230" t="str">
        <f>IF(ISERROR(MATCH(N64,#REF!, 0)), "",  INDEX(#REF!, MATCH(N64,#REF!, 0)))</f>
        <v/>
      </c>
      <c r="BG64" s="236"/>
      <c r="BH64" s="236"/>
      <c r="BI64" s="236"/>
      <c r="BJ64" s="236"/>
      <c r="BK64" s="236"/>
      <c r="BL64" s="236"/>
      <c r="BM64" s="236"/>
      <c r="BN64" s="236"/>
      <c r="BO64" s="236"/>
      <c r="BP64" s="236"/>
      <c r="BQ64" s="167" t="s">
        <v>636</v>
      </c>
    </row>
    <row r="65" spans="1:69" s="167" customFormat="1" ht="15" thickTop="1" x14ac:dyDescent="0.35">
      <c r="A65" s="240" t="s">
        <v>558</v>
      </c>
      <c r="B65" s="130" t="s">
        <v>579</v>
      </c>
      <c r="C65" s="130" t="str">
        <f t="shared" si="1"/>
        <v>Reviewer Note Taking Time</v>
      </c>
      <c r="D65" s="181">
        <v>210</v>
      </c>
      <c r="E65" s="181">
        <v>0</v>
      </c>
      <c r="F65" s="206">
        <f t="shared" si="8"/>
        <v>0.5625</v>
      </c>
      <c r="G65" s="207">
        <f t="shared" si="0"/>
        <v>0.70833333333333337</v>
      </c>
      <c r="H65" s="104">
        <v>42782</v>
      </c>
      <c r="I65" s="169" t="s">
        <v>653</v>
      </c>
      <c r="J65" s="208" t="s">
        <v>588</v>
      </c>
      <c r="K65" s="130" t="s">
        <v>560</v>
      </c>
      <c r="L65" s="130" t="s">
        <v>560</v>
      </c>
      <c r="M65" s="208" t="s">
        <v>560</v>
      </c>
      <c r="N65" s="208" t="s">
        <v>560</v>
      </c>
      <c r="O65" s="208" t="e">
        <f>INDEX(#REF!, MATCH($N65,#REF!, 0))</f>
        <v>#REF!</v>
      </c>
      <c r="P65" s="232" t="str">
        <f t="shared" si="2"/>
        <v>NULL</v>
      </c>
      <c r="Q65" s="223" t="e">
        <f t="shared" si="5"/>
        <v>#REF!</v>
      </c>
      <c r="R65" s="223" t="str">
        <f t="shared" si="6"/>
        <v>NULL</v>
      </c>
      <c r="S65" s="235"/>
      <c r="T65" s="223"/>
      <c r="U65" s="223"/>
      <c r="V65" s="223"/>
      <c r="W65" s="223"/>
      <c r="X65" s="223"/>
      <c r="Y65" s="223"/>
      <c r="Z65" s="223"/>
      <c r="AA65" s="223"/>
      <c r="AB65" s="158"/>
      <c r="AC65" s="158"/>
      <c r="AD65" s="158"/>
      <c r="AE65" s="158"/>
      <c r="AF65" s="158"/>
      <c r="AG65" s="223"/>
      <c r="AH65" s="223"/>
      <c r="AI65" s="223"/>
      <c r="AJ65" s="223"/>
      <c r="AK65" s="223"/>
      <c r="AL65" s="223"/>
      <c r="AM65" s="223"/>
      <c r="AN65" s="223"/>
      <c r="AO65" s="223"/>
      <c r="AP65" s="223"/>
      <c r="AQ65" s="223"/>
      <c r="AR65" s="223"/>
      <c r="AS65" s="223"/>
      <c r="AT65" s="223"/>
      <c r="AU65" s="223"/>
      <c r="AV65" s="223"/>
      <c r="AW65" s="223"/>
      <c r="AX65" s="223"/>
      <c r="AY65" s="223"/>
      <c r="AZ65" s="223"/>
      <c r="BA65" s="223"/>
      <c r="BB65" s="223"/>
      <c r="BC65" s="223"/>
      <c r="BD65" s="223"/>
      <c r="BE65" s="223"/>
      <c r="BF65" s="230" t="str">
        <f>IF(ISERROR(MATCH(N65,#REF!, 0)), "",  INDEX(#REF!, MATCH(N65,#REF!, 0)))</f>
        <v/>
      </c>
      <c r="BG65" s="223"/>
      <c r="BH65" s="223"/>
      <c r="BI65" s="223"/>
      <c r="BJ65" s="223"/>
      <c r="BK65" s="223"/>
      <c r="BL65" s="223"/>
      <c r="BM65" s="223"/>
      <c r="BN65" s="223"/>
      <c r="BO65" s="223"/>
      <c r="BP65" s="223"/>
      <c r="BQ65" s="167" t="s">
        <v>636</v>
      </c>
    </row>
    <row r="66" spans="1:69" s="167" customFormat="1" x14ac:dyDescent="0.35">
      <c r="A66" s="246" t="s">
        <v>583</v>
      </c>
      <c r="B66" s="145" t="s">
        <v>574</v>
      </c>
      <c r="C66" s="145" t="str">
        <f t="shared" si="1"/>
        <v>Breakfast</v>
      </c>
      <c r="D66" s="171">
        <v>60</v>
      </c>
      <c r="E66" s="171">
        <v>0</v>
      </c>
      <c r="F66" s="172">
        <v>0.33333333333333331</v>
      </c>
      <c r="G66" s="173">
        <f t="shared" ref="G66:G129" si="9">F66+TIME(0, D66, 0)+TIME(0, E66, 0)</f>
        <v>0.375</v>
      </c>
      <c r="H66" s="104">
        <v>42783</v>
      </c>
      <c r="I66" s="169" t="s">
        <v>563</v>
      </c>
      <c r="J66" s="132" t="s">
        <v>588</v>
      </c>
      <c r="K66" s="144" t="s">
        <v>560</v>
      </c>
      <c r="L66" s="144" t="s">
        <v>560</v>
      </c>
      <c r="M66" s="213" t="s">
        <v>560</v>
      </c>
      <c r="N66" s="213" t="s">
        <v>560</v>
      </c>
      <c r="O66" s="214" t="e">
        <f>INDEX(#REF!, MATCH($N66,#REF!, 0))</f>
        <v>#REF!</v>
      </c>
      <c r="P66" s="126" t="str">
        <f t="shared" si="2"/>
        <v>NULL</v>
      </c>
      <c r="Q66" s="223" t="e">
        <f t="shared" si="5"/>
        <v>#REF!</v>
      </c>
      <c r="R66" s="223" t="str">
        <f t="shared" si="6"/>
        <v>NULL</v>
      </c>
      <c r="S66" s="235"/>
      <c r="T66" s="223"/>
      <c r="U66" s="223"/>
      <c r="V66" s="223"/>
      <c r="W66" s="223"/>
      <c r="X66" s="223"/>
      <c r="Y66" s="223"/>
      <c r="Z66" s="223"/>
      <c r="AA66" s="223"/>
      <c r="AB66" s="158"/>
      <c r="AC66" s="158"/>
      <c r="AD66" s="158"/>
      <c r="AE66" s="158"/>
      <c r="AF66" s="158"/>
      <c r="AG66" s="223"/>
      <c r="AH66" s="223"/>
      <c r="AI66" s="223"/>
      <c r="AJ66" s="223"/>
      <c r="AK66" s="223"/>
      <c r="AL66" s="223"/>
      <c r="AM66" s="223"/>
      <c r="AN66" s="223"/>
      <c r="AO66" s="223"/>
      <c r="AP66" s="223"/>
      <c r="AQ66" s="223"/>
      <c r="AR66" s="223"/>
      <c r="AS66" s="223"/>
      <c r="AT66" s="223"/>
      <c r="AU66" s="223"/>
      <c r="AV66" s="223"/>
      <c r="AW66" s="223"/>
      <c r="AX66" s="223"/>
      <c r="AY66" s="223"/>
      <c r="AZ66" s="223"/>
      <c r="BA66" s="223"/>
      <c r="BB66" s="223"/>
      <c r="BC66" s="223"/>
      <c r="BD66" s="223"/>
      <c r="BE66" s="223"/>
      <c r="BF66" s="230" t="str">
        <f>IF(ISERROR(MATCH(N66,#REF!, 0)), "",  INDEX(#REF!, MATCH(N66,#REF!, 0)))</f>
        <v/>
      </c>
      <c r="BG66" s="223"/>
      <c r="BH66" s="223"/>
      <c r="BI66" s="223"/>
      <c r="BJ66" s="223"/>
      <c r="BK66" s="223"/>
      <c r="BL66" s="223"/>
      <c r="BM66" s="223"/>
      <c r="BN66" s="223"/>
      <c r="BO66" s="223"/>
      <c r="BP66" s="223"/>
      <c r="BQ66" s="167" t="s">
        <v>636</v>
      </c>
    </row>
    <row r="67" spans="1:69" s="167" customFormat="1" x14ac:dyDescent="0.35">
      <c r="A67" s="240" t="s">
        <v>583</v>
      </c>
      <c r="B67" s="130" t="s">
        <v>520</v>
      </c>
      <c r="C67" s="130" t="str">
        <f t="shared" ref="C67:C130" si="10">B67</f>
        <v>BREAK</v>
      </c>
      <c r="D67" s="181">
        <v>15</v>
      </c>
      <c r="E67" s="181">
        <v>0</v>
      </c>
      <c r="F67" s="206">
        <f>G66</f>
        <v>0.375</v>
      </c>
      <c r="G67" s="207">
        <f t="shared" si="9"/>
        <v>0.38541666666666669</v>
      </c>
      <c r="H67" s="104">
        <v>42783</v>
      </c>
      <c r="I67" s="169" t="s">
        <v>580</v>
      </c>
      <c r="J67" s="208" t="s">
        <v>588</v>
      </c>
      <c r="K67" s="130" t="s">
        <v>560</v>
      </c>
      <c r="L67" s="130" t="s">
        <v>560</v>
      </c>
      <c r="M67" s="208" t="s">
        <v>560</v>
      </c>
      <c r="N67" s="208" t="s">
        <v>560</v>
      </c>
      <c r="O67" s="208" t="e">
        <f>INDEX(#REF!, MATCH($N67,#REF!, 0))</f>
        <v>#REF!</v>
      </c>
      <c r="P67" s="232" t="str">
        <f t="shared" ref="P67:P130" si="11">N67</f>
        <v>NULL</v>
      </c>
      <c r="Q67" s="223" t="e">
        <f t="shared" si="5"/>
        <v>#REF!</v>
      </c>
      <c r="R67" s="223" t="str">
        <f t="shared" si="6"/>
        <v>NULL</v>
      </c>
      <c r="S67" s="235"/>
      <c r="T67" s="223"/>
      <c r="U67" s="223"/>
      <c r="V67" s="223"/>
      <c r="W67" s="223"/>
      <c r="X67" s="223"/>
      <c r="Y67" s="223"/>
      <c r="Z67" s="223"/>
      <c r="AA67" s="223"/>
      <c r="AB67" s="223"/>
      <c r="AC67" s="223"/>
      <c r="AD67" s="223"/>
      <c r="AE67" s="223"/>
      <c r="AF67" s="223"/>
      <c r="AG67" s="223"/>
      <c r="AH67" s="223"/>
      <c r="AI67" s="223"/>
      <c r="AJ67" s="223"/>
      <c r="AK67" s="223"/>
      <c r="AL67" s="223"/>
      <c r="AM67" s="223"/>
      <c r="AN67" s="223"/>
      <c r="AO67" s="223"/>
      <c r="AP67" s="223"/>
      <c r="AQ67" s="223"/>
      <c r="AR67" s="223"/>
      <c r="AS67" s="223"/>
      <c r="AT67" s="223"/>
      <c r="AU67" s="223"/>
      <c r="AV67" s="223"/>
      <c r="AW67" s="223"/>
      <c r="AX67" s="223"/>
      <c r="AY67" s="223"/>
      <c r="AZ67" s="223"/>
      <c r="BA67" s="223"/>
      <c r="BB67" s="223"/>
      <c r="BC67" s="223"/>
      <c r="BD67" s="223"/>
      <c r="BE67" s="223"/>
      <c r="BF67" s="230" t="str">
        <f>IF(ISERROR(MATCH(N67,#REF!, 0)), "",  INDEX(#REF!, MATCH(N67,#REF!, 0)))</f>
        <v/>
      </c>
      <c r="BG67" s="223"/>
      <c r="BH67" s="223"/>
      <c r="BI67" s="223"/>
      <c r="BJ67" s="223"/>
      <c r="BK67" s="223"/>
      <c r="BL67" s="223"/>
      <c r="BM67" s="223"/>
      <c r="BN67" s="223"/>
      <c r="BO67" s="223"/>
      <c r="BP67" s="223"/>
      <c r="BQ67" s="167" t="s">
        <v>636</v>
      </c>
    </row>
    <row r="68" spans="1:69" s="167" customFormat="1" x14ac:dyDescent="0.35">
      <c r="A68" s="240" t="s">
        <v>583</v>
      </c>
      <c r="B68" s="258" t="s">
        <v>654</v>
      </c>
      <c r="C68" s="258" t="str">
        <f t="shared" si="10"/>
        <v>MA&amp;D / DOE Debrief</v>
      </c>
      <c r="D68" s="171">
        <v>60</v>
      </c>
      <c r="E68" s="171">
        <v>0</v>
      </c>
      <c r="F68" s="174">
        <f>G67</f>
        <v>0.38541666666666669</v>
      </c>
      <c r="G68" s="173">
        <f t="shared" si="9"/>
        <v>0.42708333333333337</v>
      </c>
      <c r="H68" s="104">
        <v>42783</v>
      </c>
      <c r="I68" s="169" t="s">
        <v>581</v>
      </c>
      <c r="J68" s="259" t="s">
        <v>588</v>
      </c>
      <c r="K68" s="259" t="s">
        <v>560</v>
      </c>
      <c r="L68" s="259" t="s">
        <v>560</v>
      </c>
      <c r="M68" s="259" t="s">
        <v>572</v>
      </c>
      <c r="N68" s="259" t="s">
        <v>589</v>
      </c>
      <c r="O68" s="258" t="e">
        <f>INDEX(#REF!, MATCH($N68,#REF!, 0))</f>
        <v>#REF!</v>
      </c>
      <c r="P68" s="259" t="str">
        <f t="shared" si="11"/>
        <v>Stu Webster</v>
      </c>
      <c r="Q68" s="223" t="e">
        <f t="shared" si="5"/>
        <v>#REF!</v>
      </c>
      <c r="R68" s="223" t="str">
        <f t="shared" si="6"/>
        <v>Chair</v>
      </c>
      <c r="S68" s="235"/>
      <c r="T68" s="223"/>
      <c r="U68" s="223"/>
      <c r="V68" s="223"/>
      <c r="W68" s="223"/>
      <c r="X68" s="223"/>
      <c r="Y68" s="223"/>
      <c r="Z68" s="223"/>
      <c r="AA68" s="223"/>
      <c r="AB68" s="223"/>
      <c r="AC68" s="223"/>
      <c r="AD68" s="223"/>
      <c r="AE68" s="223"/>
      <c r="AF68" s="223"/>
      <c r="AG68" s="223"/>
      <c r="AH68" s="223"/>
      <c r="AI68" s="223"/>
      <c r="AJ68" s="223"/>
      <c r="AK68" s="223"/>
      <c r="AL68" s="223"/>
      <c r="AM68" s="223"/>
      <c r="AN68" s="223"/>
      <c r="AO68" s="223"/>
      <c r="AP68" s="223"/>
      <c r="AQ68" s="223"/>
      <c r="AR68" s="223"/>
      <c r="AS68" s="223"/>
      <c r="AT68" s="223"/>
      <c r="AU68" s="223"/>
      <c r="AV68" s="223"/>
      <c r="AW68" s="223"/>
      <c r="AX68" s="223"/>
      <c r="AY68" s="223"/>
      <c r="AZ68" s="223"/>
      <c r="BA68" s="223"/>
      <c r="BB68" s="223"/>
      <c r="BC68" s="223"/>
      <c r="BD68" s="223"/>
      <c r="BE68" s="223"/>
      <c r="BF68" s="230" t="str">
        <f>IF(ISERROR(MATCH(N68,#REF!, 0)), "",  INDEX(#REF!, MATCH(N68,#REF!, 0)))</f>
        <v/>
      </c>
      <c r="BG68" s="223"/>
      <c r="BH68" s="223"/>
      <c r="BI68" s="223"/>
      <c r="BJ68" s="223"/>
      <c r="BK68" s="223"/>
      <c r="BL68" s="223"/>
      <c r="BM68" s="223"/>
      <c r="BN68" s="223"/>
      <c r="BO68" s="223"/>
      <c r="BP68" s="223"/>
      <c r="BQ68" s="167" t="s">
        <v>636</v>
      </c>
    </row>
    <row r="69" spans="1:69" s="167" customFormat="1" x14ac:dyDescent="0.35">
      <c r="A69" s="240" t="s">
        <v>583</v>
      </c>
      <c r="B69" s="130" t="s">
        <v>520</v>
      </c>
      <c r="C69" s="130" t="str">
        <f t="shared" si="10"/>
        <v>BREAK</v>
      </c>
      <c r="D69" s="181">
        <v>15</v>
      </c>
      <c r="E69" s="181">
        <v>0</v>
      </c>
      <c r="F69" s="206">
        <f>G68</f>
        <v>0.42708333333333337</v>
      </c>
      <c r="G69" s="207">
        <f t="shared" si="9"/>
        <v>0.43750000000000006</v>
      </c>
      <c r="H69" s="104">
        <v>42783</v>
      </c>
      <c r="I69" s="169" t="s">
        <v>580</v>
      </c>
      <c r="J69" s="208" t="s">
        <v>588</v>
      </c>
      <c r="K69" s="130" t="s">
        <v>560</v>
      </c>
      <c r="L69" s="130" t="s">
        <v>560</v>
      </c>
      <c r="M69" s="208" t="s">
        <v>560</v>
      </c>
      <c r="N69" s="208" t="s">
        <v>560</v>
      </c>
      <c r="O69" s="208" t="e">
        <f>INDEX(#REF!, MATCH($N69,#REF!, 0))</f>
        <v>#REF!</v>
      </c>
      <c r="P69" s="232" t="str">
        <f t="shared" si="11"/>
        <v>NULL</v>
      </c>
      <c r="Q69" s="223" t="e">
        <f t="shared" si="5"/>
        <v>#REF!</v>
      </c>
      <c r="R69" s="223" t="str">
        <f t="shared" si="6"/>
        <v>NULL</v>
      </c>
      <c r="S69" s="235"/>
      <c r="T69" s="223"/>
      <c r="U69" s="223"/>
      <c r="V69" s="223"/>
      <c r="W69" s="223"/>
      <c r="X69" s="223"/>
      <c r="Y69" s="223"/>
      <c r="Z69" s="223"/>
      <c r="AA69" s="223"/>
      <c r="AB69" s="223"/>
      <c r="AC69" s="223"/>
      <c r="AD69" s="223"/>
      <c r="AE69" s="223"/>
      <c r="AF69" s="223"/>
      <c r="AG69" s="223"/>
      <c r="AH69" s="223"/>
      <c r="AI69" s="223"/>
      <c r="AJ69" s="223"/>
      <c r="AK69" s="223"/>
      <c r="AL69" s="223"/>
      <c r="AM69" s="223"/>
      <c r="AN69" s="223"/>
      <c r="AO69" s="223"/>
      <c r="AP69" s="223"/>
      <c r="AQ69" s="223"/>
      <c r="AR69" s="223"/>
      <c r="AS69" s="223"/>
      <c r="AT69" s="223"/>
      <c r="AU69" s="223"/>
      <c r="AV69" s="223"/>
      <c r="AW69" s="223"/>
      <c r="AX69" s="223"/>
      <c r="AY69" s="223"/>
      <c r="AZ69" s="223"/>
      <c r="BA69" s="223"/>
      <c r="BB69" s="223"/>
      <c r="BC69" s="223"/>
      <c r="BD69" s="223"/>
      <c r="BE69" s="223"/>
      <c r="BF69" s="230" t="str">
        <f>IF(ISERROR(MATCH(N69,#REF!, 0)), "",  INDEX(#REF!, MATCH(N69,#REF!, 0)))</f>
        <v/>
      </c>
      <c r="BG69" s="223"/>
      <c r="BH69" s="223"/>
      <c r="BI69" s="223"/>
      <c r="BJ69" s="223"/>
      <c r="BK69" s="223"/>
      <c r="BL69" s="223"/>
      <c r="BM69" s="223"/>
      <c r="BN69" s="223"/>
      <c r="BO69" s="223"/>
      <c r="BP69" s="223"/>
      <c r="BQ69" s="167" t="s">
        <v>636</v>
      </c>
    </row>
    <row r="70" spans="1:69" s="167" customFormat="1" x14ac:dyDescent="0.35">
      <c r="A70" s="240" t="s">
        <v>583</v>
      </c>
      <c r="B70" s="130" t="s">
        <v>579</v>
      </c>
      <c r="C70" s="130" t="str">
        <f t="shared" si="10"/>
        <v>Reviewer Note Taking Time</v>
      </c>
      <c r="D70" s="181">
        <v>60</v>
      </c>
      <c r="E70" s="181">
        <v>0</v>
      </c>
      <c r="F70" s="206">
        <f>G69</f>
        <v>0.43750000000000006</v>
      </c>
      <c r="G70" s="207">
        <f t="shared" si="9"/>
        <v>0.47916666666666674</v>
      </c>
      <c r="H70" s="104">
        <v>42783</v>
      </c>
      <c r="I70" s="169" t="s">
        <v>653</v>
      </c>
      <c r="J70" s="208" t="s">
        <v>588</v>
      </c>
      <c r="K70" s="130" t="s">
        <v>560</v>
      </c>
      <c r="L70" s="130" t="s">
        <v>560</v>
      </c>
      <c r="M70" s="208" t="s">
        <v>560</v>
      </c>
      <c r="N70" s="208" t="s">
        <v>560</v>
      </c>
      <c r="O70" s="208" t="e">
        <f>INDEX(#REF!, MATCH($N70,#REF!, 0))</f>
        <v>#REF!</v>
      </c>
      <c r="P70" s="232" t="str">
        <f t="shared" si="11"/>
        <v>NULL</v>
      </c>
      <c r="Q70" s="223" t="e">
        <f t="shared" si="5"/>
        <v>#REF!</v>
      </c>
      <c r="R70" s="223" t="str">
        <f t="shared" si="6"/>
        <v>NULL</v>
      </c>
      <c r="S70" s="235"/>
      <c r="T70" s="223"/>
      <c r="U70" s="223"/>
      <c r="V70" s="223"/>
      <c r="W70" s="223"/>
      <c r="X70" s="223"/>
      <c r="Y70" s="223"/>
      <c r="Z70" s="223"/>
      <c r="AA70" s="223"/>
      <c r="AB70" s="223"/>
      <c r="AC70" s="223"/>
      <c r="AD70" s="223"/>
      <c r="AE70" s="223"/>
      <c r="AF70" s="223"/>
      <c r="AG70" s="223"/>
      <c r="AH70" s="223"/>
      <c r="AI70" s="223"/>
      <c r="AJ70" s="223"/>
      <c r="AK70" s="223"/>
      <c r="AL70" s="223"/>
      <c r="AM70" s="223"/>
      <c r="AN70" s="223"/>
      <c r="AO70" s="223"/>
      <c r="AP70" s="223"/>
      <c r="AQ70" s="223"/>
      <c r="AR70" s="223"/>
      <c r="AS70" s="223"/>
      <c r="AT70" s="223"/>
      <c r="AU70" s="223"/>
      <c r="AV70" s="223"/>
      <c r="AW70" s="223"/>
      <c r="AX70" s="223"/>
      <c r="AY70" s="223"/>
      <c r="AZ70" s="223"/>
      <c r="BA70" s="223"/>
      <c r="BB70" s="223"/>
      <c r="BC70" s="223"/>
      <c r="BD70" s="223"/>
      <c r="BE70" s="223"/>
      <c r="BF70" s="230" t="str">
        <f>IF(ISERROR(MATCH(N70,#REF!, 0)), "",  INDEX(#REF!, MATCH(N70,#REF!, 0)))</f>
        <v/>
      </c>
      <c r="BG70" s="223"/>
      <c r="BH70" s="223"/>
      <c r="BI70" s="223"/>
      <c r="BJ70" s="223"/>
      <c r="BK70" s="223"/>
      <c r="BL70" s="223"/>
      <c r="BM70" s="223"/>
      <c r="BN70" s="223"/>
      <c r="BO70" s="223"/>
      <c r="BP70" s="223"/>
      <c r="BQ70" s="167" t="s">
        <v>636</v>
      </c>
    </row>
    <row r="71" spans="1:69" s="167" customFormat="1" ht="15" thickBot="1" x14ac:dyDescent="0.4">
      <c r="A71" s="240" t="s">
        <v>583</v>
      </c>
      <c r="B71" s="245" t="s">
        <v>578</v>
      </c>
      <c r="C71" s="215" t="str">
        <f t="shared" si="10"/>
        <v>All Panels Debrief with ALL DOE (working lunch)</v>
      </c>
      <c r="D71" s="202">
        <v>60</v>
      </c>
      <c r="E71" s="171">
        <v>0</v>
      </c>
      <c r="F71" s="216">
        <f>G70</f>
        <v>0.47916666666666674</v>
      </c>
      <c r="G71" s="217">
        <f t="shared" si="9"/>
        <v>0.52083333333333337</v>
      </c>
      <c r="H71" s="104">
        <v>42783</v>
      </c>
      <c r="I71" s="169" t="s">
        <v>581</v>
      </c>
      <c r="J71" s="218" t="s">
        <v>588</v>
      </c>
      <c r="K71" s="219" t="s">
        <v>560</v>
      </c>
      <c r="L71" s="219" t="s">
        <v>560</v>
      </c>
      <c r="M71" s="218" t="s">
        <v>655</v>
      </c>
      <c r="N71" s="218" t="s">
        <v>656</v>
      </c>
      <c r="O71" s="220" t="e">
        <f>INDEX(#REF!, MATCH($N71,#REF!, 0))</f>
        <v>#REF!</v>
      </c>
      <c r="P71" s="233" t="str">
        <f t="shared" si="11"/>
        <v>Sandy Butterfield and Stu Webster</v>
      </c>
      <c r="Q71" s="223" t="e">
        <f t="shared" si="5"/>
        <v>#REF!</v>
      </c>
      <c r="R71" s="223" t="str">
        <f t="shared" si="6"/>
        <v>Chairs</v>
      </c>
      <c r="S71" s="235"/>
      <c r="T71" s="223"/>
      <c r="U71" s="223"/>
      <c r="V71" s="223"/>
      <c r="W71" s="223"/>
      <c r="X71" s="223"/>
      <c r="Y71" s="223"/>
      <c r="Z71" s="223"/>
      <c r="AA71" s="223"/>
      <c r="AB71" s="223"/>
      <c r="AC71" s="223"/>
      <c r="AD71" s="223"/>
      <c r="AE71" s="223"/>
      <c r="AF71" s="223"/>
      <c r="AG71" s="223"/>
      <c r="AH71" s="223"/>
      <c r="AI71" s="223"/>
      <c r="AJ71" s="223"/>
      <c r="AK71" s="223"/>
      <c r="AL71" s="223"/>
      <c r="AM71" s="223"/>
      <c r="AN71" s="223"/>
      <c r="AO71" s="223"/>
      <c r="AP71" s="223"/>
      <c r="AQ71" s="223"/>
      <c r="AR71" s="223"/>
      <c r="AS71" s="223"/>
      <c r="AT71" s="223"/>
      <c r="AU71" s="223"/>
      <c r="AV71" s="223"/>
      <c r="AW71" s="223"/>
      <c r="AX71" s="223"/>
      <c r="AY71" s="223"/>
      <c r="AZ71" s="223"/>
      <c r="BA71" s="223"/>
      <c r="BB71" s="223"/>
      <c r="BC71" s="223"/>
      <c r="BD71" s="223"/>
      <c r="BE71" s="223"/>
      <c r="BF71" s="230" t="str">
        <f>IF(ISERROR(MATCH(N71,#REF!, 0)), "",  INDEX(#REF!, MATCH(N71,#REF!, 0)))</f>
        <v/>
      </c>
      <c r="BG71" s="223"/>
      <c r="BH71" s="223"/>
      <c r="BI71" s="223"/>
      <c r="BJ71" s="223"/>
      <c r="BK71" s="223"/>
      <c r="BL71" s="223"/>
      <c r="BM71" s="223"/>
      <c r="BN71" s="223"/>
      <c r="BO71" s="223"/>
      <c r="BP71" s="223"/>
      <c r="BQ71" s="167" t="s">
        <v>636</v>
      </c>
    </row>
    <row r="72" spans="1:69" s="167" customFormat="1" ht="15" thickTop="1" x14ac:dyDescent="0.35">
      <c r="A72" s="246" t="s">
        <v>558</v>
      </c>
      <c r="B72" s="135" t="s">
        <v>559</v>
      </c>
      <c r="C72" s="135" t="str">
        <f t="shared" si="10"/>
        <v>Travel and Check In</v>
      </c>
      <c r="D72" s="162">
        <v>540</v>
      </c>
      <c r="E72" s="106">
        <v>0</v>
      </c>
      <c r="F72" s="168">
        <v>0.33333333333333331</v>
      </c>
      <c r="G72" s="107">
        <f t="shared" si="9"/>
        <v>0.70833333333333326</v>
      </c>
      <c r="H72" s="104">
        <v>42779</v>
      </c>
      <c r="I72" s="169" t="s">
        <v>560</v>
      </c>
      <c r="J72" s="203" t="s">
        <v>657</v>
      </c>
      <c r="K72" s="134" t="s">
        <v>560</v>
      </c>
      <c r="L72" s="134" t="s">
        <v>560</v>
      </c>
      <c r="M72" s="203" t="s">
        <v>560</v>
      </c>
      <c r="N72" s="203" t="s">
        <v>560</v>
      </c>
      <c r="O72" s="221" t="e">
        <f>INDEX(#REF!, MATCH($N72,#REF!, 0))</f>
        <v>#REF!</v>
      </c>
      <c r="P72" s="109" t="str">
        <f t="shared" si="11"/>
        <v>NULL</v>
      </c>
      <c r="Q72" s="223" t="e">
        <f t="shared" si="5"/>
        <v>#REF!</v>
      </c>
      <c r="R72" s="223" t="str">
        <f t="shared" si="6"/>
        <v>NULL</v>
      </c>
      <c r="S72" s="235"/>
      <c r="T72" s="235"/>
      <c r="U72" s="223"/>
      <c r="V72" s="223"/>
      <c r="W72" s="235"/>
      <c r="X72" s="223"/>
      <c r="Y72" s="235"/>
      <c r="Z72" s="223"/>
      <c r="AA72" s="223"/>
      <c r="AB72" s="223"/>
      <c r="AC72" s="223"/>
      <c r="AD72" s="223"/>
      <c r="AE72" s="223"/>
      <c r="AF72" s="223"/>
      <c r="AG72" s="223"/>
      <c r="AH72" s="223"/>
      <c r="AI72" s="223"/>
      <c r="AJ72" s="223"/>
      <c r="AK72" s="223"/>
      <c r="AL72" s="223"/>
      <c r="AM72" s="223"/>
      <c r="AN72" s="223"/>
      <c r="AO72" s="223"/>
      <c r="AP72" s="223"/>
      <c r="AQ72" s="223"/>
      <c r="AR72" s="223"/>
      <c r="AS72" s="223"/>
      <c r="AT72" s="223"/>
      <c r="AU72" s="223"/>
      <c r="AV72" s="223"/>
      <c r="AW72" s="223"/>
      <c r="AX72" s="223"/>
      <c r="AY72" s="223"/>
      <c r="AZ72" s="223"/>
      <c r="BA72" s="223"/>
      <c r="BB72" s="223"/>
      <c r="BC72" s="223"/>
      <c r="BD72" s="223"/>
      <c r="BE72" s="223"/>
      <c r="BF72" s="230" t="str">
        <f>IF(ISERROR(MATCH(N72,#REF!, 0)), "",  INDEX(#REF!, MATCH(N72,#REF!, 0)))</f>
        <v/>
      </c>
      <c r="BG72" s="223"/>
      <c r="BH72" s="223"/>
      <c r="BI72" s="223"/>
      <c r="BJ72" s="223"/>
      <c r="BK72" s="223"/>
      <c r="BL72" s="223"/>
      <c r="BM72" s="223"/>
      <c r="BN72" s="223"/>
      <c r="BO72" s="223"/>
      <c r="BP72" s="223"/>
      <c r="BQ72" s="167" t="s">
        <v>636</v>
      </c>
    </row>
    <row r="73" spans="1:69" s="167" customFormat="1" ht="15" thickBot="1" x14ac:dyDescent="0.4">
      <c r="A73" s="240" t="s">
        <v>558</v>
      </c>
      <c r="B73" s="135" t="s">
        <v>561</v>
      </c>
      <c r="C73" s="222" t="str">
        <f t="shared" si="10"/>
        <v>No-host Happy Hour at the Potomac Bar</v>
      </c>
      <c r="D73" s="162">
        <v>120</v>
      </c>
      <c r="E73" s="106">
        <v>0</v>
      </c>
      <c r="F73" s="170">
        <f>G72</f>
        <v>0.70833333333333326</v>
      </c>
      <c r="G73" s="107">
        <f t="shared" si="9"/>
        <v>0.79166666666666663</v>
      </c>
      <c r="H73" s="104">
        <v>42779</v>
      </c>
      <c r="I73" s="169" t="s">
        <v>560</v>
      </c>
      <c r="J73" s="111" t="s">
        <v>657</v>
      </c>
      <c r="K73" s="134" t="s">
        <v>560</v>
      </c>
      <c r="L73" s="134" t="s">
        <v>560</v>
      </c>
      <c r="M73" s="111" t="s">
        <v>560</v>
      </c>
      <c r="N73" s="111" t="s">
        <v>560</v>
      </c>
      <c r="O73" s="156" t="e">
        <f>INDEX(#REF!, MATCH($N73,#REF!, 0))</f>
        <v>#REF!</v>
      </c>
      <c r="P73" s="160" t="str">
        <f t="shared" si="11"/>
        <v>NULL</v>
      </c>
      <c r="Q73" s="223" t="e">
        <f t="shared" si="5"/>
        <v>#REF!</v>
      </c>
      <c r="R73" s="223" t="str">
        <f t="shared" si="6"/>
        <v>NULL</v>
      </c>
      <c r="S73" s="235"/>
      <c r="T73" s="235"/>
      <c r="U73" s="223"/>
      <c r="V73" s="223"/>
      <c r="W73" s="235"/>
      <c r="X73" s="223"/>
      <c r="Y73" s="235"/>
      <c r="Z73" s="223"/>
      <c r="AA73" s="223"/>
      <c r="AB73" s="158"/>
      <c r="AC73" s="158"/>
      <c r="AD73" s="158"/>
      <c r="AE73" s="158"/>
      <c r="AF73" s="158"/>
      <c r="AG73" s="223"/>
      <c r="AH73" s="223"/>
      <c r="AI73" s="223"/>
      <c r="AJ73" s="223"/>
      <c r="AK73" s="223"/>
      <c r="AL73" s="223"/>
      <c r="AM73" s="223"/>
      <c r="AN73" s="223"/>
      <c r="AO73" s="223"/>
      <c r="AP73" s="223"/>
      <c r="AQ73" s="223"/>
      <c r="AR73" s="223"/>
      <c r="AS73" s="223"/>
      <c r="AT73" s="223"/>
      <c r="AU73" s="223"/>
      <c r="AV73" s="223"/>
      <c r="AW73" s="223"/>
      <c r="AX73" s="223"/>
      <c r="AY73" s="223"/>
      <c r="AZ73" s="223"/>
      <c r="BA73" s="223"/>
      <c r="BB73" s="223"/>
      <c r="BC73" s="223"/>
      <c r="BD73" s="223"/>
      <c r="BE73" s="223"/>
      <c r="BF73" s="230" t="str">
        <f>IF(ISERROR(MATCH(N73,#REF!, 0)), "",  INDEX(#REF!, MATCH(N73,#REF!, 0)))</f>
        <v/>
      </c>
      <c r="BG73" s="223"/>
      <c r="BH73" s="223"/>
      <c r="BI73" s="223"/>
      <c r="BJ73" s="223"/>
      <c r="BK73" s="223"/>
      <c r="BL73" s="223"/>
      <c r="BM73" s="223"/>
      <c r="BN73" s="223"/>
      <c r="BO73" s="223"/>
      <c r="BP73" s="223"/>
      <c r="BQ73" s="167" t="s">
        <v>636</v>
      </c>
    </row>
    <row r="74" spans="1:69" s="167" customFormat="1" ht="15" thickTop="1" x14ac:dyDescent="0.35">
      <c r="A74" s="246" t="s">
        <v>558</v>
      </c>
      <c r="B74" s="135" t="s">
        <v>562</v>
      </c>
      <c r="C74" s="135" t="str">
        <f t="shared" si="10"/>
        <v>Joint Breakfast with Wind and Water Attendees</v>
      </c>
      <c r="D74" s="171">
        <v>45</v>
      </c>
      <c r="E74" s="171">
        <v>0</v>
      </c>
      <c r="F74" s="172">
        <v>0.33333333333333331</v>
      </c>
      <c r="G74" s="173">
        <f t="shared" si="9"/>
        <v>0.36458333333333331</v>
      </c>
      <c r="H74" s="104">
        <v>42780</v>
      </c>
      <c r="I74" s="169" t="s">
        <v>563</v>
      </c>
      <c r="J74" s="209" t="s">
        <v>657</v>
      </c>
      <c r="K74" s="134" t="s">
        <v>560</v>
      </c>
      <c r="L74" s="134" t="s">
        <v>560</v>
      </c>
      <c r="M74" s="209" t="s">
        <v>560</v>
      </c>
      <c r="N74" s="209" t="s">
        <v>560</v>
      </c>
      <c r="O74" s="210" t="e">
        <f>INDEX(#REF!, MATCH($N74,#REF!, 0))</f>
        <v>#REF!</v>
      </c>
      <c r="P74" s="234" t="str">
        <f t="shared" si="11"/>
        <v>NULL</v>
      </c>
      <c r="Q74" s="223" t="e">
        <f t="shared" si="5"/>
        <v>#REF!</v>
      </c>
      <c r="R74" s="223" t="str">
        <f t="shared" si="6"/>
        <v>NULL</v>
      </c>
      <c r="S74" s="235"/>
      <c r="T74" s="235"/>
      <c r="U74" s="223"/>
      <c r="V74" s="223"/>
      <c r="W74" s="235"/>
      <c r="X74" s="223"/>
      <c r="Y74" s="235"/>
      <c r="Z74" s="223"/>
      <c r="AA74" s="223"/>
      <c r="AB74" s="158"/>
      <c r="AC74" s="158"/>
      <c r="AD74" s="158"/>
      <c r="AE74" s="158"/>
      <c r="AF74" s="158"/>
      <c r="AG74" s="223"/>
      <c r="AH74" s="223"/>
      <c r="AI74" s="223"/>
      <c r="AJ74" s="223"/>
      <c r="AK74" s="223"/>
      <c r="AL74" s="223"/>
      <c r="AM74" s="223"/>
      <c r="AN74" s="223"/>
      <c r="AO74" s="223"/>
      <c r="AP74" s="223"/>
      <c r="AQ74" s="223"/>
      <c r="AR74" s="223"/>
      <c r="AS74" s="223"/>
      <c r="AT74" s="223"/>
      <c r="AU74" s="223"/>
      <c r="AV74" s="223"/>
      <c r="AW74" s="223"/>
      <c r="AX74" s="223"/>
      <c r="AY74" s="223"/>
      <c r="AZ74" s="223"/>
      <c r="BA74" s="223"/>
      <c r="BB74" s="223"/>
      <c r="BC74" s="223"/>
      <c r="BD74" s="223"/>
      <c r="BE74" s="223"/>
      <c r="BF74" s="230" t="str">
        <f>IF(ISERROR(MATCH(N74,#REF!, 0)), "",  INDEX(#REF!, MATCH(N74,#REF!, 0)))</f>
        <v/>
      </c>
      <c r="BG74" s="223"/>
      <c r="BH74" s="223"/>
      <c r="BI74" s="223"/>
      <c r="BJ74" s="223"/>
      <c r="BK74" s="223"/>
      <c r="BL74" s="223"/>
      <c r="BM74" s="223"/>
      <c r="BN74" s="223"/>
      <c r="BO74" s="223"/>
      <c r="BP74" s="223"/>
      <c r="BQ74" s="167" t="s">
        <v>636</v>
      </c>
    </row>
    <row r="75" spans="1:69" s="167" customFormat="1" x14ac:dyDescent="0.35">
      <c r="A75" s="240" t="s">
        <v>558</v>
      </c>
      <c r="B75" s="205" t="s">
        <v>564</v>
      </c>
      <c r="C75" s="205" t="str">
        <f t="shared" si="10"/>
        <v>Facilitator Welcome</v>
      </c>
      <c r="D75" s="171">
        <v>15</v>
      </c>
      <c r="E75" s="171">
        <v>0</v>
      </c>
      <c r="F75" s="174">
        <f t="shared" ref="F75:F98" si="12">G74</f>
        <v>0.36458333333333331</v>
      </c>
      <c r="G75" s="173">
        <f t="shared" si="9"/>
        <v>0.375</v>
      </c>
      <c r="H75" s="104">
        <v>42780</v>
      </c>
      <c r="I75" s="169" t="s">
        <v>563</v>
      </c>
      <c r="J75" s="116" t="s">
        <v>657</v>
      </c>
      <c r="K75" s="163" t="s">
        <v>560</v>
      </c>
      <c r="L75" s="163" t="s">
        <v>560</v>
      </c>
      <c r="M75" s="116" t="s">
        <v>516</v>
      </c>
      <c r="N75" s="116" t="s">
        <v>565</v>
      </c>
      <c r="O75" s="147" t="e">
        <f>INDEX(#REF!, MATCH($N75,#REF!, 0))</f>
        <v>#REF!</v>
      </c>
      <c r="P75" s="114" t="str">
        <f t="shared" si="11"/>
        <v>Alex Lemke</v>
      </c>
      <c r="Q75" s="223" t="e">
        <f t="shared" ref="Q75:Q138" si="13">O75</f>
        <v>#REF!</v>
      </c>
      <c r="R75" s="223" t="str">
        <f t="shared" ref="R75:R138" si="14">M75</f>
        <v>DOE</v>
      </c>
      <c r="S75" s="235"/>
      <c r="T75" s="235"/>
      <c r="U75" s="223"/>
      <c r="V75" s="223"/>
      <c r="W75" s="235"/>
      <c r="X75" s="223"/>
      <c r="Y75" s="235"/>
      <c r="Z75" s="223"/>
      <c r="AA75" s="223"/>
      <c r="AB75" s="158"/>
      <c r="AC75" s="158"/>
      <c r="AD75" s="158"/>
      <c r="AE75" s="158"/>
      <c r="AF75" s="158"/>
      <c r="AG75" s="223"/>
      <c r="AH75" s="223"/>
      <c r="AI75" s="223"/>
      <c r="AJ75" s="223"/>
      <c r="AK75" s="223"/>
      <c r="AL75" s="223"/>
      <c r="AM75" s="223"/>
      <c r="AN75" s="223"/>
      <c r="AO75" s="223"/>
      <c r="AP75" s="223"/>
      <c r="AQ75" s="223"/>
      <c r="AR75" s="223"/>
      <c r="AS75" s="223"/>
      <c r="AT75" s="223"/>
      <c r="AU75" s="223"/>
      <c r="AV75" s="223"/>
      <c r="AW75" s="223"/>
      <c r="AX75" s="223"/>
      <c r="AY75" s="223"/>
      <c r="AZ75" s="223"/>
      <c r="BA75" s="223"/>
      <c r="BB75" s="223"/>
      <c r="BC75" s="223"/>
      <c r="BD75" s="223"/>
      <c r="BE75" s="223"/>
      <c r="BF75" s="230" t="str">
        <f>IF(ISERROR(MATCH(N75,#REF!, 0)), "",  INDEX(#REF!, MATCH(N75,#REF!, 0)))</f>
        <v/>
      </c>
      <c r="BG75" s="223"/>
      <c r="BH75" s="223"/>
      <c r="BI75" s="223"/>
      <c r="BJ75" s="223"/>
      <c r="BK75" s="223"/>
      <c r="BL75" s="223"/>
      <c r="BM75" s="223"/>
      <c r="BN75" s="223"/>
      <c r="BO75" s="223"/>
      <c r="BP75" s="223"/>
      <c r="BQ75" s="167" t="s">
        <v>636</v>
      </c>
    </row>
    <row r="76" spans="1:69" s="167" customFormat="1" x14ac:dyDescent="0.35">
      <c r="A76" s="243" t="s">
        <v>566</v>
      </c>
      <c r="B76" s="205" t="s">
        <v>567</v>
      </c>
      <c r="C76" s="205" t="str">
        <f t="shared" si="10"/>
        <v>Wind Director Welcome</v>
      </c>
      <c r="D76" s="171">
        <v>15</v>
      </c>
      <c r="E76" s="171">
        <v>10</v>
      </c>
      <c r="F76" s="174">
        <f t="shared" si="12"/>
        <v>0.375</v>
      </c>
      <c r="G76" s="173">
        <f t="shared" si="9"/>
        <v>0.3923611111111111</v>
      </c>
      <c r="H76" s="104">
        <v>42780</v>
      </c>
      <c r="I76" s="169" t="s">
        <v>563</v>
      </c>
      <c r="J76" s="116" t="s">
        <v>657</v>
      </c>
      <c r="K76" s="163" t="s">
        <v>560</v>
      </c>
      <c r="L76" s="163" t="s">
        <v>560</v>
      </c>
      <c r="M76" s="116" t="s">
        <v>516</v>
      </c>
      <c r="N76" s="116" t="s">
        <v>517</v>
      </c>
      <c r="O76" s="147" t="e">
        <f>INDEX(#REF!, MATCH($N76,#REF!, 0))</f>
        <v>#REF!</v>
      </c>
      <c r="P76" s="231" t="str">
        <f t="shared" si="11"/>
        <v>Jose Zayas</v>
      </c>
      <c r="Q76" s="223" t="e">
        <f t="shared" si="13"/>
        <v>#REF!</v>
      </c>
      <c r="R76" s="223" t="str">
        <f t="shared" si="14"/>
        <v>DOE</v>
      </c>
      <c r="S76" s="235"/>
      <c r="T76" s="235"/>
      <c r="U76" s="223"/>
      <c r="V76" s="223"/>
      <c r="W76" s="235"/>
      <c r="X76" s="223"/>
      <c r="Y76" s="235"/>
      <c r="Z76" s="223"/>
      <c r="AA76" s="223"/>
      <c r="AB76" s="158"/>
      <c r="AC76" s="158"/>
      <c r="AD76" s="158"/>
      <c r="AE76" s="158"/>
      <c r="AF76" s="158"/>
      <c r="AG76" s="223"/>
      <c r="AH76" s="223"/>
      <c r="AI76" s="223"/>
      <c r="AJ76" s="223"/>
      <c r="AK76" s="223"/>
      <c r="AL76" s="223"/>
      <c r="AM76" s="223"/>
      <c r="AN76" s="223" t="str">
        <f>"program\"&amp;$A76&amp;"_pres1.pdf"</f>
        <v>program\WPG16001_pres1.pdf</v>
      </c>
      <c r="AO76" s="223"/>
      <c r="AP76" s="223"/>
      <c r="AQ76" s="223"/>
      <c r="AR76" s="223"/>
      <c r="AS76" s="223"/>
      <c r="AT76" s="223"/>
      <c r="AU76" s="223"/>
      <c r="AV76" s="223"/>
      <c r="AW76" s="223"/>
      <c r="AX76" s="223"/>
      <c r="AY76" s="223"/>
      <c r="AZ76" s="223"/>
      <c r="BA76" s="223"/>
      <c r="BB76" s="223"/>
      <c r="BC76" s="223"/>
      <c r="BD76" s="223"/>
      <c r="BE76" s="223"/>
      <c r="BF76" s="230" t="str">
        <f>IF(ISERROR(MATCH(N76,#REF!, 0)), "",  INDEX(#REF!, MATCH(N76,#REF!, 0)))</f>
        <v/>
      </c>
      <c r="BG76" s="223"/>
      <c r="BH76" s="223"/>
      <c r="BI76" s="223"/>
      <c r="BJ76" s="223"/>
      <c r="BK76" s="223"/>
      <c r="BL76" s="223"/>
      <c r="BM76" s="223"/>
      <c r="BN76" s="223"/>
      <c r="BO76" s="223"/>
      <c r="BP76" s="223"/>
      <c r="BQ76" s="167" t="s">
        <v>636</v>
      </c>
    </row>
    <row r="77" spans="1:69" s="167" customFormat="1" x14ac:dyDescent="0.35">
      <c r="A77" s="243" t="s">
        <v>568</v>
      </c>
      <c r="B77" s="205" t="s">
        <v>569</v>
      </c>
      <c r="C77" s="205" t="str">
        <f t="shared" si="10"/>
        <v>Water Director Welcome</v>
      </c>
      <c r="D77" s="171">
        <v>15</v>
      </c>
      <c r="E77" s="171">
        <v>10</v>
      </c>
      <c r="F77" s="174">
        <f t="shared" si="12"/>
        <v>0.3923611111111111</v>
      </c>
      <c r="G77" s="173">
        <f t="shared" si="9"/>
        <v>0.40972222222222221</v>
      </c>
      <c r="H77" s="104">
        <v>42780</v>
      </c>
      <c r="I77" s="169" t="s">
        <v>563</v>
      </c>
      <c r="J77" s="116" t="s">
        <v>657</v>
      </c>
      <c r="K77" s="163" t="s">
        <v>560</v>
      </c>
      <c r="L77" s="163" t="s">
        <v>560</v>
      </c>
      <c r="M77" s="116" t="s">
        <v>516</v>
      </c>
      <c r="N77" s="116" t="s">
        <v>786</v>
      </c>
      <c r="O77" s="147" t="e">
        <f>INDEX(#REF!, MATCH($N77,#REF!, 0))</f>
        <v>#REF!</v>
      </c>
      <c r="P77" s="231" t="str">
        <f t="shared" si="11"/>
        <v>Alejandro Moreno</v>
      </c>
      <c r="Q77" s="223" t="e">
        <f t="shared" si="13"/>
        <v>#REF!</v>
      </c>
      <c r="R77" s="223" t="str">
        <f t="shared" si="14"/>
        <v>DOE</v>
      </c>
      <c r="S77" s="235"/>
      <c r="T77" s="235"/>
      <c r="U77" s="223"/>
      <c r="V77" s="223"/>
      <c r="W77" s="235"/>
      <c r="X77" s="223"/>
      <c r="Y77" s="235"/>
      <c r="Z77" s="223"/>
      <c r="AA77" s="223"/>
      <c r="AB77" s="158"/>
      <c r="AC77" s="158"/>
      <c r="AD77" s="158"/>
      <c r="AE77" s="158"/>
      <c r="AF77" s="158"/>
      <c r="AG77" s="223"/>
      <c r="AH77" s="223"/>
      <c r="AI77" s="223"/>
      <c r="AJ77" s="223"/>
      <c r="AK77" s="223"/>
      <c r="AL77" s="223"/>
      <c r="AM77" s="223"/>
      <c r="AN77" s="223" t="str">
        <f>"program\"&amp;$A77&amp;"_pres1.pdf"</f>
        <v>program\HPG16001_pres1.pdf</v>
      </c>
      <c r="AO77" s="223"/>
      <c r="AP77" s="223"/>
      <c r="AQ77" s="223"/>
      <c r="AR77" s="223"/>
      <c r="AS77" s="223"/>
      <c r="AT77" s="223"/>
      <c r="AU77" s="223"/>
      <c r="AV77" s="223"/>
      <c r="AW77" s="223"/>
      <c r="AX77" s="223"/>
      <c r="AY77" s="223"/>
      <c r="AZ77" s="223"/>
      <c r="BA77" s="223"/>
      <c r="BB77" s="223"/>
      <c r="BC77" s="223"/>
      <c r="BD77" s="223"/>
      <c r="BE77" s="223"/>
      <c r="BF77" s="230" t="str">
        <f>IF(ISERROR(MATCH(N77,#REF!, 0)), "",  INDEX(#REF!, MATCH(N77,#REF!, 0)))</f>
        <v/>
      </c>
      <c r="BG77" s="223"/>
      <c r="BH77" s="223"/>
      <c r="BI77" s="223"/>
      <c r="BJ77" s="223"/>
      <c r="BK77" s="223"/>
      <c r="BL77" s="223"/>
      <c r="BM77" s="223"/>
      <c r="BN77" s="223"/>
      <c r="BO77" s="223"/>
      <c r="BP77" s="223"/>
      <c r="BQ77" s="167" t="s">
        <v>636</v>
      </c>
    </row>
    <row r="78" spans="1:69" s="167" customFormat="1" ht="15" thickBot="1" x14ac:dyDescent="0.4">
      <c r="A78" s="240" t="s">
        <v>558</v>
      </c>
      <c r="B78" s="117" t="s">
        <v>570</v>
      </c>
      <c r="C78" s="117" t="str">
        <f t="shared" si="10"/>
        <v>TRANSITION</v>
      </c>
      <c r="D78" s="171">
        <v>5</v>
      </c>
      <c r="E78" s="171">
        <v>0</v>
      </c>
      <c r="F78" s="175">
        <f t="shared" si="12"/>
        <v>0.40972222222222221</v>
      </c>
      <c r="G78" s="137">
        <f t="shared" si="9"/>
        <v>0.41319444444444442</v>
      </c>
      <c r="H78" s="104">
        <v>42780</v>
      </c>
      <c r="I78" s="169" t="s">
        <v>560</v>
      </c>
      <c r="J78" s="116" t="s">
        <v>657</v>
      </c>
      <c r="K78" s="117" t="s">
        <v>560</v>
      </c>
      <c r="L78" s="117" t="s">
        <v>560</v>
      </c>
      <c r="M78" s="116" t="s">
        <v>560</v>
      </c>
      <c r="N78" s="116" t="s">
        <v>560</v>
      </c>
      <c r="O78" s="116" t="e">
        <f>INDEX(#REF!, MATCH($N78,#REF!, 0))</f>
        <v>#REF!</v>
      </c>
      <c r="P78" s="126" t="str">
        <f t="shared" si="11"/>
        <v>NULL</v>
      </c>
      <c r="Q78" s="223" t="e">
        <f t="shared" si="13"/>
        <v>#REF!</v>
      </c>
      <c r="R78" s="223" t="str">
        <f t="shared" si="14"/>
        <v>NULL</v>
      </c>
      <c r="S78" s="235"/>
      <c r="T78" s="235"/>
      <c r="U78" s="223"/>
      <c r="V78" s="223"/>
      <c r="W78" s="235"/>
      <c r="X78" s="223"/>
      <c r="Y78" s="235"/>
      <c r="Z78" s="223"/>
      <c r="AA78" s="223"/>
      <c r="AB78" s="158"/>
      <c r="AC78" s="158"/>
      <c r="AD78" s="158"/>
      <c r="AE78" s="158"/>
      <c r="AF78" s="158"/>
      <c r="AG78" s="223"/>
      <c r="AH78" s="223"/>
      <c r="AI78" s="223"/>
      <c r="AJ78" s="223"/>
      <c r="AK78" s="223"/>
      <c r="AL78" s="223"/>
      <c r="AM78" s="223"/>
      <c r="AN78" s="223"/>
      <c r="AO78" s="223"/>
      <c r="AP78" s="223"/>
      <c r="AQ78" s="223"/>
      <c r="AR78" s="223"/>
      <c r="AS78" s="223"/>
      <c r="AT78" s="223"/>
      <c r="AU78" s="223"/>
      <c r="AV78" s="223"/>
      <c r="AW78" s="223"/>
      <c r="AX78" s="223"/>
      <c r="AY78" s="223"/>
      <c r="AZ78" s="223"/>
      <c r="BA78" s="223"/>
      <c r="BB78" s="223"/>
      <c r="BC78" s="223"/>
      <c r="BD78" s="223"/>
      <c r="BE78" s="223"/>
      <c r="BF78" s="230" t="str">
        <f>IF(ISERROR(MATCH(N78,#REF!, 0)), "",  INDEX(#REF!, MATCH(N78,#REF!, 0)))</f>
        <v/>
      </c>
      <c r="BG78" s="223"/>
      <c r="BH78" s="223"/>
      <c r="BI78" s="223"/>
      <c r="BJ78" s="223"/>
      <c r="BK78" s="223"/>
      <c r="BL78" s="223"/>
      <c r="BM78" s="223"/>
      <c r="BN78" s="223"/>
      <c r="BO78" s="223"/>
      <c r="BP78" s="223"/>
      <c r="BQ78" s="167" t="s">
        <v>636</v>
      </c>
    </row>
    <row r="79" spans="1:69" s="167" customFormat="1" ht="15.5" thickTop="1" thickBot="1" x14ac:dyDescent="0.4">
      <c r="A79" s="240" t="s">
        <v>689</v>
      </c>
      <c r="B79" s="118" t="s">
        <v>571</v>
      </c>
      <c r="C79" s="118" t="str">
        <f t="shared" si="10"/>
        <v>Program Lead Presentation</v>
      </c>
      <c r="D79" s="119">
        <v>15</v>
      </c>
      <c r="E79" s="106">
        <v>0</v>
      </c>
      <c r="F79" s="177">
        <f t="shared" si="12"/>
        <v>0.41319444444444442</v>
      </c>
      <c r="G79" s="178">
        <f t="shared" si="9"/>
        <v>0.4236111111111111</v>
      </c>
      <c r="H79" s="104">
        <v>42780</v>
      </c>
      <c r="I79" s="169" t="s">
        <v>658</v>
      </c>
      <c r="J79" s="120" t="s">
        <v>657</v>
      </c>
      <c r="K79" s="118" t="s">
        <v>560</v>
      </c>
      <c r="L79" s="118" t="s">
        <v>560</v>
      </c>
      <c r="M79" s="120" t="s">
        <v>516</v>
      </c>
      <c r="N79" s="120" t="s">
        <v>526</v>
      </c>
      <c r="O79" s="121" t="e">
        <f>INDEX(#REF!, MATCH($N79,#REF!, 0))</f>
        <v>#REF!</v>
      </c>
      <c r="P79" s="120" t="str">
        <f t="shared" si="11"/>
        <v>Mike Derby</v>
      </c>
      <c r="Q79" s="223" t="e">
        <f t="shared" si="13"/>
        <v>#REF!</v>
      </c>
      <c r="R79" s="223" t="str">
        <f t="shared" si="14"/>
        <v>DOE</v>
      </c>
      <c r="S79" s="235"/>
      <c r="T79" s="235"/>
      <c r="U79" s="223"/>
      <c r="V79" s="223"/>
      <c r="W79" s="235"/>
      <c r="X79" s="223"/>
      <c r="Y79" s="235"/>
      <c r="Z79" s="223"/>
      <c r="AA79" s="223"/>
      <c r="AB79" s="158"/>
      <c r="AC79" s="158"/>
      <c r="AD79" s="158"/>
      <c r="AE79" s="158"/>
      <c r="AF79" s="158"/>
      <c r="AG79" s="223"/>
      <c r="AH79" s="223"/>
      <c r="AI79" s="223"/>
      <c r="AJ79" s="223"/>
      <c r="AK79" s="223"/>
      <c r="AL79" s="223"/>
      <c r="AM79" s="223"/>
      <c r="AN79" s="223" t="str">
        <f>"program\"&amp;$A79&amp;"_pres1.pdf"</f>
        <v>program\WPG16003_pres1.pdf</v>
      </c>
      <c r="AO79" s="223"/>
      <c r="AP79" s="223"/>
      <c r="AQ79" s="223"/>
      <c r="AR79" s="223"/>
      <c r="AS79" s="223"/>
      <c r="AT79" s="223"/>
      <c r="AU79" s="223"/>
      <c r="AV79" s="223"/>
      <c r="AW79" s="223"/>
      <c r="AX79" s="223"/>
      <c r="AY79" s="223"/>
      <c r="AZ79" s="223"/>
      <c r="BA79" s="223"/>
      <c r="BB79" s="223"/>
      <c r="BC79" s="223"/>
      <c r="BD79" s="223"/>
      <c r="BE79" s="223"/>
      <c r="BF79" s="230" t="str">
        <f>IF(ISERROR(MATCH(N79,#REF!, 0)), "",  INDEX(#REF!, MATCH(N79,#REF!, 0)))</f>
        <v/>
      </c>
      <c r="BG79" s="223"/>
      <c r="BH79" s="223"/>
      <c r="BI79" s="223"/>
      <c r="BJ79" s="223"/>
      <c r="BK79" s="223"/>
      <c r="BL79" s="223"/>
      <c r="BM79" s="223"/>
      <c r="BN79" s="223"/>
      <c r="BO79" s="223"/>
      <c r="BP79" s="223"/>
      <c r="BQ79" s="167" t="s">
        <v>636</v>
      </c>
    </row>
    <row r="80" spans="1:69" s="167" customFormat="1" ht="15.5" thickTop="1" thickBot="1" x14ac:dyDescent="0.4">
      <c r="A80" s="240" t="s">
        <v>558</v>
      </c>
      <c r="B80" s="145" t="s">
        <v>518</v>
      </c>
      <c r="C80" s="145" t="str">
        <f t="shared" si="10"/>
        <v>Chairperson Welcome and Intro to Panel</v>
      </c>
      <c r="D80" s="171">
        <v>10</v>
      </c>
      <c r="E80" s="171">
        <v>0</v>
      </c>
      <c r="F80" s="174">
        <f t="shared" si="12"/>
        <v>0.4236111111111111</v>
      </c>
      <c r="G80" s="173">
        <f t="shared" si="9"/>
        <v>0.43055555555555552</v>
      </c>
      <c r="H80" s="104">
        <v>42780</v>
      </c>
      <c r="I80" s="169" t="s">
        <v>658</v>
      </c>
      <c r="J80" s="265" t="s">
        <v>657</v>
      </c>
      <c r="K80" s="144" t="s">
        <v>560</v>
      </c>
      <c r="L80" s="144" t="s">
        <v>560</v>
      </c>
      <c r="M80" s="265" t="s">
        <v>516</v>
      </c>
      <c r="N80" s="265" t="s">
        <v>587</v>
      </c>
      <c r="O80" s="265" t="e">
        <f>INDEX(#REF!, MATCH($N80,#REF!, 0))</f>
        <v>#REF!</v>
      </c>
      <c r="P80" s="131" t="str">
        <f t="shared" si="11"/>
        <v>Sandy Butterfield</v>
      </c>
      <c r="Q80" s="223" t="e">
        <f t="shared" si="13"/>
        <v>#REF!</v>
      </c>
      <c r="R80" s="223" t="str">
        <f t="shared" si="14"/>
        <v>DOE</v>
      </c>
      <c r="S80" s="235"/>
      <c r="T80" s="235"/>
      <c r="U80" s="223"/>
      <c r="V80" s="223"/>
      <c r="W80" s="235"/>
      <c r="X80" s="223"/>
      <c r="Y80" s="235"/>
      <c r="Z80" s="223"/>
      <c r="AA80" s="223"/>
      <c r="AB80" s="158"/>
      <c r="AC80" s="158"/>
      <c r="AD80" s="158"/>
      <c r="AE80" s="158"/>
      <c r="AF80" s="158"/>
      <c r="AG80" s="223"/>
      <c r="AH80" s="223"/>
      <c r="AI80" s="223"/>
      <c r="AJ80" s="223"/>
      <c r="AK80" s="223"/>
      <c r="AL80" s="223"/>
      <c r="AM80" s="223"/>
      <c r="AN80" s="223"/>
      <c r="AO80" s="223"/>
      <c r="AP80" s="223"/>
      <c r="AQ80" s="223"/>
      <c r="AR80" s="223"/>
      <c r="AS80" s="223"/>
      <c r="AT80" s="223"/>
      <c r="AU80" s="223"/>
      <c r="AV80" s="223"/>
      <c r="AW80" s="223"/>
      <c r="AX80" s="223"/>
      <c r="AY80" s="223"/>
      <c r="AZ80" s="223"/>
      <c r="BA80" s="223"/>
      <c r="BB80" s="223"/>
      <c r="BC80" s="223"/>
      <c r="BD80" s="223"/>
      <c r="BE80" s="223"/>
      <c r="BF80" s="230" t="str">
        <f>IF(ISERROR(MATCH(N80,#REF!, 0)), "",  INDEX(#REF!, MATCH(N80,#REF!, 0)))</f>
        <v/>
      </c>
      <c r="BG80" s="223"/>
      <c r="BH80" s="223"/>
      <c r="BI80" s="223"/>
      <c r="BJ80" s="223"/>
      <c r="BK80" s="223"/>
      <c r="BL80" s="223"/>
      <c r="BM80" s="223"/>
      <c r="BN80" s="223"/>
      <c r="BO80" s="223"/>
      <c r="BP80" s="223"/>
      <c r="BQ80" s="167" t="s">
        <v>636</v>
      </c>
    </row>
    <row r="81" spans="1:69" s="167" customFormat="1" ht="15.5" thickTop="1" thickBot="1" x14ac:dyDescent="0.4">
      <c r="A81" s="240" t="s">
        <v>694</v>
      </c>
      <c r="B81" s="138" t="s">
        <v>659</v>
      </c>
      <c r="C81" s="139" t="str">
        <f t="shared" si="10"/>
        <v>Overview of Innovation, Manufacturing, Reliability and Testing</v>
      </c>
      <c r="D81" s="171">
        <v>10</v>
      </c>
      <c r="E81" s="171">
        <v>5</v>
      </c>
      <c r="F81" s="174">
        <f t="shared" si="12"/>
        <v>0.43055555555555552</v>
      </c>
      <c r="G81" s="173">
        <f t="shared" si="9"/>
        <v>0.44097222222222215</v>
      </c>
      <c r="H81" s="104">
        <v>42780</v>
      </c>
      <c r="I81" s="169" t="s">
        <v>658</v>
      </c>
      <c r="J81" s="123" t="s">
        <v>657</v>
      </c>
      <c r="K81" s="143" t="s">
        <v>660</v>
      </c>
      <c r="L81" s="143" t="s">
        <v>560</v>
      </c>
      <c r="M81" s="123" t="s">
        <v>516</v>
      </c>
      <c r="N81" s="123" t="s">
        <v>454</v>
      </c>
      <c r="O81" s="123" t="e">
        <f>INDEX(#REF!, MATCH($N81,#REF!, 0))</f>
        <v>#REF!</v>
      </c>
      <c r="P81" s="124" t="str">
        <f t="shared" si="11"/>
        <v>Megan McCluer</v>
      </c>
      <c r="Q81" s="223" t="e">
        <f t="shared" si="13"/>
        <v>#REF!</v>
      </c>
      <c r="R81" s="223" t="str">
        <f t="shared" si="14"/>
        <v>DOE</v>
      </c>
      <c r="S81" s="235"/>
      <c r="T81" s="235"/>
      <c r="U81" s="223"/>
      <c r="V81" s="223"/>
      <c r="W81" s="235"/>
      <c r="X81" s="223"/>
      <c r="Y81" s="235"/>
      <c r="Z81" s="223"/>
      <c r="AA81" s="223"/>
      <c r="AB81" s="158"/>
      <c r="AC81" s="158"/>
      <c r="AD81" s="158"/>
      <c r="AE81" s="158"/>
      <c r="AF81" s="158"/>
      <c r="AG81" s="223"/>
      <c r="AH81" s="223"/>
      <c r="AI81" s="223"/>
      <c r="AJ81" s="223"/>
      <c r="AK81" s="223"/>
      <c r="AL81" s="223"/>
      <c r="AM81" s="223"/>
      <c r="AN81" s="223" t="str">
        <f>"program\"&amp;$A81&amp;"_pres1.pdf"</f>
        <v>program\WPG16008_pres1.pdf</v>
      </c>
      <c r="AO81" s="223"/>
      <c r="AP81" s="223"/>
      <c r="AQ81" s="223"/>
      <c r="AR81" s="223"/>
      <c r="AS81" s="223"/>
      <c r="AT81" s="223"/>
      <c r="AU81" s="223"/>
      <c r="AV81" s="223"/>
      <c r="AW81" s="223"/>
      <c r="AX81" s="223"/>
      <c r="AY81" s="223"/>
      <c r="AZ81" s="223"/>
      <c r="BA81" s="223"/>
      <c r="BB81" s="223"/>
      <c r="BC81" s="223"/>
      <c r="BD81" s="223"/>
      <c r="BE81" s="223"/>
      <c r="BF81" s="230" t="str">
        <f>IF(ISERROR(MATCH(N81,#REF!, 0)), "",  INDEX(#REF!, MATCH(N81,#REF!, 0)))</f>
        <v/>
      </c>
      <c r="BG81" s="223"/>
      <c r="BH81" s="223"/>
      <c r="BI81" s="223"/>
      <c r="BJ81" s="223"/>
      <c r="BK81" s="223"/>
      <c r="BL81" s="223"/>
      <c r="BM81" s="223"/>
      <c r="BN81" s="223"/>
      <c r="BO81" s="223"/>
      <c r="BP81" s="223"/>
      <c r="BQ81" s="167" t="s">
        <v>636</v>
      </c>
    </row>
    <row r="82" spans="1:69" s="167" customFormat="1" x14ac:dyDescent="0.35">
      <c r="A82" s="240">
        <v>187</v>
      </c>
      <c r="B82" s="142" t="s">
        <v>787</v>
      </c>
      <c r="C82" s="142" t="str">
        <f t="shared" si="10"/>
        <v>Additive Manufacturing in Wind Turbine Components and Tooling</v>
      </c>
      <c r="D82" s="171">
        <v>25</v>
      </c>
      <c r="E82" s="171">
        <v>10</v>
      </c>
      <c r="F82" s="174">
        <f t="shared" si="12"/>
        <v>0.44097222222222215</v>
      </c>
      <c r="G82" s="173">
        <f t="shared" si="9"/>
        <v>0.46527777777777768</v>
      </c>
      <c r="H82" s="104">
        <v>42780</v>
      </c>
      <c r="I82" s="169" t="s">
        <v>658</v>
      </c>
      <c r="J82" s="266" t="s">
        <v>657</v>
      </c>
      <c r="K82" s="163" t="s">
        <v>660</v>
      </c>
      <c r="L82" s="163" t="s">
        <v>560</v>
      </c>
      <c r="M82" s="266" t="s">
        <v>573</v>
      </c>
      <c r="N82" s="266" t="s">
        <v>594</v>
      </c>
      <c r="O82" s="266" t="e">
        <f>INDEX(#REF!, MATCH($N82,#REF!, 0))</f>
        <v>#REF!</v>
      </c>
      <c r="P82" s="231" t="str">
        <f t="shared" si="11"/>
        <v>Brian Post</v>
      </c>
      <c r="Q82" s="223" t="e">
        <f t="shared" si="13"/>
        <v>#REF!</v>
      </c>
      <c r="R82" s="223" t="str">
        <f t="shared" si="14"/>
        <v>ORNL</v>
      </c>
      <c r="S82" s="235"/>
      <c r="T82" s="235"/>
      <c r="U82" s="223"/>
      <c r="V82" s="223"/>
      <c r="W82" s="235"/>
      <c r="X82" s="223"/>
      <c r="Y82" s="235"/>
      <c r="Z82" s="223"/>
      <c r="AA82" s="223"/>
      <c r="AB82" s="158"/>
      <c r="AC82" s="158"/>
      <c r="AD82" s="158"/>
      <c r="AE82" s="158"/>
      <c r="AF82" s="158"/>
      <c r="AG82" s="223"/>
      <c r="AH82" s="223"/>
      <c r="AI82" s="223"/>
      <c r="AJ82" s="223"/>
      <c r="AK82" s="223"/>
      <c r="AL82" s="223"/>
      <c r="AM82" s="223" t="str">
        <f>"projects\"&amp;$A82&amp;"_sum1.pdf"</f>
        <v>projects\187_sum1.pdf</v>
      </c>
      <c r="AN82" s="223" t="str">
        <f>"projects\"&amp;$A82&amp;"_pres1.pdf"</f>
        <v>projects\187_pres1.pdf</v>
      </c>
      <c r="AO82" s="223"/>
      <c r="AP82" s="223"/>
      <c r="AQ82" s="223"/>
      <c r="AR82" s="223"/>
      <c r="AS82" s="223"/>
      <c r="AT82" s="223"/>
      <c r="AU82" s="223"/>
      <c r="AV82" s="223"/>
      <c r="AW82" s="223"/>
      <c r="AX82" s="223"/>
      <c r="AY82" s="223"/>
      <c r="AZ82" s="223"/>
      <c r="BA82" s="223"/>
      <c r="BB82" s="223"/>
      <c r="BC82" s="223"/>
      <c r="BD82" s="223"/>
      <c r="BE82" s="223"/>
      <c r="BF82" s="230" t="str">
        <f>IF(ISERROR(MATCH(N82,#REF!, 0)), "",  INDEX(#REF!, MATCH(N82,#REF!, 0)))</f>
        <v/>
      </c>
      <c r="BG82" s="223"/>
      <c r="BH82" s="223"/>
      <c r="BI82" s="223"/>
      <c r="BJ82" s="223"/>
      <c r="BK82" s="223"/>
      <c r="BL82" s="223"/>
      <c r="BM82" s="223"/>
      <c r="BN82" s="223"/>
      <c r="BO82" s="223"/>
      <c r="BP82" s="223"/>
      <c r="BQ82" s="167" t="s">
        <v>636</v>
      </c>
    </row>
    <row r="83" spans="1:69" s="167" customFormat="1" x14ac:dyDescent="0.35">
      <c r="A83" s="240">
        <v>237</v>
      </c>
      <c r="B83" s="142" t="s">
        <v>724</v>
      </c>
      <c r="C83" s="142" t="str">
        <f t="shared" si="10"/>
        <v>Development of On-Site Tapered Spiral Welding for Large Turbine Towers</v>
      </c>
      <c r="D83" s="171">
        <v>15</v>
      </c>
      <c r="E83" s="171">
        <v>10</v>
      </c>
      <c r="F83" s="174">
        <f t="shared" si="12"/>
        <v>0.46527777777777768</v>
      </c>
      <c r="G83" s="173">
        <f t="shared" si="9"/>
        <v>0.48263888888888878</v>
      </c>
      <c r="H83" s="104">
        <v>42780</v>
      </c>
      <c r="I83" s="169" t="s">
        <v>658</v>
      </c>
      <c r="J83" s="266" t="s">
        <v>657</v>
      </c>
      <c r="K83" s="163" t="s">
        <v>660</v>
      </c>
      <c r="L83" s="163" t="s">
        <v>560</v>
      </c>
      <c r="M83" s="266" t="s">
        <v>603</v>
      </c>
      <c r="N83" s="266" t="s">
        <v>540</v>
      </c>
      <c r="O83" s="266" t="e">
        <f>INDEX(#REF!, MATCH($N83,#REF!, 0))</f>
        <v>#REF!</v>
      </c>
      <c r="P83" s="231" t="str">
        <f t="shared" si="11"/>
        <v>Eric Smith</v>
      </c>
      <c r="Q83" s="223" t="e">
        <f t="shared" si="13"/>
        <v>#REF!</v>
      </c>
      <c r="R83" s="223" t="str">
        <f t="shared" si="14"/>
        <v>Keystone Tower Systems</v>
      </c>
      <c r="S83" s="235"/>
      <c r="T83" s="235"/>
      <c r="U83" s="223"/>
      <c r="V83" s="223"/>
      <c r="W83" s="235"/>
      <c r="X83" s="223"/>
      <c r="Y83" s="235"/>
      <c r="Z83" s="223"/>
      <c r="AA83" s="223"/>
      <c r="AB83" s="158"/>
      <c r="AC83" s="158"/>
      <c r="AD83" s="158"/>
      <c r="AE83" s="158"/>
      <c r="AF83" s="158"/>
      <c r="AG83" s="223"/>
      <c r="AH83" s="223"/>
      <c r="AI83" s="223"/>
      <c r="AJ83" s="223"/>
      <c r="AK83" s="223"/>
      <c r="AL83" s="223"/>
      <c r="AM83" s="223" t="str">
        <f>"projects\"&amp;$A83&amp;"_sum1.pdf"</f>
        <v>projects\237_sum1.pdf</v>
      </c>
      <c r="AN83" s="223" t="str">
        <f>"projects\"&amp;$A83&amp;"_pres1.pdf"</f>
        <v>projects\237_pres1.pdf</v>
      </c>
      <c r="AO83" s="223"/>
      <c r="AP83" s="223"/>
      <c r="AQ83" s="223"/>
      <c r="AR83" s="223"/>
      <c r="AS83" s="223"/>
      <c r="AT83" s="223"/>
      <c r="AU83" s="223"/>
      <c r="AV83" s="223"/>
      <c r="AW83" s="223"/>
      <c r="AX83" s="223"/>
      <c r="AY83" s="223"/>
      <c r="AZ83" s="223"/>
      <c r="BA83" s="223"/>
      <c r="BB83" s="223"/>
      <c r="BC83" s="223"/>
      <c r="BD83" s="223"/>
      <c r="BE83" s="223"/>
      <c r="BF83" s="230" t="str">
        <f>IF(ISERROR(MATCH(N83,#REF!, 0)), "",  INDEX(#REF!, MATCH(N83,#REF!, 0)))</f>
        <v/>
      </c>
      <c r="BG83" s="223"/>
      <c r="BH83" s="223"/>
      <c r="BI83" s="223"/>
      <c r="BJ83" s="223"/>
      <c r="BK83" s="223"/>
      <c r="BL83" s="223"/>
      <c r="BM83" s="223"/>
      <c r="BN83" s="223"/>
      <c r="BO83" s="223"/>
      <c r="BP83" s="223"/>
      <c r="BQ83" s="167" t="s">
        <v>636</v>
      </c>
    </row>
    <row r="84" spans="1:69" s="167" customFormat="1" x14ac:dyDescent="0.35">
      <c r="A84" s="240">
        <v>238</v>
      </c>
      <c r="B84" s="142" t="s">
        <v>725</v>
      </c>
      <c r="C84" s="142" t="str">
        <f t="shared" si="10"/>
        <v>Hexcrete Tower for Harvesting Wind Energy at Taller Hub Heights</v>
      </c>
      <c r="D84" s="171">
        <v>15</v>
      </c>
      <c r="E84" s="171">
        <v>10</v>
      </c>
      <c r="F84" s="174">
        <f t="shared" si="12"/>
        <v>0.48263888888888878</v>
      </c>
      <c r="G84" s="173">
        <f t="shared" si="9"/>
        <v>0.49999999999999989</v>
      </c>
      <c r="H84" s="104">
        <v>42780</v>
      </c>
      <c r="I84" s="169" t="s">
        <v>658</v>
      </c>
      <c r="J84" s="266" t="s">
        <v>657</v>
      </c>
      <c r="K84" s="163" t="s">
        <v>660</v>
      </c>
      <c r="L84" s="163" t="s">
        <v>560</v>
      </c>
      <c r="M84" s="266" t="s">
        <v>629</v>
      </c>
      <c r="N84" s="266" t="s">
        <v>661</v>
      </c>
      <c r="O84" s="266" t="e">
        <f>INDEX(#REF!, MATCH($N84,#REF!, 0))</f>
        <v>#REF!</v>
      </c>
      <c r="P84" s="231" t="str">
        <f t="shared" si="11"/>
        <v>Sri Sritharan</v>
      </c>
      <c r="Q84" s="223" t="e">
        <f t="shared" si="13"/>
        <v>#REF!</v>
      </c>
      <c r="R84" s="223" t="str">
        <f t="shared" si="14"/>
        <v>Iowa State University</v>
      </c>
      <c r="S84" s="235"/>
      <c r="T84" s="235"/>
      <c r="U84" s="223"/>
      <c r="V84" s="223"/>
      <c r="W84" s="235"/>
      <c r="X84" s="223"/>
      <c r="Y84" s="235"/>
      <c r="Z84" s="223"/>
      <c r="AA84" s="223"/>
      <c r="AB84" s="158"/>
      <c r="AC84" s="158"/>
      <c r="AD84" s="158"/>
      <c r="AE84" s="158"/>
      <c r="AF84" s="158"/>
      <c r="AG84" s="223"/>
      <c r="AH84" s="223"/>
      <c r="AI84" s="223"/>
      <c r="AJ84" s="223"/>
      <c r="AK84" s="223"/>
      <c r="AL84" s="223"/>
      <c r="AM84" s="223" t="str">
        <f>"projects\"&amp;$A84&amp;"_sum1.pdf"</f>
        <v>projects\238_sum1.pdf</v>
      </c>
      <c r="AN84" s="223" t="str">
        <f>"projects\"&amp;$A84&amp;"_pres1.pdf"</f>
        <v>projects\238_pres1.pdf</v>
      </c>
      <c r="AO84" s="223"/>
      <c r="AP84" s="223"/>
      <c r="AQ84" s="223"/>
      <c r="AR84" s="223"/>
      <c r="AS84" s="223"/>
      <c r="AT84" s="223"/>
      <c r="AU84" s="223"/>
      <c r="AV84" s="223"/>
      <c r="AW84" s="223"/>
      <c r="AX84" s="223"/>
      <c r="AY84" s="223"/>
      <c r="AZ84" s="223"/>
      <c r="BA84" s="223"/>
      <c r="BB84" s="223"/>
      <c r="BC84" s="223"/>
      <c r="BD84" s="223"/>
      <c r="BE84" s="223"/>
      <c r="BF84" s="230" t="str">
        <f>IF(ISERROR(MATCH(N84,#REF!, 0)), "",  INDEX(#REF!, MATCH(N84,#REF!, 0)))</f>
        <v/>
      </c>
      <c r="BG84" s="223"/>
      <c r="BH84" s="223"/>
      <c r="BI84" s="223"/>
      <c r="BJ84" s="223"/>
      <c r="BK84" s="223"/>
      <c r="BL84" s="223"/>
      <c r="BM84" s="223"/>
      <c r="BN84" s="223"/>
      <c r="BO84" s="223"/>
      <c r="BP84" s="223"/>
      <c r="BQ84" s="167" t="s">
        <v>636</v>
      </c>
    </row>
    <row r="85" spans="1:69" s="167" customFormat="1" ht="15" thickBot="1" x14ac:dyDescent="0.4">
      <c r="A85" s="240" t="s">
        <v>558</v>
      </c>
      <c r="B85" s="130" t="s">
        <v>579</v>
      </c>
      <c r="C85" s="130" t="str">
        <f t="shared" si="10"/>
        <v>Reviewer Note Taking Time</v>
      </c>
      <c r="D85" s="181">
        <v>30</v>
      </c>
      <c r="E85" s="181">
        <v>0</v>
      </c>
      <c r="F85" s="206">
        <f t="shared" si="12"/>
        <v>0.49999999999999989</v>
      </c>
      <c r="G85" s="207">
        <f t="shared" si="9"/>
        <v>0.52083333333333326</v>
      </c>
      <c r="H85" s="104">
        <v>42780</v>
      </c>
      <c r="I85" s="169" t="s">
        <v>658</v>
      </c>
      <c r="J85" s="208" t="s">
        <v>657</v>
      </c>
      <c r="K85" s="130" t="s">
        <v>560</v>
      </c>
      <c r="L85" s="130" t="s">
        <v>560</v>
      </c>
      <c r="M85" s="208" t="s">
        <v>560</v>
      </c>
      <c r="N85" s="208" t="s">
        <v>560</v>
      </c>
      <c r="O85" s="208" t="e">
        <f>INDEX(#REF!, MATCH($N85,#REF!, 0))</f>
        <v>#REF!</v>
      </c>
      <c r="P85" s="130" t="str">
        <f t="shared" si="11"/>
        <v>NULL</v>
      </c>
      <c r="Q85" s="223" t="e">
        <f t="shared" si="13"/>
        <v>#REF!</v>
      </c>
      <c r="R85" s="223" t="str">
        <f t="shared" si="14"/>
        <v>NULL</v>
      </c>
      <c r="S85" s="235"/>
      <c r="T85" s="235"/>
      <c r="U85" s="223"/>
      <c r="V85" s="223"/>
      <c r="W85" s="235"/>
      <c r="X85" s="223"/>
      <c r="Y85" s="235"/>
      <c r="Z85" s="223"/>
      <c r="AA85" s="223"/>
      <c r="AB85" s="158"/>
      <c r="AC85" s="158"/>
      <c r="AD85" s="158"/>
      <c r="AE85" s="158"/>
      <c r="AF85" s="158"/>
      <c r="AG85" s="223"/>
      <c r="AH85" s="223"/>
      <c r="AI85" s="223"/>
      <c r="AJ85" s="223"/>
      <c r="AK85" s="223"/>
      <c r="AL85" s="223"/>
      <c r="AM85" s="223"/>
      <c r="AN85" s="223"/>
      <c r="AO85" s="223"/>
      <c r="AP85" s="223"/>
      <c r="AQ85" s="223"/>
      <c r="AR85" s="223"/>
      <c r="AS85" s="223"/>
      <c r="AT85" s="223"/>
      <c r="AU85" s="223"/>
      <c r="AV85" s="223"/>
      <c r="AW85" s="223"/>
      <c r="AX85" s="223"/>
      <c r="AY85" s="223"/>
      <c r="AZ85" s="223"/>
      <c r="BA85" s="223"/>
      <c r="BB85" s="223"/>
      <c r="BC85" s="223"/>
      <c r="BD85" s="223"/>
      <c r="BE85" s="223"/>
      <c r="BF85" s="230" t="str">
        <f>IF(ISERROR(MATCH(N85,#REF!, 0)), "",  INDEX(#REF!, MATCH(N85,#REF!, 0)))</f>
        <v/>
      </c>
      <c r="BG85" s="223"/>
      <c r="BH85" s="223"/>
      <c r="BI85" s="223"/>
      <c r="BJ85" s="223"/>
      <c r="BK85" s="223"/>
      <c r="BL85" s="223"/>
      <c r="BM85" s="223"/>
      <c r="BN85" s="223"/>
      <c r="BO85" s="223"/>
      <c r="BP85" s="223"/>
      <c r="BQ85" s="167" t="s">
        <v>636</v>
      </c>
    </row>
    <row r="86" spans="1:69" s="167" customFormat="1" ht="15.5" thickTop="1" thickBot="1" x14ac:dyDescent="0.4">
      <c r="A86" s="239" t="s">
        <v>558</v>
      </c>
      <c r="B86" s="185" t="s">
        <v>521</v>
      </c>
      <c r="C86" s="185" t="str">
        <f t="shared" si="10"/>
        <v>LUNCH</v>
      </c>
      <c r="D86" s="186">
        <v>60</v>
      </c>
      <c r="E86" s="187">
        <v>0</v>
      </c>
      <c r="F86" s="188">
        <f t="shared" si="12"/>
        <v>0.52083333333333326</v>
      </c>
      <c r="G86" s="189">
        <f t="shared" si="9"/>
        <v>0.56249999999999989</v>
      </c>
      <c r="H86" s="104">
        <v>42780</v>
      </c>
      <c r="I86" s="169" t="s">
        <v>563</v>
      </c>
      <c r="J86" s="190" t="s">
        <v>657</v>
      </c>
      <c r="K86" s="185" t="s">
        <v>560</v>
      </c>
      <c r="L86" s="185" t="s">
        <v>560</v>
      </c>
      <c r="M86" s="190" t="s">
        <v>560</v>
      </c>
      <c r="N86" s="190" t="s">
        <v>560</v>
      </c>
      <c r="O86" s="190" t="e">
        <f>INDEX(#REF!, MATCH($N86,#REF!, 0))</f>
        <v>#REF!</v>
      </c>
      <c r="P86" s="391" t="s">
        <v>784</v>
      </c>
      <c r="Q86" s="223" t="e">
        <f t="shared" si="13"/>
        <v>#REF!</v>
      </c>
      <c r="R86" s="223" t="str">
        <f t="shared" si="14"/>
        <v>NULL</v>
      </c>
      <c r="S86" s="235"/>
      <c r="T86" s="235"/>
      <c r="U86" s="223"/>
      <c r="V86" s="223"/>
      <c r="W86" s="235"/>
      <c r="X86" s="223"/>
      <c r="Y86" s="235"/>
      <c r="Z86" s="223"/>
      <c r="AA86" s="223"/>
      <c r="AB86" s="158"/>
      <c r="AC86" s="158"/>
      <c r="AD86" s="158"/>
      <c r="AE86" s="158"/>
      <c r="AF86" s="158"/>
      <c r="AG86" s="223"/>
      <c r="AH86" s="223"/>
      <c r="AI86" s="223"/>
      <c r="AJ86" s="223"/>
      <c r="AK86" s="223"/>
      <c r="AL86" s="223"/>
      <c r="AM86" s="223"/>
      <c r="AN86" s="223"/>
      <c r="AO86" s="223"/>
      <c r="AP86" s="223"/>
      <c r="AQ86" s="223"/>
      <c r="AR86" s="223"/>
      <c r="AS86" s="223"/>
      <c r="AT86" s="223"/>
      <c r="AU86" s="223"/>
      <c r="AV86" s="223"/>
      <c r="AW86" s="223"/>
      <c r="AX86" s="223"/>
      <c r="AY86" s="223"/>
      <c r="AZ86" s="223"/>
      <c r="BA86" s="223"/>
      <c r="BB86" s="223"/>
      <c r="BC86" s="223"/>
      <c r="BD86" s="223"/>
      <c r="BE86" s="223"/>
      <c r="BF86" s="230" t="str">
        <f>IF(ISERROR(MATCH(N86,#REF!, 0)), "",  INDEX(#REF!, MATCH(N86,#REF!, 0)))</f>
        <v/>
      </c>
      <c r="BG86" s="223"/>
      <c r="BH86" s="223"/>
      <c r="BI86" s="223"/>
      <c r="BJ86" s="223"/>
      <c r="BK86" s="223"/>
      <c r="BL86" s="223"/>
      <c r="BM86" s="223"/>
      <c r="BN86" s="223"/>
      <c r="BO86" s="223"/>
      <c r="BP86" s="223"/>
      <c r="BQ86" s="167" t="s">
        <v>636</v>
      </c>
    </row>
    <row r="87" spans="1:69" s="167" customFormat="1" ht="15.5" thickTop="1" thickBot="1" x14ac:dyDescent="0.4">
      <c r="A87" s="240" t="s">
        <v>576</v>
      </c>
      <c r="B87" s="138" t="s">
        <v>662</v>
      </c>
      <c r="C87" s="139" t="str">
        <f t="shared" si="10"/>
        <v>Recap – Innovation, Manufacturing, Reliability and Testing</v>
      </c>
      <c r="D87" s="171">
        <v>5</v>
      </c>
      <c r="E87" s="171">
        <v>0</v>
      </c>
      <c r="F87" s="174">
        <f t="shared" si="12"/>
        <v>0.56249999999999989</v>
      </c>
      <c r="G87" s="173">
        <f t="shared" si="9"/>
        <v>0.5659722222222221</v>
      </c>
      <c r="H87" s="104">
        <v>42780</v>
      </c>
      <c r="I87" s="169" t="s">
        <v>658</v>
      </c>
      <c r="J87" s="123" t="s">
        <v>657</v>
      </c>
      <c r="K87" s="143" t="s">
        <v>660</v>
      </c>
      <c r="L87" s="143" t="s">
        <v>560</v>
      </c>
      <c r="M87" s="123" t="s">
        <v>516</v>
      </c>
      <c r="N87" s="123" t="s">
        <v>454</v>
      </c>
      <c r="O87" s="123" t="e">
        <f>INDEX(#REF!, MATCH($N87,#REF!, 0))</f>
        <v>#REF!</v>
      </c>
      <c r="P87" s="124" t="str">
        <f t="shared" si="11"/>
        <v>Megan McCluer</v>
      </c>
      <c r="Q87" s="223" t="e">
        <f t="shared" si="13"/>
        <v>#REF!</v>
      </c>
      <c r="R87" s="223" t="str">
        <f t="shared" si="14"/>
        <v>DOE</v>
      </c>
      <c r="S87" s="235"/>
      <c r="T87" s="235"/>
      <c r="U87" s="223"/>
      <c r="V87" s="223"/>
      <c r="W87" s="235"/>
      <c r="X87" s="223"/>
      <c r="Y87" s="235"/>
      <c r="Z87" s="223"/>
      <c r="AA87" s="223"/>
      <c r="AB87" s="158"/>
      <c r="AC87" s="158"/>
      <c r="AD87" s="158"/>
      <c r="AE87" s="158"/>
      <c r="AF87" s="158"/>
      <c r="AG87" s="223"/>
      <c r="AH87" s="223"/>
      <c r="AI87" s="223"/>
      <c r="AJ87" s="223"/>
      <c r="AK87" s="223"/>
      <c r="AL87" s="223"/>
      <c r="AM87" s="223"/>
      <c r="AN87" s="223"/>
      <c r="AO87" s="223"/>
      <c r="AP87" s="223"/>
      <c r="AQ87" s="223"/>
      <c r="AR87" s="223"/>
      <c r="AS87" s="223"/>
      <c r="AT87" s="223"/>
      <c r="AU87" s="223"/>
      <c r="AV87" s="223"/>
      <c r="AW87" s="223"/>
      <c r="AX87" s="223"/>
      <c r="AY87" s="223"/>
      <c r="AZ87" s="223"/>
      <c r="BA87" s="223"/>
      <c r="BB87" s="223"/>
      <c r="BC87" s="223"/>
      <c r="BD87" s="223"/>
      <c r="BE87" s="223"/>
      <c r="BF87" s="230" t="str">
        <f>IF(ISERROR(MATCH(N87,#REF!, 0)), "",  INDEX(#REF!, MATCH(N87,#REF!, 0)))</f>
        <v/>
      </c>
      <c r="BG87" s="223"/>
      <c r="BH87" s="223"/>
      <c r="BI87" s="223"/>
      <c r="BJ87" s="223"/>
      <c r="BK87" s="223"/>
      <c r="BL87" s="223"/>
      <c r="BM87" s="223"/>
      <c r="BN87" s="223"/>
      <c r="BO87" s="223"/>
      <c r="BP87" s="223"/>
      <c r="BQ87" s="167" t="s">
        <v>636</v>
      </c>
    </row>
    <row r="88" spans="1:69" s="167" customFormat="1" x14ac:dyDescent="0.35">
      <c r="A88" s="240">
        <v>223</v>
      </c>
      <c r="B88" s="142" t="s">
        <v>726</v>
      </c>
      <c r="C88" s="142" t="str">
        <f t="shared" si="10"/>
        <v>Testing Facilities and Capabilities at SNL</v>
      </c>
      <c r="D88" s="171">
        <v>20</v>
      </c>
      <c r="E88" s="171">
        <v>10</v>
      </c>
      <c r="F88" s="174">
        <f t="shared" si="12"/>
        <v>0.5659722222222221</v>
      </c>
      <c r="G88" s="173">
        <f t="shared" si="9"/>
        <v>0.58680555555555536</v>
      </c>
      <c r="H88" s="104">
        <v>42780</v>
      </c>
      <c r="I88" s="169" t="s">
        <v>658</v>
      </c>
      <c r="J88" s="266" t="s">
        <v>657</v>
      </c>
      <c r="K88" s="163" t="s">
        <v>660</v>
      </c>
      <c r="L88" s="163" t="s">
        <v>560</v>
      </c>
      <c r="M88" s="266" t="s">
        <v>529</v>
      </c>
      <c r="N88" s="266" t="s">
        <v>550</v>
      </c>
      <c r="O88" s="266" t="e">
        <f>INDEX(#REF!, MATCH($N88,#REF!, 0))</f>
        <v>#REF!</v>
      </c>
      <c r="P88" s="231" t="str">
        <f t="shared" si="11"/>
        <v>Jon White</v>
      </c>
      <c r="Q88" s="223" t="e">
        <f t="shared" si="13"/>
        <v>#REF!</v>
      </c>
      <c r="R88" s="223" t="str">
        <f t="shared" si="14"/>
        <v>SNL</v>
      </c>
      <c r="S88" s="235"/>
      <c r="T88" s="235"/>
      <c r="U88" s="223"/>
      <c r="V88" s="223"/>
      <c r="W88" s="235"/>
      <c r="X88" s="223"/>
      <c r="Y88" s="235"/>
      <c r="Z88" s="223"/>
      <c r="AA88" s="223"/>
      <c r="AB88" s="158"/>
      <c r="AC88" s="158"/>
      <c r="AD88" s="158"/>
      <c r="AE88" s="158"/>
      <c r="AF88" s="158"/>
      <c r="AG88" s="223"/>
      <c r="AH88" s="223"/>
      <c r="AI88" s="223"/>
      <c r="AJ88" s="223"/>
      <c r="AK88" s="223"/>
      <c r="AL88" s="223"/>
      <c r="AM88" s="223" t="str">
        <f>"projects\"&amp;$A88&amp;"_sum1.pdf"</f>
        <v>projects\223_sum1.pdf</v>
      </c>
      <c r="AN88" s="223" t="str">
        <f>"projects\"&amp;$A88&amp;"_pres1.pdf"</f>
        <v>projects\223_pres1.pdf</v>
      </c>
      <c r="AO88" s="223"/>
      <c r="AP88" s="223"/>
      <c r="AQ88" s="223"/>
      <c r="AR88" s="223"/>
      <c r="AS88" s="223"/>
      <c r="AT88" s="223"/>
      <c r="AU88" s="223"/>
      <c r="AV88" s="223"/>
      <c r="AW88" s="223"/>
      <c r="AX88" s="223"/>
      <c r="AY88" s="223"/>
      <c r="AZ88" s="223"/>
      <c r="BA88" s="223"/>
      <c r="BB88" s="223"/>
      <c r="BC88" s="223"/>
      <c r="BD88" s="223"/>
      <c r="BE88" s="223"/>
      <c r="BF88" s="230" t="str">
        <f>IF(ISERROR(MATCH(N88,#REF!, 0)), "",  INDEX(#REF!, MATCH(N88,#REF!, 0)))</f>
        <v/>
      </c>
      <c r="BG88" s="223"/>
      <c r="BH88" s="223"/>
      <c r="BI88" s="223"/>
      <c r="BJ88" s="223"/>
      <c r="BK88" s="223"/>
      <c r="BL88" s="223"/>
      <c r="BM88" s="223"/>
      <c r="BN88" s="223"/>
      <c r="BO88" s="223"/>
      <c r="BP88" s="223"/>
      <c r="BQ88" s="167" t="s">
        <v>636</v>
      </c>
    </row>
    <row r="89" spans="1:69" s="167" customFormat="1" x14ac:dyDescent="0.35">
      <c r="A89" s="240">
        <v>210</v>
      </c>
      <c r="B89" s="142" t="s">
        <v>727</v>
      </c>
      <c r="C89" s="142" t="str">
        <f t="shared" si="10"/>
        <v>Testing Facilities and Capabilities at NWTC</v>
      </c>
      <c r="D89" s="171">
        <v>30</v>
      </c>
      <c r="E89" s="171">
        <v>15</v>
      </c>
      <c r="F89" s="174">
        <f t="shared" si="12"/>
        <v>0.58680555555555536</v>
      </c>
      <c r="G89" s="173">
        <f t="shared" si="9"/>
        <v>0.61805555555555536</v>
      </c>
      <c r="H89" s="104">
        <v>42780</v>
      </c>
      <c r="I89" s="169" t="s">
        <v>658</v>
      </c>
      <c r="J89" s="266" t="s">
        <v>657</v>
      </c>
      <c r="K89" s="163" t="s">
        <v>660</v>
      </c>
      <c r="L89" s="163" t="s">
        <v>560</v>
      </c>
      <c r="M89" s="266" t="s">
        <v>519</v>
      </c>
      <c r="N89" s="266" t="s">
        <v>549</v>
      </c>
      <c r="O89" s="266" t="e">
        <f>INDEX(#REF!, MATCH($N89,#REF!, 0))</f>
        <v>#REF!</v>
      </c>
      <c r="P89" s="231" t="str">
        <f t="shared" si="11"/>
        <v>Dave Simms</v>
      </c>
      <c r="Q89" s="223" t="e">
        <f t="shared" si="13"/>
        <v>#REF!</v>
      </c>
      <c r="R89" s="223" t="str">
        <f t="shared" si="14"/>
        <v>NREL</v>
      </c>
      <c r="S89" s="235"/>
      <c r="T89" s="235"/>
      <c r="U89" s="223"/>
      <c r="V89" s="223"/>
      <c r="W89" s="235"/>
      <c r="X89" s="223"/>
      <c r="Y89" s="235"/>
      <c r="Z89" s="223"/>
      <c r="AA89" s="223"/>
      <c r="AB89" s="158"/>
      <c r="AC89" s="158"/>
      <c r="AD89" s="158"/>
      <c r="AE89" s="158"/>
      <c r="AF89" s="158"/>
      <c r="AG89" s="223"/>
      <c r="AH89" s="223"/>
      <c r="AI89" s="223"/>
      <c r="AJ89" s="223"/>
      <c r="AK89" s="223"/>
      <c r="AL89" s="223"/>
      <c r="AM89" s="223" t="str">
        <f>"projects\"&amp;$A89&amp;"_sum1.pdf"</f>
        <v>projects\210_sum1.pdf</v>
      </c>
      <c r="AN89" s="223" t="str">
        <f>"projects\"&amp;$A89&amp;"_pres1.pdf"</f>
        <v>projects\210_pres1.pdf</v>
      </c>
      <c r="AO89" s="223"/>
      <c r="AP89" s="223"/>
      <c r="AQ89" s="223"/>
      <c r="AR89" s="223"/>
      <c r="AS89" s="223"/>
      <c r="AT89" s="223"/>
      <c r="AU89" s="223"/>
      <c r="AV89" s="223"/>
      <c r="AW89" s="223"/>
      <c r="AX89" s="223"/>
      <c r="AY89" s="223"/>
      <c r="AZ89" s="223"/>
      <c r="BA89" s="223"/>
      <c r="BB89" s="223"/>
      <c r="BC89" s="223"/>
      <c r="BD89" s="223"/>
      <c r="BE89" s="223"/>
      <c r="BF89" s="230" t="str">
        <f>IF(ISERROR(MATCH(N89,#REF!, 0)), "",  INDEX(#REF!, MATCH(N89,#REF!, 0)))</f>
        <v/>
      </c>
      <c r="BG89" s="223"/>
      <c r="BH89" s="223"/>
      <c r="BI89" s="223"/>
      <c r="BJ89" s="223"/>
      <c r="BK89" s="223"/>
      <c r="BL89" s="223"/>
      <c r="BM89" s="223"/>
      <c r="BN89" s="223"/>
      <c r="BO89" s="223"/>
      <c r="BP89" s="223"/>
      <c r="BQ89" s="167" t="s">
        <v>636</v>
      </c>
    </row>
    <row r="90" spans="1:69" s="167" customFormat="1" x14ac:dyDescent="0.35">
      <c r="A90" s="240">
        <v>184</v>
      </c>
      <c r="B90" s="142" t="s">
        <v>728</v>
      </c>
      <c r="C90" s="142" t="str">
        <f t="shared" si="10"/>
        <v>Innovative Blade Test Methodology</v>
      </c>
      <c r="D90" s="171">
        <v>15</v>
      </c>
      <c r="E90" s="171">
        <v>5</v>
      </c>
      <c r="F90" s="174">
        <f t="shared" si="12"/>
        <v>0.61805555555555536</v>
      </c>
      <c r="G90" s="173">
        <f t="shared" si="9"/>
        <v>0.6319444444444442</v>
      </c>
      <c r="H90" s="104">
        <v>42780</v>
      </c>
      <c r="I90" s="169" t="s">
        <v>658</v>
      </c>
      <c r="J90" s="266" t="s">
        <v>657</v>
      </c>
      <c r="K90" s="163" t="s">
        <v>660</v>
      </c>
      <c r="L90" s="163" t="s">
        <v>560</v>
      </c>
      <c r="M90" s="266" t="s">
        <v>519</v>
      </c>
      <c r="N90" s="266" t="s">
        <v>627</v>
      </c>
      <c r="O90" s="266" t="e">
        <f>INDEX(#REF!, MATCH($N90,#REF!, 0))</f>
        <v>#REF!</v>
      </c>
      <c r="P90" s="231" t="str">
        <f t="shared" si="11"/>
        <v>Scott Hughes</v>
      </c>
      <c r="Q90" s="223" t="e">
        <f t="shared" si="13"/>
        <v>#REF!</v>
      </c>
      <c r="R90" s="223" t="str">
        <f t="shared" si="14"/>
        <v>NREL</v>
      </c>
      <c r="S90" s="235"/>
      <c r="T90" s="235"/>
      <c r="U90" s="223"/>
      <c r="V90" s="223"/>
      <c r="W90" s="235"/>
      <c r="X90" s="223"/>
      <c r="Y90" s="235"/>
      <c r="Z90" s="223"/>
      <c r="AA90" s="223"/>
      <c r="AB90" s="158"/>
      <c r="AC90" s="158"/>
      <c r="AD90" s="158"/>
      <c r="AE90" s="158"/>
      <c r="AF90" s="158"/>
      <c r="AG90" s="223"/>
      <c r="AH90" s="223"/>
      <c r="AI90" s="223"/>
      <c r="AJ90" s="223"/>
      <c r="AK90" s="223"/>
      <c r="AL90" s="223"/>
      <c r="AM90" s="223" t="str">
        <f>"projects\"&amp;$A90&amp;"_sum1.pdf"</f>
        <v>projects\184_sum1.pdf</v>
      </c>
      <c r="AN90" s="223" t="str">
        <f>"projects\"&amp;$A90&amp;"_pres1.pdf"</f>
        <v>projects\184_pres1.pdf</v>
      </c>
      <c r="AO90" s="223"/>
      <c r="AP90" s="223"/>
      <c r="AQ90" s="223"/>
      <c r="AR90" s="223"/>
      <c r="AS90" s="223"/>
      <c r="AT90" s="223"/>
      <c r="AU90" s="223"/>
      <c r="AV90" s="223"/>
      <c r="AW90" s="223"/>
      <c r="AX90" s="223"/>
      <c r="AY90" s="223"/>
      <c r="AZ90" s="223"/>
      <c r="BA90" s="223"/>
      <c r="BB90" s="223"/>
      <c r="BC90" s="223"/>
      <c r="BD90" s="223"/>
      <c r="BE90" s="223"/>
      <c r="BF90" s="230" t="str">
        <f>IF(ISERROR(MATCH(N90,#REF!, 0)), "",  INDEX(#REF!, MATCH(N90,#REF!, 0)))</f>
        <v/>
      </c>
      <c r="BG90" s="223"/>
      <c r="BH90" s="223"/>
      <c r="BI90" s="223"/>
      <c r="BJ90" s="223"/>
      <c r="BK90" s="223"/>
      <c r="BL90" s="223"/>
      <c r="BM90" s="223"/>
      <c r="BN90" s="223"/>
      <c r="BO90" s="223"/>
      <c r="BP90" s="223"/>
      <c r="BQ90" s="167" t="s">
        <v>636</v>
      </c>
    </row>
    <row r="91" spans="1:69" s="167" customFormat="1" ht="15" thickBot="1" x14ac:dyDescent="0.4">
      <c r="A91" s="240" t="s">
        <v>558</v>
      </c>
      <c r="B91" s="130" t="s">
        <v>520</v>
      </c>
      <c r="C91" s="130" t="str">
        <f t="shared" si="10"/>
        <v>BREAK</v>
      </c>
      <c r="D91" s="181">
        <v>15</v>
      </c>
      <c r="E91" s="181">
        <v>0</v>
      </c>
      <c r="F91" s="206">
        <f t="shared" si="12"/>
        <v>0.6319444444444442</v>
      </c>
      <c r="G91" s="207">
        <f t="shared" si="9"/>
        <v>0.64236111111111083</v>
      </c>
      <c r="H91" s="104">
        <v>42780</v>
      </c>
      <c r="I91" s="169" t="s">
        <v>658</v>
      </c>
      <c r="J91" s="208" t="s">
        <v>657</v>
      </c>
      <c r="K91" s="130" t="s">
        <v>660</v>
      </c>
      <c r="L91" s="130" t="s">
        <v>560</v>
      </c>
      <c r="M91" s="208" t="s">
        <v>560</v>
      </c>
      <c r="N91" s="208" t="s">
        <v>560</v>
      </c>
      <c r="O91" s="208" t="e">
        <f>INDEX(#REF!, MATCH($N91,#REF!, 0))</f>
        <v>#REF!</v>
      </c>
      <c r="P91" s="130" t="str">
        <f t="shared" si="11"/>
        <v>NULL</v>
      </c>
      <c r="Q91" s="223" t="e">
        <f t="shared" si="13"/>
        <v>#REF!</v>
      </c>
      <c r="R91" s="223" t="str">
        <f t="shared" si="14"/>
        <v>NULL</v>
      </c>
      <c r="S91" s="235"/>
      <c r="T91" s="235"/>
      <c r="U91" s="223"/>
      <c r="V91" s="223"/>
      <c r="W91" s="235"/>
      <c r="X91" s="223"/>
      <c r="Y91" s="235"/>
      <c r="Z91" s="223"/>
      <c r="AA91" s="223"/>
      <c r="AB91" s="158"/>
      <c r="AC91" s="158"/>
      <c r="AD91" s="158"/>
      <c r="AE91" s="158"/>
      <c r="AF91" s="158"/>
      <c r="AG91" s="223"/>
      <c r="AH91" s="223"/>
      <c r="AI91" s="223"/>
      <c r="AJ91" s="223"/>
      <c r="AK91" s="223"/>
      <c r="AL91" s="223"/>
      <c r="AM91" s="223"/>
      <c r="AN91" s="223"/>
      <c r="AO91" s="223"/>
      <c r="AP91" s="223"/>
      <c r="AQ91" s="223"/>
      <c r="AR91" s="223"/>
      <c r="AS91" s="223"/>
      <c r="AT91" s="223"/>
      <c r="AU91" s="223"/>
      <c r="AV91" s="223"/>
      <c r="AW91" s="223"/>
      <c r="AX91" s="223"/>
      <c r="AY91" s="223"/>
      <c r="AZ91" s="223"/>
      <c r="BA91" s="223"/>
      <c r="BB91" s="223"/>
      <c r="BC91" s="223"/>
      <c r="BD91" s="223"/>
      <c r="BE91" s="223"/>
      <c r="BF91" s="230" t="str">
        <f>IF(ISERROR(MATCH(N91,#REF!, 0)), "",  INDEX(#REF!, MATCH(N91,#REF!, 0)))</f>
        <v/>
      </c>
      <c r="BG91" s="223"/>
      <c r="BH91" s="223"/>
      <c r="BI91" s="223"/>
      <c r="BJ91" s="223"/>
      <c r="BK91" s="223"/>
      <c r="BL91" s="223"/>
      <c r="BM91" s="223"/>
      <c r="BN91" s="223"/>
      <c r="BO91" s="223"/>
      <c r="BP91" s="223"/>
      <c r="BQ91" s="167" t="s">
        <v>636</v>
      </c>
    </row>
    <row r="92" spans="1:69" s="167" customFormat="1" ht="15.5" thickTop="1" thickBot="1" x14ac:dyDescent="0.4">
      <c r="A92" s="240" t="s">
        <v>576</v>
      </c>
      <c r="B92" s="138" t="s">
        <v>662</v>
      </c>
      <c r="C92" s="139" t="str">
        <f t="shared" si="10"/>
        <v>Recap – Innovation, Manufacturing, Reliability and Testing</v>
      </c>
      <c r="D92" s="171">
        <v>5</v>
      </c>
      <c r="E92" s="171">
        <v>0</v>
      </c>
      <c r="F92" s="174">
        <f t="shared" si="12"/>
        <v>0.64236111111111083</v>
      </c>
      <c r="G92" s="173">
        <f t="shared" si="9"/>
        <v>0.64583333333333304</v>
      </c>
      <c r="H92" s="104">
        <v>42780</v>
      </c>
      <c r="I92" s="169" t="s">
        <v>658</v>
      </c>
      <c r="J92" s="123" t="s">
        <v>657</v>
      </c>
      <c r="K92" s="143" t="s">
        <v>660</v>
      </c>
      <c r="L92" s="143" t="s">
        <v>560</v>
      </c>
      <c r="M92" s="123" t="s">
        <v>516</v>
      </c>
      <c r="N92" s="123" t="s">
        <v>454</v>
      </c>
      <c r="O92" s="123" t="e">
        <f>INDEX(#REF!, MATCH($N92,#REF!, 0))</f>
        <v>#REF!</v>
      </c>
      <c r="P92" s="124" t="str">
        <f t="shared" si="11"/>
        <v>Megan McCluer</v>
      </c>
      <c r="Q92" s="223" t="e">
        <f t="shared" si="13"/>
        <v>#REF!</v>
      </c>
      <c r="R92" s="223" t="str">
        <f t="shared" si="14"/>
        <v>DOE</v>
      </c>
      <c r="S92" s="235"/>
      <c r="T92" s="235"/>
      <c r="U92" s="223"/>
      <c r="V92" s="223"/>
      <c r="W92" s="235"/>
      <c r="X92" s="223"/>
      <c r="Y92" s="235"/>
      <c r="Z92" s="223"/>
      <c r="AA92" s="223"/>
      <c r="AB92" s="158"/>
      <c r="AC92" s="158"/>
      <c r="AD92" s="158"/>
      <c r="AE92" s="158"/>
      <c r="AF92" s="158"/>
      <c r="AG92" s="223"/>
      <c r="AH92" s="223"/>
      <c r="AI92" s="223"/>
      <c r="AJ92" s="223"/>
      <c r="AK92" s="223"/>
      <c r="AL92" s="223"/>
      <c r="AM92" s="223"/>
      <c r="AN92" s="223"/>
      <c r="AO92" s="223"/>
      <c r="AP92" s="223"/>
      <c r="AQ92" s="223"/>
      <c r="AR92" s="223"/>
      <c r="AS92" s="223"/>
      <c r="AT92" s="223"/>
      <c r="AU92" s="223"/>
      <c r="AV92" s="223"/>
      <c r="AW92" s="223"/>
      <c r="AX92" s="223"/>
      <c r="AY92" s="223"/>
      <c r="AZ92" s="223"/>
      <c r="BA92" s="223"/>
      <c r="BB92" s="223"/>
      <c r="BC92" s="223"/>
      <c r="BD92" s="223"/>
      <c r="BE92" s="223"/>
      <c r="BF92" s="230" t="str">
        <f>IF(ISERROR(MATCH(N92,#REF!, 0)), "",  INDEX(#REF!, MATCH(N92,#REF!, 0)))</f>
        <v/>
      </c>
      <c r="BG92" s="223"/>
      <c r="BH92" s="223"/>
      <c r="BI92" s="223"/>
      <c r="BJ92" s="223"/>
      <c r="BK92" s="223"/>
      <c r="BL92" s="223"/>
      <c r="BM92" s="223"/>
      <c r="BN92" s="223"/>
      <c r="BO92" s="223"/>
      <c r="BP92" s="223"/>
      <c r="BQ92" s="167" t="s">
        <v>636</v>
      </c>
    </row>
    <row r="93" spans="1:69" s="167" customFormat="1" x14ac:dyDescent="0.35">
      <c r="A93" s="240">
        <v>221</v>
      </c>
      <c r="B93" s="142" t="s">
        <v>729</v>
      </c>
      <c r="C93" s="142" t="str">
        <f t="shared" si="10"/>
        <v>Rotor Reliability (Collaboratives, Monitoring, and O&amp;M)</v>
      </c>
      <c r="D93" s="171">
        <v>15</v>
      </c>
      <c r="E93" s="171">
        <v>5</v>
      </c>
      <c r="F93" s="174">
        <f t="shared" si="12"/>
        <v>0.64583333333333304</v>
      </c>
      <c r="G93" s="173">
        <f t="shared" si="9"/>
        <v>0.65972222222222188</v>
      </c>
      <c r="H93" s="104">
        <v>42780</v>
      </c>
      <c r="I93" s="169" t="s">
        <v>658</v>
      </c>
      <c r="J93" s="266" t="s">
        <v>657</v>
      </c>
      <c r="K93" s="163" t="s">
        <v>660</v>
      </c>
      <c r="L93" s="163" t="s">
        <v>560</v>
      </c>
      <c r="M93" s="266" t="s">
        <v>529</v>
      </c>
      <c r="N93" s="266" t="s">
        <v>616</v>
      </c>
      <c r="O93" s="266" t="e">
        <f>INDEX(#REF!, MATCH($N93,#REF!, 0))</f>
        <v>#REF!</v>
      </c>
      <c r="P93" s="231" t="str">
        <f t="shared" si="11"/>
        <v>Josh Paquette</v>
      </c>
      <c r="Q93" s="223" t="e">
        <f t="shared" si="13"/>
        <v>#REF!</v>
      </c>
      <c r="R93" s="223" t="str">
        <f t="shared" si="14"/>
        <v>SNL</v>
      </c>
      <c r="S93" s="235"/>
      <c r="T93" s="235"/>
      <c r="U93" s="223"/>
      <c r="V93" s="223"/>
      <c r="W93" s="235"/>
      <c r="X93" s="223"/>
      <c r="Y93" s="235"/>
      <c r="Z93" s="223"/>
      <c r="AA93" s="223"/>
      <c r="AB93" s="158"/>
      <c r="AC93" s="158"/>
      <c r="AD93" s="158"/>
      <c r="AE93" s="158"/>
      <c r="AF93" s="158"/>
      <c r="AG93" s="223"/>
      <c r="AH93" s="223"/>
      <c r="AI93" s="223"/>
      <c r="AJ93" s="223"/>
      <c r="AK93" s="223"/>
      <c r="AL93" s="223"/>
      <c r="AM93" s="223" t="str">
        <f>"projects\"&amp;$A93&amp;"_sum1.pdf"</f>
        <v>projects\221_sum1.pdf</v>
      </c>
      <c r="AN93" s="223" t="str">
        <f>"projects\"&amp;$A93&amp;"_pres1.pdf"</f>
        <v>projects\221_pres1.pdf</v>
      </c>
      <c r="AO93" s="223"/>
      <c r="AP93" s="223"/>
      <c r="AQ93" s="223"/>
      <c r="AR93" s="223"/>
      <c r="AS93" s="223"/>
      <c r="AT93" s="223"/>
      <c r="AU93" s="223"/>
      <c r="AV93" s="223"/>
      <c r="AW93" s="223"/>
      <c r="AX93" s="223"/>
      <c r="AY93" s="223"/>
      <c r="AZ93" s="223"/>
      <c r="BA93" s="223"/>
      <c r="BB93" s="223"/>
      <c r="BC93" s="223"/>
      <c r="BD93" s="223"/>
      <c r="BE93" s="223"/>
      <c r="BF93" s="230" t="str">
        <f>IF(ISERROR(MATCH(N93,#REF!, 0)), "",  INDEX(#REF!, MATCH(N93,#REF!, 0)))</f>
        <v/>
      </c>
      <c r="BG93" s="223"/>
      <c r="BH93" s="223"/>
      <c r="BI93" s="223"/>
      <c r="BJ93" s="223"/>
      <c r="BK93" s="223"/>
      <c r="BL93" s="223"/>
      <c r="BM93" s="223"/>
      <c r="BN93" s="223"/>
      <c r="BO93" s="223"/>
      <c r="BP93" s="223"/>
      <c r="BQ93" s="167" t="s">
        <v>636</v>
      </c>
    </row>
    <row r="94" spans="1:69" s="167" customFormat="1" x14ac:dyDescent="0.35">
      <c r="A94" s="240">
        <v>182</v>
      </c>
      <c r="B94" s="142" t="s">
        <v>730</v>
      </c>
      <c r="C94" s="142" t="str">
        <f t="shared" si="10"/>
        <v>Drivetrain Reliability (Collaboratives, Monitoring, and O&amp;M)</v>
      </c>
      <c r="D94" s="171">
        <v>15</v>
      </c>
      <c r="E94" s="171">
        <v>5</v>
      </c>
      <c r="F94" s="174">
        <f t="shared" si="12"/>
        <v>0.65972222222222188</v>
      </c>
      <c r="G94" s="173">
        <f t="shared" si="9"/>
        <v>0.67361111111111072</v>
      </c>
      <c r="H94" s="104">
        <v>42780</v>
      </c>
      <c r="I94" s="169" t="s">
        <v>658</v>
      </c>
      <c r="J94" s="266" t="s">
        <v>657</v>
      </c>
      <c r="K94" s="163" t="s">
        <v>660</v>
      </c>
      <c r="L94" s="163" t="s">
        <v>560</v>
      </c>
      <c r="M94" s="266" t="s">
        <v>519</v>
      </c>
      <c r="N94" s="266" t="s">
        <v>613</v>
      </c>
      <c r="O94" s="266" t="e">
        <f>INDEX(#REF!, MATCH($N94,#REF!, 0))</f>
        <v>#REF!</v>
      </c>
      <c r="P94" s="231" t="str">
        <f t="shared" si="11"/>
        <v>Jon Keller</v>
      </c>
      <c r="Q94" s="223" t="e">
        <f t="shared" si="13"/>
        <v>#REF!</v>
      </c>
      <c r="R94" s="223" t="str">
        <f t="shared" si="14"/>
        <v>NREL</v>
      </c>
      <c r="S94" s="235"/>
      <c r="T94" s="235"/>
      <c r="U94" s="223"/>
      <c r="V94" s="223"/>
      <c r="W94" s="235"/>
      <c r="X94" s="223"/>
      <c r="Y94" s="235"/>
      <c r="Z94" s="223"/>
      <c r="AA94" s="223"/>
      <c r="AB94" s="158"/>
      <c r="AC94" s="158"/>
      <c r="AD94" s="158"/>
      <c r="AE94" s="158"/>
      <c r="AF94" s="158"/>
      <c r="AG94" s="223"/>
      <c r="AH94" s="223"/>
      <c r="AI94" s="223"/>
      <c r="AJ94" s="223"/>
      <c r="AK94" s="223"/>
      <c r="AL94" s="223"/>
      <c r="AM94" s="223" t="str">
        <f>"projects\"&amp;$A94&amp;"_sum1.pdf"</f>
        <v>projects\182_sum1.pdf</v>
      </c>
      <c r="AN94" s="223" t="str">
        <f>"projects\"&amp;$A94&amp;"_pres1.pdf"</f>
        <v>projects\182_pres1.pdf</v>
      </c>
      <c r="AO94" s="223"/>
      <c r="AP94" s="223"/>
      <c r="AQ94" s="223"/>
      <c r="AR94" s="223"/>
      <c r="AS94" s="223"/>
      <c r="AT94" s="223"/>
      <c r="AU94" s="223"/>
      <c r="AV94" s="223"/>
      <c r="AW94" s="223"/>
      <c r="AX94" s="223"/>
      <c r="AY94" s="223"/>
      <c r="AZ94" s="223"/>
      <c r="BA94" s="223"/>
      <c r="BB94" s="223"/>
      <c r="BC94" s="223"/>
      <c r="BD94" s="223"/>
      <c r="BE94" s="223"/>
      <c r="BF94" s="230" t="str">
        <f>IF(ISERROR(MATCH(N94,#REF!, 0)), "",  INDEX(#REF!, MATCH(N94,#REF!, 0)))</f>
        <v/>
      </c>
      <c r="BG94" s="223"/>
      <c r="BH94" s="223"/>
      <c r="BI94" s="223"/>
      <c r="BJ94" s="223"/>
      <c r="BK94" s="223"/>
      <c r="BL94" s="223"/>
      <c r="BM94" s="223"/>
      <c r="BN94" s="223"/>
      <c r="BO94" s="223"/>
      <c r="BP94" s="223"/>
      <c r="BQ94" s="167" t="s">
        <v>636</v>
      </c>
    </row>
    <row r="95" spans="1:69" s="167" customFormat="1" x14ac:dyDescent="0.35">
      <c r="A95" s="240">
        <v>74</v>
      </c>
      <c r="B95" s="142" t="s">
        <v>731</v>
      </c>
      <c r="C95" s="142" t="str">
        <f t="shared" si="10"/>
        <v>Innovative Drivetrain Concepts FOA Phase II: Next Generation Drivetrain</v>
      </c>
      <c r="D95" s="171">
        <v>15</v>
      </c>
      <c r="E95" s="171">
        <v>5</v>
      </c>
      <c r="F95" s="174">
        <f t="shared" si="12"/>
        <v>0.67361111111111072</v>
      </c>
      <c r="G95" s="173">
        <f t="shared" si="9"/>
        <v>0.68749999999999956</v>
      </c>
      <c r="H95" s="104">
        <v>42780</v>
      </c>
      <c r="I95" s="169" t="s">
        <v>658</v>
      </c>
      <c r="J95" s="266" t="s">
        <v>657</v>
      </c>
      <c r="K95" s="163" t="s">
        <v>660</v>
      </c>
      <c r="L95" s="163" t="s">
        <v>560</v>
      </c>
      <c r="M95" s="266" t="s">
        <v>519</v>
      </c>
      <c r="N95" s="266" t="s">
        <v>534</v>
      </c>
      <c r="O95" s="266" t="e">
        <f>INDEX(#REF!, MATCH($N95,#REF!, 0))</f>
        <v>#REF!</v>
      </c>
      <c r="P95" s="231" t="str">
        <f t="shared" si="11"/>
        <v>Jonathan Keller</v>
      </c>
      <c r="Q95" s="223" t="e">
        <f t="shared" si="13"/>
        <v>#REF!</v>
      </c>
      <c r="R95" s="223" t="str">
        <f t="shared" si="14"/>
        <v>NREL</v>
      </c>
      <c r="S95" s="235"/>
      <c r="T95" s="235"/>
      <c r="U95" s="223"/>
      <c r="V95" s="223"/>
      <c r="W95" s="235"/>
      <c r="X95" s="223"/>
      <c r="Y95" s="235"/>
      <c r="Z95" s="223"/>
      <c r="AA95" s="223"/>
      <c r="AB95" s="158"/>
      <c r="AC95" s="158"/>
      <c r="AD95" s="158"/>
      <c r="AE95" s="158"/>
      <c r="AF95" s="158"/>
      <c r="AG95" s="223"/>
      <c r="AH95" s="223"/>
      <c r="AI95" s="223"/>
      <c r="AJ95" s="223"/>
      <c r="AK95" s="223"/>
      <c r="AL95" s="223"/>
      <c r="AM95" s="223" t="str">
        <f>"projects\"&amp;$A95&amp;"_sum1.pdf"</f>
        <v>projects\74_sum1.pdf</v>
      </c>
      <c r="AN95" s="223" t="str">
        <f>"projects\"&amp;$A95&amp;"_pres1.pdf"</f>
        <v>projects\74_pres1.pdf</v>
      </c>
      <c r="AO95" s="223"/>
      <c r="AP95" s="223"/>
      <c r="AQ95" s="223"/>
      <c r="AR95" s="223"/>
      <c r="AS95" s="223"/>
      <c r="AT95" s="223"/>
      <c r="AU95" s="223"/>
      <c r="AV95" s="223"/>
      <c r="AW95" s="223"/>
      <c r="AX95" s="223"/>
      <c r="AY95" s="223"/>
      <c r="AZ95" s="223"/>
      <c r="BA95" s="223"/>
      <c r="BB95" s="223"/>
      <c r="BC95" s="223"/>
      <c r="BD95" s="223"/>
      <c r="BE95" s="223"/>
      <c r="BF95" s="230" t="str">
        <f>IF(ISERROR(MATCH(N95,#REF!, 0)), "",  INDEX(#REF!, MATCH(N95,#REF!, 0)))</f>
        <v/>
      </c>
      <c r="BG95" s="223"/>
      <c r="BH95" s="223"/>
      <c r="BI95" s="223"/>
      <c r="BJ95" s="223"/>
      <c r="BK95" s="223"/>
      <c r="BL95" s="223"/>
      <c r="BM95" s="223"/>
      <c r="BN95" s="223"/>
      <c r="BO95" s="223"/>
      <c r="BP95" s="223"/>
      <c r="BQ95" s="167" t="s">
        <v>636</v>
      </c>
    </row>
    <row r="96" spans="1:69" s="167" customFormat="1" x14ac:dyDescent="0.35">
      <c r="A96" s="240">
        <v>239</v>
      </c>
      <c r="B96" s="142" t="s">
        <v>732</v>
      </c>
      <c r="C96" s="142" t="str">
        <f t="shared" si="10"/>
        <v>Online Intelligent Prognostic Health Monitoring</v>
      </c>
      <c r="D96" s="171">
        <v>15</v>
      </c>
      <c r="E96" s="171">
        <v>5</v>
      </c>
      <c r="F96" s="174">
        <f t="shared" si="12"/>
        <v>0.68749999999999956</v>
      </c>
      <c r="G96" s="173">
        <f t="shared" si="9"/>
        <v>0.7013888888888884</v>
      </c>
      <c r="H96" s="104">
        <v>42780</v>
      </c>
      <c r="I96" s="169" t="s">
        <v>658</v>
      </c>
      <c r="J96" s="266" t="s">
        <v>657</v>
      </c>
      <c r="K96" s="163" t="s">
        <v>660</v>
      </c>
      <c r="L96" s="163" t="s">
        <v>560</v>
      </c>
      <c r="M96" s="266" t="s">
        <v>634</v>
      </c>
      <c r="N96" s="266" t="s">
        <v>633</v>
      </c>
      <c r="O96" s="266" t="e">
        <f>INDEX(#REF!, MATCH($N96,#REF!, 0))</f>
        <v>#REF!</v>
      </c>
      <c r="P96" s="231" t="str">
        <f t="shared" si="11"/>
        <v>Wei Qiao</v>
      </c>
      <c r="Q96" s="223" t="e">
        <f t="shared" si="13"/>
        <v>#REF!</v>
      </c>
      <c r="R96" s="223" t="str">
        <f t="shared" si="14"/>
        <v>University of Nebraska–Lincoln</v>
      </c>
      <c r="S96" s="235"/>
      <c r="T96" s="235"/>
      <c r="U96" s="223"/>
      <c r="V96" s="223"/>
      <c r="W96" s="235"/>
      <c r="X96" s="223"/>
      <c r="Y96" s="235"/>
      <c r="Z96" s="223"/>
      <c r="AA96" s="223"/>
      <c r="AB96" s="158"/>
      <c r="AC96" s="158"/>
      <c r="AD96" s="158"/>
      <c r="AE96" s="158"/>
      <c r="AF96" s="158"/>
      <c r="AG96" s="223"/>
      <c r="AH96" s="223"/>
      <c r="AI96" s="223"/>
      <c r="AJ96" s="223"/>
      <c r="AK96" s="223"/>
      <c r="AL96" s="223"/>
      <c r="AM96" s="223" t="str">
        <f>"projects\"&amp;$A96&amp;"_sum1.pdf"</f>
        <v>projects\239_sum1.pdf</v>
      </c>
      <c r="AN96" s="223" t="str">
        <f>"projects\"&amp;$A96&amp;"_pres1.pdf"</f>
        <v>projects\239_pres1.pdf</v>
      </c>
      <c r="AO96" s="223"/>
      <c r="AP96" s="223"/>
      <c r="AQ96" s="223"/>
      <c r="AR96" s="223"/>
      <c r="AS96" s="223"/>
      <c r="AT96" s="223"/>
      <c r="AU96" s="223"/>
      <c r="AV96" s="223"/>
      <c r="AW96" s="223"/>
      <c r="AX96" s="223"/>
      <c r="AY96" s="223"/>
      <c r="AZ96" s="223"/>
      <c r="BA96" s="223"/>
      <c r="BB96" s="223"/>
      <c r="BC96" s="223"/>
      <c r="BD96" s="223"/>
      <c r="BE96" s="223"/>
      <c r="BF96" s="230" t="str">
        <f>IF(ISERROR(MATCH(N96,#REF!, 0)), "",  INDEX(#REF!, MATCH(N96,#REF!, 0)))</f>
        <v/>
      </c>
      <c r="BG96" s="223"/>
      <c r="BH96" s="223"/>
      <c r="BI96" s="223"/>
      <c r="BJ96" s="223"/>
      <c r="BK96" s="223"/>
      <c r="BL96" s="223"/>
      <c r="BM96" s="223"/>
      <c r="BN96" s="223"/>
      <c r="BO96" s="223"/>
      <c r="BP96" s="223"/>
      <c r="BQ96" s="167" t="s">
        <v>636</v>
      </c>
    </row>
    <row r="97" spans="1:69" s="167" customFormat="1" x14ac:dyDescent="0.35">
      <c r="A97" s="240" t="s">
        <v>558</v>
      </c>
      <c r="B97" s="130" t="s">
        <v>579</v>
      </c>
      <c r="C97" s="130" t="str">
        <f t="shared" si="10"/>
        <v>Reviewer Note Taking Time</v>
      </c>
      <c r="D97" s="181">
        <v>40</v>
      </c>
      <c r="E97" s="181">
        <v>0</v>
      </c>
      <c r="F97" s="206">
        <f t="shared" si="12"/>
        <v>0.7013888888888884</v>
      </c>
      <c r="G97" s="207">
        <f t="shared" si="9"/>
        <v>0.72916666666666619</v>
      </c>
      <c r="H97" s="104">
        <v>42780</v>
      </c>
      <c r="I97" s="169" t="s">
        <v>658</v>
      </c>
      <c r="J97" s="208" t="s">
        <v>657</v>
      </c>
      <c r="K97" s="130" t="s">
        <v>560</v>
      </c>
      <c r="L97" s="130" t="s">
        <v>560</v>
      </c>
      <c r="M97" s="208" t="s">
        <v>560</v>
      </c>
      <c r="N97" s="208" t="s">
        <v>560</v>
      </c>
      <c r="O97" s="208" t="e">
        <f>INDEX(#REF!, MATCH($N97,#REF!, 0))</f>
        <v>#REF!</v>
      </c>
      <c r="P97" s="130" t="str">
        <f t="shared" si="11"/>
        <v>NULL</v>
      </c>
      <c r="Q97" s="223" t="e">
        <f t="shared" si="13"/>
        <v>#REF!</v>
      </c>
      <c r="R97" s="223" t="str">
        <f t="shared" si="14"/>
        <v>NULL</v>
      </c>
      <c r="S97" s="235"/>
      <c r="T97" s="235"/>
      <c r="U97" s="223"/>
      <c r="V97" s="223"/>
      <c r="W97" s="235"/>
      <c r="X97" s="223"/>
      <c r="Y97" s="235"/>
      <c r="Z97" s="223"/>
      <c r="AA97" s="223"/>
      <c r="AB97" s="158"/>
      <c r="AC97" s="158"/>
      <c r="AD97" s="158"/>
      <c r="AE97" s="158"/>
      <c r="AF97" s="158"/>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30" t="str">
        <f>IF(ISERROR(MATCH(N97,#REF!, 0)), "",  INDEX(#REF!, MATCH(N97,#REF!, 0)))</f>
        <v/>
      </c>
      <c r="BG97" s="223"/>
      <c r="BH97" s="223"/>
      <c r="BI97" s="223"/>
      <c r="BJ97" s="223"/>
      <c r="BK97" s="223"/>
      <c r="BL97" s="223"/>
      <c r="BM97" s="223"/>
      <c r="BN97" s="223"/>
      <c r="BO97" s="223"/>
      <c r="BP97" s="223"/>
      <c r="BQ97" s="167" t="s">
        <v>636</v>
      </c>
    </row>
    <row r="98" spans="1:69" s="167" customFormat="1" x14ac:dyDescent="0.35">
      <c r="A98" s="240" t="s">
        <v>558</v>
      </c>
      <c r="B98" s="260" t="s">
        <v>644</v>
      </c>
      <c r="C98" s="260" t="str">
        <f t="shared" si="10"/>
        <v>POSTER SESSION - Hotel Breezeway</v>
      </c>
      <c r="D98" s="224">
        <v>120</v>
      </c>
      <c r="E98" s="171">
        <v>0</v>
      </c>
      <c r="F98" s="261">
        <f t="shared" si="12"/>
        <v>0.72916666666666619</v>
      </c>
      <c r="G98" s="262">
        <f t="shared" si="9"/>
        <v>0.81249999999999956</v>
      </c>
      <c r="H98" s="104">
        <v>42780</v>
      </c>
      <c r="I98" s="169" t="s">
        <v>580</v>
      </c>
      <c r="J98" s="257" t="s">
        <v>657</v>
      </c>
      <c r="K98" s="263" t="s">
        <v>560</v>
      </c>
      <c r="L98" s="263" t="s">
        <v>560</v>
      </c>
      <c r="M98" s="257" t="s">
        <v>560</v>
      </c>
      <c r="N98" s="257" t="s">
        <v>560</v>
      </c>
      <c r="O98" s="264" t="e">
        <f>INDEX(#REF!, MATCH($N98,#REF!, 0))</f>
        <v>#REF!</v>
      </c>
      <c r="P98" s="257" t="str">
        <f t="shared" si="11"/>
        <v>NULL</v>
      </c>
      <c r="Q98" s="223" t="e">
        <f t="shared" si="13"/>
        <v>#REF!</v>
      </c>
      <c r="R98" s="223" t="str">
        <f t="shared" si="14"/>
        <v>NULL</v>
      </c>
      <c r="S98" s="235"/>
      <c r="T98" s="235"/>
      <c r="U98" s="223"/>
      <c r="V98" s="223"/>
      <c r="W98" s="235"/>
      <c r="X98" s="223"/>
      <c r="Y98" s="235"/>
      <c r="Z98" s="223"/>
      <c r="AA98" s="223"/>
      <c r="AB98" s="158"/>
      <c r="AC98" s="158"/>
      <c r="AD98" s="158"/>
      <c r="AE98" s="158"/>
      <c r="AF98" s="158"/>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30" t="str">
        <f>IF(ISERROR(MATCH(N98,#REF!, 0)), "",  INDEX(#REF!, MATCH(N98,#REF!, 0)))</f>
        <v/>
      </c>
      <c r="BG98" s="223"/>
      <c r="BH98" s="223"/>
      <c r="BI98" s="223"/>
      <c r="BJ98" s="223"/>
      <c r="BK98" s="223"/>
      <c r="BL98" s="223"/>
      <c r="BM98" s="223"/>
      <c r="BN98" s="223"/>
      <c r="BO98" s="223"/>
      <c r="BP98" s="223"/>
      <c r="BQ98" s="167" t="s">
        <v>636</v>
      </c>
    </row>
    <row r="99" spans="1:69" s="167" customFormat="1" x14ac:dyDescent="0.35">
      <c r="A99" s="246" t="s">
        <v>558</v>
      </c>
      <c r="B99" s="141" t="s">
        <v>574</v>
      </c>
      <c r="C99" s="141" t="str">
        <f t="shared" si="10"/>
        <v>Breakfast</v>
      </c>
      <c r="D99" s="171">
        <v>45</v>
      </c>
      <c r="E99" s="171">
        <v>0</v>
      </c>
      <c r="F99" s="172">
        <v>0.33333333333333331</v>
      </c>
      <c r="G99" s="173">
        <f t="shared" si="9"/>
        <v>0.36458333333333331</v>
      </c>
      <c r="H99" s="104">
        <v>42781</v>
      </c>
      <c r="I99" s="169" t="s">
        <v>563</v>
      </c>
      <c r="J99" s="203" t="s">
        <v>657</v>
      </c>
      <c r="K99" s="140" t="s">
        <v>560</v>
      </c>
      <c r="L99" s="140" t="s">
        <v>560</v>
      </c>
      <c r="M99" s="225" t="s">
        <v>560</v>
      </c>
      <c r="N99" s="203" t="s">
        <v>560</v>
      </c>
      <c r="O99" s="204" t="e">
        <f>INDEX(#REF!, MATCH($N99,#REF!, 0))</f>
        <v>#REF!</v>
      </c>
      <c r="P99" s="126" t="str">
        <f t="shared" si="11"/>
        <v>NULL</v>
      </c>
      <c r="Q99" s="223" t="e">
        <f t="shared" si="13"/>
        <v>#REF!</v>
      </c>
      <c r="R99" s="223" t="str">
        <f t="shared" si="14"/>
        <v>NULL</v>
      </c>
      <c r="S99" s="235"/>
      <c r="T99" s="235"/>
      <c r="U99" s="223"/>
      <c r="V99" s="223"/>
      <c r="W99" s="235"/>
      <c r="X99" s="223"/>
      <c r="Y99" s="235"/>
      <c r="Z99" s="223"/>
      <c r="AA99" s="223"/>
      <c r="AB99" s="158"/>
      <c r="AC99" s="158"/>
      <c r="AD99" s="158"/>
      <c r="AE99" s="158"/>
      <c r="AF99" s="158"/>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30" t="str">
        <f>IF(ISERROR(MATCH(N99,#REF!, 0)), "",  INDEX(#REF!, MATCH(N99,#REF!, 0)))</f>
        <v/>
      </c>
      <c r="BG99" s="223"/>
      <c r="BH99" s="223"/>
      <c r="BI99" s="223"/>
      <c r="BJ99" s="223"/>
      <c r="BK99" s="223"/>
      <c r="BL99" s="223"/>
      <c r="BM99" s="223"/>
      <c r="BN99" s="223"/>
      <c r="BO99" s="223"/>
      <c r="BP99" s="223"/>
      <c r="BQ99" s="167" t="s">
        <v>636</v>
      </c>
    </row>
    <row r="100" spans="1:69" s="167" customFormat="1" x14ac:dyDescent="0.35">
      <c r="A100" s="240" t="s">
        <v>558</v>
      </c>
      <c r="B100" s="205" t="s">
        <v>575</v>
      </c>
      <c r="C100" s="205" t="str">
        <f t="shared" si="10"/>
        <v>Daily Recap</v>
      </c>
      <c r="D100" s="171">
        <v>15</v>
      </c>
      <c r="E100" s="171">
        <v>0</v>
      </c>
      <c r="F100" s="174">
        <f t="shared" ref="F100:F125" si="15">G99</f>
        <v>0.36458333333333331</v>
      </c>
      <c r="G100" s="173">
        <f t="shared" si="9"/>
        <v>0.375</v>
      </c>
      <c r="H100" s="104">
        <v>42781</v>
      </c>
      <c r="I100" s="169" t="s">
        <v>563</v>
      </c>
      <c r="J100" s="128" t="s">
        <v>657</v>
      </c>
      <c r="K100" s="142" t="s">
        <v>560</v>
      </c>
      <c r="L100" s="142" t="s">
        <v>560</v>
      </c>
      <c r="M100" s="155" t="s">
        <v>516</v>
      </c>
      <c r="N100" s="128" t="s">
        <v>565</v>
      </c>
      <c r="O100" s="129" t="e">
        <f>INDEX(#REF!, MATCH($N100,#REF!, 0))</f>
        <v>#REF!</v>
      </c>
      <c r="P100" s="114" t="str">
        <f t="shared" si="11"/>
        <v>Alex Lemke</v>
      </c>
      <c r="Q100" s="223" t="e">
        <f t="shared" si="13"/>
        <v>#REF!</v>
      </c>
      <c r="R100" s="223" t="str">
        <f t="shared" si="14"/>
        <v>DOE</v>
      </c>
      <c r="S100" s="235"/>
      <c r="T100" s="235"/>
      <c r="U100" s="223"/>
      <c r="V100" s="223"/>
      <c r="W100" s="235"/>
      <c r="X100" s="223"/>
      <c r="Y100" s="235"/>
      <c r="Z100" s="223"/>
      <c r="AA100" s="223"/>
      <c r="AB100" s="158"/>
      <c r="AC100" s="158"/>
      <c r="AD100" s="158"/>
      <c r="AE100" s="158"/>
      <c r="AF100" s="158"/>
      <c r="AG100" s="223"/>
      <c r="AH100" s="223"/>
      <c r="AI100" s="223"/>
      <c r="AJ100" s="223"/>
      <c r="AK100" s="223"/>
      <c r="AL100" s="223"/>
      <c r="AM100" s="223"/>
      <c r="AN100" s="223"/>
      <c r="AO100" s="223"/>
      <c r="AP100" s="223"/>
      <c r="AQ100" s="223"/>
      <c r="AR100" s="223"/>
      <c r="AS100" s="223"/>
      <c r="AT100" s="223"/>
      <c r="AU100" s="223"/>
      <c r="AV100" s="223"/>
      <c r="AW100" s="223"/>
      <c r="AX100" s="223"/>
      <c r="AY100" s="223"/>
      <c r="AZ100" s="223"/>
      <c r="BA100" s="223"/>
      <c r="BB100" s="223"/>
      <c r="BC100" s="223"/>
      <c r="BD100" s="223"/>
      <c r="BE100" s="223"/>
      <c r="BF100" s="230" t="str">
        <f>IF(ISERROR(MATCH(N100,#REF!, 0)), "",  INDEX(#REF!, MATCH(N100,#REF!, 0)))</f>
        <v/>
      </c>
      <c r="BG100" s="223"/>
      <c r="BH100" s="223"/>
      <c r="BI100" s="223"/>
      <c r="BJ100" s="223"/>
      <c r="BK100" s="223"/>
      <c r="BL100" s="223"/>
      <c r="BM100" s="223"/>
      <c r="BN100" s="223"/>
      <c r="BO100" s="223"/>
      <c r="BP100" s="223"/>
      <c r="BQ100" s="167" t="s">
        <v>636</v>
      </c>
    </row>
    <row r="101" spans="1:69" s="167" customFormat="1" ht="15" thickBot="1" x14ac:dyDescent="0.4">
      <c r="A101" s="240" t="s">
        <v>558</v>
      </c>
      <c r="B101" s="117" t="s">
        <v>570</v>
      </c>
      <c r="C101" s="117" t="str">
        <f t="shared" si="10"/>
        <v>TRANSITION</v>
      </c>
      <c r="D101" s="171">
        <v>5</v>
      </c>
      <c r="E101" s="171">
        <v>0</v>
      </c>
      <c r="F101" s="175">
        <f t="shared" si="15"/>
        <v>0.375</v>
      </c>
      <c r="G101" s="137">
        <f t="shared" si="9"/>
        <v>0.37847222222222221</v>
      </c>
      <c r="H101" s="104">
        <v>42781</v>
      </c>
      <c r="I101" s="169" t="s">
        <v>560</v>
      </c>
      <c r="J101" s="128" t="s">
        <v>657</v>
      </c>
      <c r="K101" s="117" t="s">
        <v>560</v>
      </c>
      <c r="L101" s="117" t="s">
        <v>560</v>
      </c>
      <c r="M101" s="155" t="s">
        <v>560</v>
      </c>
      <c r="N101" s="128" t="s">
        <v>560</v>
      </c>
      <c r="O101" s="129" t="e">
        <f>INDEX(#REF!, MATCH($N101,#REF!, 0))</f>
        <v>#REF!</v>
      </c>
      <c r="P101" s="126" t="str">
        <f t="shared" si="11"/>
        <v>NULL</v>
      </c>
      <c r="Q101" s="223" t="e">
        <f t="shared" si="13"/>
        <v>#REF!</v>
      </c>
      <c r="R101" s="223" t="str">
        <f t="shared" si="14"/>
        <v>NULL</v>
      </c>
      <c r="S101" s="235"/>
      <c r="T101" s="235"/>
      <c r="U101" s="223"/>
      <c r="V101" s="223"/>
      <c r="W101" s="235"/>
      <c r="X101" s="223"/>
      <c r="Y101" s="235"/>
      <c r="Z101" s="223"/>
      <c r="AA101" s="223"/>
      <c r="AB101" s="158"/>
      <c r="AC101" s="158"/>
      <c r="AD101" s="158"/>
      <c r="AE101" s="158"/>
      <c r="AF101" s="158"/>
      <c r="AG101" s="223"/>
      <c r="AH101" s="223"/>
      <c r="AI101" s="223"/>
      <c r="AJ101" s="223"/>
      <c r="AK101" s="223"/>
      <c r="AL101" s="223"/>
      <c r="AM101" s="223"/>
      <c r="AN101" s="223"/>
      <c r="AO101" s="223"/>
      <c r="AP101" s="223"/>
      <c r="AQ101" s="223"/>
      <c r="AR101" s="223"/>
      <c r="AS101" s="223"/>
      <c r="AT101" s="223"/>
      <c r="AU101" s="223"/>
      <c r="AV101" s="223"/>
      <c r="AW101" s="223"/>
      <c r="AX101" s="223"/>
      <c r="AY101" s="223"/>
      <c r="AZ101" s="223"/>
      <c r="BA101" s="223"/>
      <c r="BB101" s="223"/>
      <c r="BC101" s="223"/>
      <c r="BD101" s="223"/>
      <c r="BE101" s="223"/>
      <c r="BF101" s="230" t="str">
        <f>IF(ISERROR(MATCH(N101,#REF!, 0)), "",  INDEX(#REF!, MATCH(N101,#REF!, 0)))</f>
        <v/>
      </c>
      <c r="BG101" s="223"/>
      <c r="BH101" s="223"/>
      <c r="BI101" s="223"/>
      <c r="BJ101" s="223"/>
      <c r="BK101" s="223"/>
      <c r="BL101" s="223"/>
      <c r="BM101" s="223"/>
      <c r="BN101" s="223"/>
      <c r="BO101" s="223"/>
      <c r="BP101" s="223"/>
      <c r="BQ101" s="167" t="s">
        <v>636</v>
      </c>
    </row>
    <row r="102" spans="1:69" s="167" customFormat="1" ht="15.5" thickTop="1" thickBot="1" x14ac:dyDescent="0.4">
      <c r="A102" s="240" t="s">
        <v>576</v>
      </c>
      <c r="B102" s="138" t="s">
        <v>662</v>
      </c>
      <c r="C102" s="139" t="str">
        <f t="shared" si="10"/>
        <v>Recap – Innovation, Manufacturing, Reliability and Testing</v>
      </c>
      <c r="D102" s="171">
        <v>5</v>
      </c>
      <c r="E102" s="171">
        <v>0</v>
      </c>
      <c r="F102" s="174">
        <f t="shared" si="15"/>
        <v>0.37847222222222221</v>
      </c>
      <c r="G102" s="173">
        <f t="shared" si="9"/>
        <v>0.38194444444444442</v>
      </c>
      <c r="H102" s="104">
        <v>42781</v>
      </c>
      <c r="I102" s="169" t="s">
        <v>658</v>
      </c>
      <c r="J102" s="123" t="s">
        <v>657</v>
      </c>
      <c r="K102" s="143" t="s">
        <v>660</v>
      </c>
      <c r="L102" s="143" t="s">
        <v>560</v>
      </c>
      <c r="M102" s="123" t="s">
        <v>516</v>
      </c>
      <c r="N102" s="123" t="s">
        <v>454</v>
      </c>
      <c r="O102" s="123" t="e">
        <f>INDEX(#REF!, MATCH($N102,#REF!, 0))</f>
        <v>#REF!</v>
      </c>
      <c r="P102" s="124" t="str">
        <f t="shared" si="11"/>
        <v>Megan McCluer</v>
      </c>
      <c r="Q102" s="223" t="e">
        <f t="shared" si="13"/>
        <v>#REF!</v>
      </c>
      <c r="R102" s="223" t="str">
        <f t="shared" si="14"/>
        <v>DOE</v>
      </c>
      <c r="S102" s="235"/>
      <c r="T102" s="235"/>
      <c r="U102" s="223"/>
      <c r="V102" s="223"/>
      <c r="W102" s="235"/>
      <c r="X102" s="223"/>
      <c r="Y102" s="235"/>
      <c r="Z102" s="223"/>
      <c r="AA102" s="223"/>
      <c r="AB102" s="158"/>
      <c r="AC102" s="158"/>
      <c r="AD102" s="158"/>
      <c r="AE102" s="158"/>
      <c r="AF102" s="158"/>
      <c r="AG102" s="223"/>
      <c r="AH102" s="223"/>
      <c r="AI102" s="223"/>
      <c r="AJ102" s="223"/>
      <c r="AK102" s="223"/>
      <c r="AL102" s="223"/>
      <c r="AM102" s="223"/>
      <c r="AN102" s="223"/>
      <c r="AO102" s="223"/>
      <c r="AP102" s="223"/>
      <c r="AQ102" s="223"/>
      <c r="AR102" s="223"/>
      <c r="AS102" s="223"/>
      <c r="AT102" s="223"/>
      <c r="AU102" s="223"/>
      <c r="AV102" s="223"/>
      <c r="AW102" s="223"/>
      <c r="AX102" s="223"/>
      <c r="AY102" s="223"/>
      <c r="AZ102" s="223"/>
      <c r="BA102" s="223"/>
      <c r="BB102" s="223"/>
      <c r="BC102" s="223"/>
      <c r="BD102" s="223"/>
      <c r="BE102" s="223"/>
      <c r="BF102" s="230" t="str">
        <f>IF(ISERROR(MATCH(N102,#REF!, 0)), "",  INDEX(#REF!, MATCH(N102,#REF!, 0)))</f>
        <v/>
      </c>
      <c r="BG102" s="223"/>
      <c r="BH102" s="223"/>
      <c r="BI102" s="223"/>
      <c r="BJ102" s="223"/>
      <c r="BK102" s="223"/>
      <c r="BL102" s="223"/>
      <c r="BM102" s="223"/>
      <c r="BN102" s="223"/>
      <c r="BO102" s="223"/>
      <c r="BP102" s="223"/>
      <c r="BQ102" s="167" t="s">
        <v>636</v>
      </c>
    </row>
    <row r="103" spans="1:69" s="167" customFormat="1" x14ac:dyDescent="0.35">
      <c r="A103" s="240">
        <v>130</v>
      </c>
      <c r="B103" s="142" t="s">
        <v>733</v>
      </c>
      <c r="C103" s="142" t="str">
        <f t="shared" si="10"/>
        <v>Wind Standards Development</v>
      </c>
      <c r="D103" s="171">
        <v>15</v>
      </c>
      <c r="E103" s="171">
        <v>10</v>
      </c>
      <c r="F103" s="174">
        <f t="shared" si="15"/>
        <v>0.38194444444444442</v>
      </c>
      <c r="G103" s="173">
        <f t="shared" si="9"/>
        <v>0.39930555555555552</v>
      </c>
      <c r="H103" s="104">
        <v>42781</v>
      </c>
      <c r="I103" s="169" t="s">
        <v>658</v>
      </c>
      <c r="J103" s="267" t="s">
        <v>657</v>
      </c>
      <c r="K103" s="163" t="s">
        <v>660</v>
      </c>
      <c r="L103" s="163" t="s">
        <v>560</v>
      </c>
      <c r="M103" s="267" t="s">
        <v>519</v>
      </c>
      <c r="N103" s="267" t="s">
        <v>608</v>
      </c>
      <c r="O103" s="267" t="e">
        <f>INDEX(#REF!, MATCH($N103,#REF!, 0))</f>
        <v>#REF!</v>
      </c>
      <c r="P103" s="231" t="str">
        <f t="shared" si="11"/>
        <v>Jeroen VanDam</v>
      </c>
      <c r="Q103" s="223" t="e">
        <f t="shared" si="13"/>
        <v>#REF!</v>
      </c>
      <c r="R103" s="223" t="str">
        <f t="shared" si="14"/>
        <v>NREL</v>
      </c>
      <c r="S103" s="235"/>
      <c r="T103" s="235"/>
      <c r="U103" s="223"/>
      <c r="V103" s="223"/>
      <c r="W103" s="235"/>
      <c r="X103" s="223"/>
      <c r="Y103" s="235"/>
      <c r="Z103" s="223"/>
      <c r="AA103" s="223"/>
      <c r="AB103" s="158"/>
      <c r="AC103" s="158"/>
      <c r="AD103" s="158"/>
      <c r="AE103" s="158"/>
      <c r="AF103" s="158"/>
      <c r="AG103" s="223"/>
      <c r="AH103" s="223"/>
      <c r="AI103" s="223"/>
      <c r="AJ103" s="223"/>
      <c r="AK103" s="223"/>
      <c r="AL103" s="223"/>
      <c r="AM103" s="223" t="str">
        <f>"projects\"&amp;$A103&amp;"_sum1.pdf"</f>
        <v>projects\130_sum1.pdf</v>
      </c>
      <c r="AN103" s="223" t="str">
        <f>"projects\"&amp;$A103&amp;"_pres1.pdf"</f>
        <v>projects\130_pres1.pdf</v>
      </c>
      <c r="AO103" s="223"/>
      <c r="AP103" s="223"/>
      <c r="AQ103" s="223"/>
      <c r="AR103" s="223"/>
      <c r="AS103" s="223"/>
      <c r="AT103" s="223"/>
      <c r="AU103" s="223"/>
      <c r="AV103" s="223"/>
      <c r="AW103" s="223"/>
      <c r="AX103" s="223"/>
      <c r="AY103" s="223"/>
      <c r="AZ103" s="223"/>
      <c r="BA103" s="223"/>
      <c r="BB103" s="223"/>
      <c r="BC103" s="223"/>
      <c r="BD103" s="223"/>
      <c r="BE103" s="223"/>
      <c r="BF103" s="230" t="str">
        <f>IF(ISERROR(MATCH(N103,#REF!, 0)), "",  INDEX(#REF!, MATCH(N103,#REF!, 0)))</f>
        <v/>
      </c>
      <c r="BG103" s="223"/>
      <c r="BH103" s="223"/>
      <c r="BI103" s="223"/>
      <c r="BJ103" s="223"/>
      <c r="BK103" s="223"/>
      <c r="BL103" s="223"/>
      <c r="BM103" s="223"/>
      <c r="BN103" s="223"/>
      <c r="BO103" s="223"/>
      <c r="BP103" s="223"/>
      <c r="BQ103" s="167" t="s">
        <v>636</v>
      </c>
    </row>
    <row r="104" spans="1:69" s="167" customFormat="1" x14ac:dyDescent="0.35">
      <c r="A104" s="240">
        <v>236</v>
      </c>
      <c r="B104" s="150" t="s">
        <v>734</v>
      </c>
      <c r="C104" s="150" t="str">
        <f t="shared" si="10"/>
        <v>Advanced High Torque Density Magnetically Geared Generator</v>
      </c>
      <c r="D104" s="171">
        <v>15</v>
      </c>
      <c r="E104" s="171">
        <v>10</v>
      </c>
      <c r="F104" s="174">
        <f t="shared" si="15"/>
        <v>0.39930555555555552</v>
      </c>
      <c r="G104" s="173">
        <f t="shared" si="9"/>
        <v>0.41666666666666663</v>
      </c>
      <c r="H104" s="104">
        <v>42781</v>
      </c>
      <c r="I104" s="169" t="s">
        <v>658</v>
      </c>
      <c r="J104" s="267" t="s">
        <v>657</v>
      </c>
      <c r="K104" s="134" t="s">
        <v>660</v>
      </c>
      <c r="L104" s="134" t="s">
        <v>560</v>
      </c>
      <c r="M104" s="267" t="s">
        <v>615</v>
      </c>
      <c r="N104" s="267" t="s">
        <v>614</v>
      </c>
      <c r="O104" s="267" t="e">
        <f>INDEX(#REF!, MATCH($N104,#REF!, 0))</f>
        <v>#REF!</v>
      </c>
      <c r="P104" s="234" t="str">
        <f t="shared" si="11"/>
        <v>Jonathan Bird</v>
      </c>
      <c r="Q104" s="223" t="e">
        <f t="shared" si="13"/>
        <v>#REF!</v>
      </c>
      <c r="R104" s="223" t="str">
        <f t="shared" si="14"/>
        <v>University of North Carolina at Charlotte</v>
      </c>
      <c r="S104" s="235"/>
      <c r="T104" s="235"/>
      <c r="U104" s="223"/>
      <c r="V104" s="223"/>
      <c r="W104" s="235"/>
      <c r="X104" s="223"/>
      <c r="Y104" s="235"/>
      <c r="Z104" s="223"/>
      <c r="AA104" s="223"/>
      <c r="AB104" s="158"/>
      <c r="AC104" s="158"/>
      <c r="AD104" s="158"/>
      <c r="AE104" s="158"/>
      <c r="AF104" s="158"/>
      <c r="AG104" s="223"/>
      <c r="AH104" s="223"/>
      <c r="AI104" s="223"/>
      <c r="AJ104" s="223"/>
      <c r="AK104" s="223"/>
      <c r="AL104" s="223"/>
      <c r="AM104" s="223" t="str">
        <f>"projects\"&amp;$A104&amp;"_sum1.pdf"</f>
        <v>projects\236_sum1.pdf</v>
      </c>
      <c r="AN104" s="223" t="str">
        <f>"projects\"&amp;$A104&amp;"_pres1.pdf"</f>
        <v>projects\236_pres1.pdf</v>
      </c>
      <c r="AO104" s="223"/>
      <c r="AP104" s="223"/>
      <c r="AQ104" s="223"/>
      <c r="AR104" s="223"/>
      <c r="AS104" s="223"/>
      <c r="AT104" s="223"/>
      <c r="AU104" s="223"/>
      <c r="AV104" s="223"/>
      <c r="AW104" s="223"/>
      <c r="AX104" s="223"/>
      <c r="AY104" s="223"/>
      <c r="AZ104" s="223"/>
      <c r="BA104" s="223"/>
      <c r="BB104" s="223"/>
      <c r="BC104" s="223"/>
      <c r="BD104" s="223"/>
      <c r="BE104" s="223"/>
      <c r="BF104" s="230" t="str">
        <f>IF(ISERROR(MATCH(N104,#REF!, 0)), "",  INDEX(#REF!, MATCH(N104,#REF!, 0)))</f>
        <v/>
      </c>
      <c r="BG104" s="223"/>
      <c r="BH104" s="223"/>
      <c r="BI104" s="223"/>
      <c r="BJ104" s="223"/>
      <c r="BK104" s="223"/>
      <c r="BL104" s="223"/>
      <c r="BM104" s="223"/>
      <c r="BN104" s="223"/>
      <c r="BO104" s="223"/>
      <c r="BP104" s="223"/>
      <c r="BQ104" s="167" t="s">
        <v>636</v>
      </c>
    </row>
    <row r="105" spans="1:69" s="167" customFormat="1" ht="15" thickBot="1" x14ac:dyDescent="0.4">
      <c r="A105" s="240">
        <v>240</v>
      </c>
      <c r="B105" s="150" t="s">
        <v>735</v>
      </c>
      <c r="C105" s="150" t="str">
        <f t="shared" si="10"/>
        <v>The Incubation of Next-Generation Radar Technologies to Lower the Cost of Wind Energy</v>
      </c>
      <c r="D105" s="171">
        <v>15</v>
      </c>
      <c r="E105" s="171">
        <v>10</v>
      </c>
      <c r="F105" s="174">
        <f t="shared" si="15"/>
        <v>0.41666666666666663</v>
      </c>
      <c r="G105" s="173">
        <f t="shared" si="9"/>
        <v>0.43402777777777773</v>
      </c>
      <c r="H105" s="104">
        <v>42781</v>
      </c>
      <c r="I105" s="169" t="s">
        <v>658</v>
      </c>
      <c r="J105" s="267" t="s">
        <v>657</v>
      </c>
      <c r="K105" s="134" t="s">
        <v>660</v>
      </c>
      <c r="L105" s="134" t="s">
        <v>560</v>
      </c>
      <c r="M105" s="267" t="s">
        <v>612</v>
      </c>
      <c r="N105" s="267" t="s">
        <v>611</v>
      </c>
      <c r="O105" s="267" t="e">
        <f>INDEX(#REF!, MATCH($N105,#REF!, 0))</f>
        <v>#REF!</v>
      </c>
      <c r="P105" s="234" t="str">
        <f t="shared" si="11"/>
        <v>John Schroeder</v>
      </c>
      <c r="Q105" s="223" t="e">
        <f t="shared" si="13"/>
        <v>#REF!</v>
      </c>
      <c r="R105" s="223" t="str">
        <f t="shared" si="14"/>
        <v>Texas Tech University</v>
      </c>
      <c r="S105" s="235"/>
      <c r="T105" s="235"/>
      <c r="U105" s="223"/>
      <c r="V105" s="223"/>
      <c r="W105" s="235"/>
      <c r="X105" s="223"/>
      <c r="Y105" s="235"/>
      <c r="Z105" s="223"/>
      <c r="AA105" s="223"/>
      <c r="AB105" s="158"/>
      <c r="AC105" s="158"/>
      <c r="AD105" s="158"/>
      <c r="AE105" s="158"/>
      <c r="AF105" s="158"/>
      <c r="AG105" s="223"/>
      <c r="AH105" s="223"/>
      <c r="AI105" s="223"/>
      <c r="AJ105" s="223"/>
      <c r="AK105" s="223"/>
      <c r="AL105" s="223"/>
      <c r="AM105" s="223" t="str">
        <f>"projects\"&amp;$A105&amp;"_sum1.pdf"</f>
        <v>projects\240_sum1.pdf</v>
      </c>
      <c r="AN105" s="223" t="str">
        <f>"projects\"&amp;$A105&amp;"_pres1.pdf"</f>
        <v>projects\240_pres1.pdf</v>
      </c>
      <c r="AO105" s="223"/>
      <c r="AP105" s="223"/>
      <c r="AQ105" s="223"/>
      <c r="AR105" s="223"/>
      <c r="AS105" s="223"/>
      <c r="AT105" s="223"/>
      <c r="AU105" s="223"/>
      <c r="AV105" s="223"/>
      <c r="AW105" s="223"/>
      <c r="AX105" s="223"/>
      <c r="AY105" s="223"/>
      <c r="AZ105" s="223"/>
      <c r="BA105" s="223"/>
      <c r="BB105" s="223"/>
      <c r="BC105" s="223"/>
      <c r="BD105" s="223"/>
      <c r="BE105" s="223"/>
      <c r="BF105" s="230" t="str">
        <f>IF(ISERROR(MATCH(N105,#REF!, 0)), "",  INDEX(#REF!, MATCH(N105,#REF!, 0)))</f>
        <v/>
      </c>
      <c r="BG105" s="223"/>
      <c r="BH105" s="223"/>
      <c r="BI105" s="223"/>
      <c r="BJ105" s="223"/>
      <c r="BK105" s="223"/>
      <c r="BL105" s="223"/>
      <c r="BM105" s="223"/>
      <c r="BN105" s="223"/>
      <c r="BO105" s="223"/>
      <c r="BP105" s="223"/>
      <c r="BQ105" s="167" t="s">
        <v>636</v>
      </c>
    </row>
    <row r="106" spans="1:69" s="167" customFormat="1" ht="15.5" thickTop="1" thickBot="1" x14ac:dyDescent="0.4">
      <c r="A106" s="240" t="s">
        <v>695</v>
      </c>
      <c r="B106" s="138" t="s">
        <v>663</v>
      </c>
      <c r="C106" s="139" t="str">
        <f t="shared" si="10"/>
        <v>Overview of A2e, HPC, RC, Flow Field Analysis, and Testing</v>
      </c>
      <c r="D106" s="171">
        <v>10</v>
      </c>
      <c r="E106" s="171">
        <v>5</v>
      </c>
      <c r="F106" s="174">
        <f t="shared" si="15"/>
        <v>0.43402777777777773</v>
      </c>
      <c r="G106" s="173">
        <f t="shared" si="9"/>
        <v>0.44444444444444436</v>
      </c>
      <c r="H106" s="104">
        <v>42781</v>
      </c>
      <c r="I106" s="169" t="s">
        <v>658</v>
      </c>
      <c r="J106" s="123" t="s">
        <v>657</v>
      </c>
      <c r="K106" s="143" t="s">
        <v>664</v>
      </c>
      <c r="L106" s="143" t="s">
        <v>560</v>
      </c>
      <c r="M106" s="123" t="s">
        <v>516</v>
      </c>
      <c r="N106" s="123" t="s">
        <v>453</v>
      </c>
      <c r="O106" s="123" t="e">
        <f>INDEX(#REF!, MATCH($N106,#REF!, 0))</f>
        <v>#REF!</v>
      </c>
      <c r="P106" s="124" t="str">
        <f t="shared" si="11"/>
        <v>Joel Cline</v>
      </c>
      <c r="Q106" s="223" t="e">
        <f t="shared" si="13"/>
        <v>#REF!</v>
      </c>
      <c r="R106" s="223" t="str">
        <f t="shared" si="14"/>
        <v>DOE</v>
      </c>
      <c r="S106" s="235"/>
      <c r="T106" s="235"/>
      <c r="U106" s="223"/>
      <c r="V106" s="223"/>
      <c r="W106" s="235"/>
      <c r="X106" s="223"/>
      <c r="Y106" s="235"/>
      <c r="Z106" s="223"/>
      <c r="AA106" s="223"/>
      <c r="AB106" s="158"/>
      <c r="AC106" s="158"/>
      <c r="AD106" s="158"/>
      <c r="AE106" s="158"/>
      <c r="AF106" s="158"/>
      <c r="AG106" s="223"/>
      <c r="AH106" s="223"/>
      <c r="AI106" s="223"/>
      <c r="AJ106" s="223"/>
      <c r="AK106" s="223"/>
      <c r="AL106" s="223"/>
      <c r="AM106" s="223"/>
      <c r="AN106" s="223" t="str">
        <f>"program\"&amp;$A106&amp;"_pres1.pdf"</f>
        <v>program\WPG16009_pres1.pdf</v>
      </c>
      <c r="AO106" s="223"/>
      <c r="AP106" s="223"/>
      <c r="AQ106" s="223"/>
      <c r="AR106" s="223"/>
      <c r="AS106" s="223"/>
      <c r="AT106" s="223"/>
      <c r="AU106" s="223"/>
      <c r="AV106" s="223"/>
      <c r="AW106" s="223"/>
      <c r="AX106" s="223"/>
      <c r="AY106" s="223"/>
      <c r="AZ106" s="223"/>
      <c r="BA106" s="223"/>
      <c r="BB106" s="223"/>
      <c r="BC106" s="223"/>
      <c r="BD106" s="223"/>
      <c r="BE106" s="223"/>
      <c r="BF106" s="230" t="str">
        <f>IF(ISERROR(MATCH(N106,#REF!, 0)), "",  INDEX(#REF!, MATCH(N106,#REF!, 0)))</f>
        <v/>
      </c>
      <c r="BG106" s="223"/>
      <c r="BH106" s="223"/>
      <c r="BI106" s="223"/>
      <c r="BJ106" s="223"/>
      <c r="BK106" s="223"/>
      <c r="BL106" s="223"/>
      <c r="BM106" s="223"/>
      <c r="BN106" s="223"/>
      <c r="BO106" s="223"/>
      <c r="BP106" s="223"/>
      <c r="BQ106" s="167" t="s">
        <v>636</v>
      </c>
    </row>
    <row r="107" spans="1:69" s="167" customFormat="1" x14ac:dyDescent="0.35">
      <c r="A107" s="240">
        <v>208</v>
      </c>
      <c r="B107" s="142" t="s">
        <v>736</v>
      </c>
      <c r="C107" s="142" t="str">
        <f t="shared" si="10"/>
        <v>PRUF: Performance Risk, Uncertainty, and Finance</v>
      </c>
      <c r="D107" s="171">
        <v>15</v>
      </c>
      <c r="E107" s="171">
        <v>10</v>
      </c>
      <c r="F107" s="174">
        <f t="shared" si="15"/>
        <v>0.44444444444444436</v>
      </c>
      <c r="G107" s="173">
        <f t="shared" si="9"/>
        <v>0.46180555555555547</v>
      </c>
      <c r="H107" s="104">
        <v>42781</v>
      </c>
      <c r="I107" s="169" t="s">
        <v>658</v>
      </c>
      <c r="J107" s="267" t="s">
        <v>657</v>
      </c>
      <c r="K107" s="163" t="s">
        <v>664</v>
      </c>
      <c r="L107" s="163" t="s">
        <v>560</v>
      </c>
      <c r="M107" s="267" t="s">
        <v>519</v>
      </c>
      <c r="N107" s="267" t="s">
        <v>539</v>
      </c>
      <c r="O107" s="267" t="e">
        <f>INDEX(#REF!, MATCH($N107,#REF!, 0))</f>
        <v>#REF!</v>
      </c>
      <c r="P107" s="231" t="str">
        <f t="shared" si="11"/>
        <v>Jason Fields</v>
      </c>
      <c r="Q107" s="223" t="e">
        <f t="shared" si="13"/>
        <v>#REF!</v>
      </c>
      <c r="R107" s="223" t="str">
        <f t="shared" si="14"/>
        <v>NREL</v>
      </c>
      <c r="S107" s="235"/>
      <c r="T107" s="235"/>
      <c r="U107" s="223"/>
      <c r="V107" s="223"/>
      <c r="W107" s="235"/>
      <c r="X107" s="223"/>
      <c r="Y107" s="235"/>
      <c r="Z107" s="223"/>
      <c r="AA107" s="223"/>
      <c r="AB107" s="158"/>
      <c r="AC107" s="158"/>
      <c r="AD107" s="158"/>
      <c r="AE107" s="158"/>
      <c r="AF107" s="158"/>
      <c r="AG107" s="223"/>
      <c r="AH107" s="223"/>
      <c r="AI107" s="223"/>
      <c r="AJ107" s="223"/>
      <c r="AK107" s="223"/>
      <c r="AL107" s="223"/>
      <c r="AM107" s="223" t="str">
        <f>"projects\"&amp;$A107&amp;"_sum1.pdf"</f>
        <v>projects\208_sum1.pdf</v>
      </c>
      <c r="AN107" s="223" t="str">
        <f>"projects\"&amp;$A107&amp;"_pres1.pdf"</f>
        <v>projects\208_pres1.pdf</v>
      </c>
      <c r="AO107" s="223"/>
      <c r="AP107" s="223"/>
      <c r="AQ107" s="223"/>
      <c r="AR107" s="223"/>
      <c r="AS107" s="223"/>
      <c r="AT107" s="223"/>
      <c r="AU107" s="223"/>
      <c r="AV107" s="223"/>
      <c r="AW107" s="223"/>
      <c r="AX107" s="223"/>
      <c r="AY107" s="223"/>
      <c r="AZ107" s="223"/>
      <c r="BA107" s="223"/>
      <c r="BB107" s="223"/>
      <c r="BC107" s="223"/>
      <c r="BD107" s="223"/>
      <c r="BE107" s="223"/>
      <c r="BF107" s="230" t="str">
        <f>IF(ISERROR(MATCH(N107,#REF!, 0)), "",  INDEX(#REF!, MATCH(N107,#REF!, 0)))</f>
        <v/>
      </c>
      <c r="BG107" s="223"/>
      <c r="BH107" s="223"/>
      <c r="BI107" s="223"/>
      <c r="BJ107" s="223"/>
      <c r="BK107" s="223"/>
      <c r="BL107" s="223"/>
      <c r="BM107" s="223"/>
      <c r="BN107" s="223"/>
      <c r="BO107" s="223"/>
      <c r="BP107" s="223"/>
      <c r="BQ107" s="167" t="s">
        <v>636</v>
      </c>
    </row>
    <row r="108" spans="1:69" s="167" customFormat="1" x14ac:dyDescent="0.35">
      <c r="A108" s="240">
        <v>206</v>
      </c>
      <c r="B108" s="142" t="s">
        <v>737</v>
      </c>
      <c r="C108" s="142" t="str">
        <f t="shared" si="10"/>
        <v>High-Fidelity Modeling</v>
      </c>
      <c r="D108" s="171">
        <v>15</v>
      </c>
      <c r="E108" s="171">
        <v>10</v>
      </c>
      <c r="F108" s="174">
        <f t="shared" si="15"/>
        <v>0.46180555555555547</v>
      </c>
      <c r="G108" s="173">
        <f t="shared" si="9"/>
        <v>0.47916666666666657</v>
      </c>
      <c r="H108" s="104">
        <v>42781</v>
      </c>
      <c r="I108" s="169" t="s">
        <v>658</v>
      </c>
      <c r="J108" s="267" t="s">
        <v>657</v>
      </c>
      <c r="K108" s="163" t="s">
        <v>664</v>
      </c>
      <c r="L108" s="163" t="s">
        <v>560</v>
      </c>
      <c r="M108" s="267" t="s">
        <v>519</v>
      </c>
      <c r="N108" s="267" t="s">
        <v>621</v>
      </c>
      <c r="O108" s="267" t="e">
        <f>INDEX(#REF!, MATCH($N108,#REF!, 0))</f>
        <v>#REF!</v>
      </c>
      <c r="P108" s="231" t="str">
        <f t="shared" si="11"/>
        <v>Mike Sprague</v>
      </c>
      <c r="Q108" s="223" t="e">
        <f t="shared" si="13"/>
        <v>#REF!</v>
      </c>
      <c r="R108" s="223" t="str">
        <f t="shared" si="14"/>
        <v>NREL</v>
      </c>
      <c r="S108" s="235"/>
      <c r="T108" s="235"/>
      <c r="U108" s="223"/>
      <c r="V108" s="223"/>
      <c r="W108" s="235"/>
      <c r="X108" s="223"/>
      <c r="Y108" s="235"/>
      <c r="Z108" s="223"/>
      <c r="AA108" s="223"/>
      <c r="AB108" s="158"/>
      <c r="AC108" s="158"/>
      <c r="AD108" s="158"/>
      <c r="AE108" s="158"/>
      <c r="AF108" s="158"/>
      <c r="AG108" s="223"/>
      <c r="AH108" s="223"/>
      <c r="AI108" s="223"/>
      <c r="AJ108" s="223"/>
      <c r="AK108" s="223"/>
      <c r="AL108" s="223"/>
      <c r="AM108" s="223" t="str">
        <f>"projects\"&amp;$A108&amp;"_sum1.pdf"</f>
        <v>projects\206_sum1.pdf</v>
      </c>
      <c r="AN108" s="223" t="str">
        <f>"projects\"&amp;$A108&amp;"_pres1.pdf"</f>
        <v>projects\206_pres1.pdf</v>
      </c>
      <c r="AO108" s="223"/>
      <c r="AP108" s="223"/>
      <c r="AQ108" s="223"/>
      <c r="AR108" s="223"/>
      <c r="AS108" s="223"/>
      <c r="AT108" s="223"/>
      <c r="AU108" s="223"/>
      <c r="AV108" s="223"/>
      <c r="AW108" s="223"/>
      <c r="AX108" s="223"/>
      <c r="AY108" s="223"/>
      <c r="AZ108" s="223"/>
      <c r="BA108" s="223"/>
      <c r="BB108" s="223"/>
      <c r="BC108" s="223"/>
      <c r="BD108" s="223"/>
      <c r="BE108" s="223"/>
      <c r="BF108" s="230" t="str">
        <f>IF(ISERROR(MATCH(N108,#REF!, 0)), "",  INDEX(#REF!, MATCH(N108,#REF!, 0)))</f>
        <v/>
      </c>
      <c r="BG108" s="223"/>
      <c r="BH108" s="223"/>
      <c r="BI108" s="223"/>
      <c r="BJ108" s="223"/>
      <c r="BK108" s="223"/>
      <c r="BL108" s="223"/>
      <c r="BM108" s="223"/>
      <c r="BN108" s="223"/>
      <c r="BO108" s="223"/>
      <c r="BP108" s="223"/>
      <c r="BQ108" s="167" t="s">
        <v>636</v>
      </c>
    </row>
    <row r="109" spans="1:69" s="167" customFormat="1" x14ac:dyDescent="0.35">
      <c r="A109" s="240" t="s">
        <v>558</v>
      </c>
      <c r="B109" s="130" t="s">
        <v>520</v>
      </c>
      <c r="C109" s="130" t="str">
        <f t="shared" si="10"/>
        <v>BREAK</v>
      </c>
      <c r="D109" s="181">
        <v>10</v>
      </c>
      <c r="E109" s="181">
        <v>0</v>
      </c>
      <c r="F109" s="206">
        <f t="shared" si="15"/>
        <v>0.47916666666666657</v>
      </c>
      <c r="G109" s="207">
        <f t="shared" si="9"/>
        <v>0.48611111111111099</v>
      </c>
      <c r="H109" s="104">
        <v>42781</v>
      </c>
      <c r="I109" s="169" t="s">
        <v>580</v>
      </c>
      <c r="J109" s="208" t="s">
        <v>657</v>
      </c>
      <c r="K109" s="130" t="s">
        <v>560</v>
      </c>
      <c r="L109" s="130" t="s">
        <v>560</v>
      </c>
      <c r="M109" s="208" t="s">
        <v>560</v>
      </c>
      <c r="N109" s="208" t="s">
        <v>560</v>
      </c>
      <c r="O109" s="208" t="e">
        <f>INDEX(#REF!, MATCH($N109,#REF!, 0))</f>
        <v>#REF!</v>
      </c>
      <c r="P109" s="232" t="str">
        <f t="shared" si="11"/>
        <v>NULL</v>
      </c>
      <c r="Q109" s="223" t="e">
        <f t="shared" si="13"/>
        <v>#REF!</v>
      </c>
      <c r="R109" s="223" t="str">
        <f t="shared" si="14"/>
        <v>NULL</v>
      </c>
      <c r="S109" s="235"/>
      <c r="T109" s="235"/>
      <c r="U109" s="223"/>
      <c r="V109" s="223"/>
      <c r="W109" s="235"/>
      <c r="X109" s="223"/>
      <c r="Y109" s="235"/>
      <c r="Z109" s="223"/>
      <c r="AA109" s="223"/>
      <c r="AB109" s="158"/>
      <c r="AC109" s="158"/>
      <c r="AD109" s="158"/>
      <c r="AE109" s="158"/>
      <c r="AF109" s="158"/>
      <c r="AG109" s="223"/>
      <c r="AH109" s="223"/>
      <c r="AI109" s="223"/>
      <c r="AJ109" s="223"/>
      <c r="AK109" s="223"/>
      <c r="AL109" s="223"/>
      <c r="AM109" s="223"/>
      <c r="AN109" s="223"/>
      <c r="AO109" s="223"/>
      <c r="AP109" s="223"/>
      <c r="AQ109" s="223"/>
      <c r="AR109" s="223"/>
      <c r="AS109" s="223"/>
      <c r="AT109" s="223"/>
      <c r="AU109" s="223"/>
      <c r="AV109" s="223"/>
      <c r="AW109" s="223"/>
      <c r="AX109" s="223"/>
      <c r="AY109" s="223"/>
      <c r="AZ109" s="223"/>
      <c r="BA109" s="223"/>
      <c r="BB109" s="223"/>
      <c r="BC109" s="223"/>
      <c r="BD109" s="223"/>
      <c r="BE109" s="223"/>
      <c r="BF109" s="230" t="str">
        <f>IF(ISERROR(MATCH(N109,#REF!, 0)), "",  INDEX(#REF!, MATCH(N109,#REF!, 0)))</f>
        <v/>
      </c>
      <c r="BG109" s="223"/>
      <c r="BH109" s="223"/>
      <c r="BI109" s="223"/>
      <c r="BJ109" s="223"/>
      <c r="BK109" s="223"/>
      <c r="BL109" s="223"/>
      <c r="BM109" s="223"/>
      <c r="BN109" s="223"/>
      <c r="BO109" s="223"/>
      <c r="BP109" s="223"/>
      <c r="BQ109" s="167" t="s">
        <v>636</v>
      </c>
    </row>
    <row r="110" spans="1:69" s="167" customFormat="1" x14ac:dyDescent="0.35">
      <c r="A110" s="240">
        <v>222</v>
      </c>
      <c r="B110" s="142" t="s">
        <v>738</v>
      </c>
      <c r="C110" s="142" t="str">
        <f t="shared" si="10"/>
        <v>Wake Dynamics Measurement, Testing, and Validation</v>
      </c>
      <c r="D110" s="171">
        <v>15</v>
      </c>
      <c r="E110" s="171">
        <v>10</v>
      </c>
      <c r="F110" s="174">
        <f t="shared" si="15"/>
        <v>0.48611111111111099</v>
      </c>
      <c r="G110" s="173">
        <f t="shared" si="9"/>
        <v>0.5034722222222221</v>
      </c>
      <c r="H110" s="104">
        <v>42781</v>
      </c>
      <c r="I110" s="169" t="s">
        <v>658</v>
      </c>
      <c r="J110" s="267" t="s">
        <v>657</v>
      </c>
      <c r="K110" s="163" t="s">
        <v>664</v>
      </c>
      <c r="L110" s="163" t="s">
        <v>560</v>
      </c>
      <c r="M110" s="267" t="s">
        <v>529</v>
      </c>
      <c r="N110" s="267" t="s">
        <v>533</v>
      </c>
      <c r="O110" s="267" t="e">
        <f>INDEX(#REF!, MATCH($N110,#REF!, 0))</f>
        <v>#REF!</v>
      </c>
      <c r="P110" s="231" t="str">
        <f t="shared" si="11"/>
        <v>Brian Naughton</v>
      </c>
      <c r="Q110" s="223" t="e">
        <f t="shared" si="13"/>
        <v>#REF!</v>
      </c>
      <c r="R110" s="223" t="str">
        <f t="shared" si="14"/>
        <v>SNL</v>
      </c>
      <c r="S110" s="235"/>
      <c r="T110" s="235"/>
      <c r="U110" s="223"/>
      <c r="V110" s="223"/>
      <c r="W110" s="235"/>
      <c r="X110" s="223"/>
      <c r="Y110" s="235"/>
      <c r="Z110" s="223"/>
      <c r="AA110" s="223"/>
      <c r="AB110" s="158"/>
      <c r="AC110" s="158"/>
      <c r="AD110" s="158"/>
      <c r="AE110" s="158"/>
      <c r="AF110" s="158"/>
      <c r="AG110" s="223"/>
      <c r="AH110" s="223"/>
      <c r="AI110" s="223"/>
      <c r="AJ110" s="223"/>
      <c r="AK110" s="223"/>
      <c r="AL110" s="223"/>
      <c r="AM110" s="223" t="str">
        <f>"projects\"&amp;$A110&amp;"_sum1.pdf"</f>
        <v>projects\222_sum1.pdf</v>
      </c>
      <c r="AN110" s="223" t="str">
        <f>"projects\"&amp;$A110&amp;"_pres1.pdf"</f>
        <v>projects\222_pres1.pdf</v>
      </c>
      <c r="AO110" s="223"/>
      <c r="AP110" s="223"/>
      <c r="AQ110" s="223"/>
      <c r="AR110" s="223"/>
      <c r="AS110" s="223"/>
      <c r="AT110" s="223"/>
      <c r="AU110" s="223"/>
      <c r="AV110" s="223"/>
      <c r="AW110" s="223"/>
      <c r="AX110" s="223"/>
      <c r="AY110" s="223"/>
      <c r="AZ110" s="223"/>
      <c r="BA110" s="223"/>
      <c r="BB110" s="223"/>
      <c r="BC110" s="223"/>
      <c r="BD110" s="223"/>
      <c r="BE110" s="223"/>
      <c r="BF110" s="230" t="str">
        <f>IF(ISERROR(MATCH(N110,#REF!, 0)), "",  INDEX(#REF!, MATCH(N110,#REF!, 0)))</f>
        <v/>
      </c>
      <c r="BG110" s="223"/>
      <c r="BH110" s="223"/>
      <c r="BI110" s="223"/>
      <c r="BJ110" s="223"/>
      <c r="BK110" s="223"/>
      <c r="BL110" s="223"/>
      <c r="BM110" s="223"/>
      <c r="BN110" s="223"/>
      <c r="BO110" s="223"/>
      <c r="BP110" s="223"/>
      <c r="BQ110" s="167" t="s">
        <v>636</v>
      </c>
    </row>
    <row r="111" spans="1:69" s="167" customFormat="1" ht="15" thickBot="1" x14ac:dyDescent="0.4">
      <c r="A111" s="240">
        <v>207</v>
      </c>
      <c r="B111" s="142" t="s">
        <v>739</v>
      </c>
      <c r="C111" s="142" t="str">
        <f t="shared" si="10"/>
        <v>Wind Plant Flow Control</v>
      </c>
      <c r="D111" s="171">
        <v>15</v>
      </c>
      <c r="E111" s="171">
        <v>10</v>
      </c>
      <c r="F111" s="174">
        <f t="shared" si="15"/>
        <v>0.5034722222222221</v>
      </c>
      <c r="G111" s="173">
        <f t="shared" si="9"/>
        <v>0.52083333333333315</v>
      </c>
      <c r="H111" s="104">
        <v>42781</v>
      </c>
      <c r="I111" s="169" t="s">
        <v>658</v>
      </c>
      <c r="J111" s="267" t="s">
        <v>657</v>
      </c>
      <c r="K111" s="163" t="s">
        <v>664</v>
      </c>
      <c r="L111" s="163" t="s">
        <v>560</v>
      </c>
      <c r="M111" s="267" t="s">
        <v>519</v>
      </c>
      <c r="N111" s="267" t="s">
        <v>527</v>
      </c>
      <c r="O111" s="267" t="e">
        <f>INDEX(#REF!, MATCH($N111,#REF!, 0))</f>
        <v>#REF!</v>
      </c>
      <c r="P111" s="231" t="str">
        <f t="shared" si="11"/>
        <v>Alan Wright</v>
      </c>
      <c r="Q111" s="223" t="e">
        <f t="shared" si="13"/>
        <v>#REF!</v>
      </c>
      <c r="R111" s="223" t="str">
        <f t="shared" si="14"/>
        <v>NREL</v>
      </c>
      <c r="S111" s="235"/>
      <c r="T111" s="235"/>
      <c r="U111" s="223"/>
      <c r="V111" s="223"/>
      <c r="W111" s="235"/>
      <c r="X111" s="223"/>
      <c r="Y111" s="235"/>
      <c r="Z111" s="223"/>
      <c r="AA111" s="223"/>
      <c r="AB111" s="158"/>
      <c r="AC111" s="158"/>
      <c r="AD111" s="158"/>
      <c r="AE111" s="158"/>
      <c r="AF111" s="158"/>
      <c r="AG111" s="223"/>
      <c r="AH111" s="223"/>
      <c r="AI111" s="223"/>
      <c r="AJ111" s="223"/>
      <c r="AK111" s="223"/>
      <c r="AL111" s="223"/>
      <c r="AM111" s="223" t="str">
        <f>"projects\"&amp;$A111&amp;"_sum1.pdf"</f>
        <v>projects\207_sum1.pdf</v>
      </c>
      <c r="AN111" s="223" t="str">
        <f>"projects\"&amp;$A111&amp;"_pres1.pdf"</f>
        <v>projects\207_pres1.pdf</v>
      </c>
      <c r="AO111" s="223"/>
      <c r="AP111" s="223"/>
      <c r="AQ111" s="223"/>
      <c r="AR111" s="223"/>
      <c r="AS111" s="223"/>
      <c r="AT111" s="223"/>
      <c r="AU111" s="223"/>
      <c r="AV111" s="223"/>
      <c r="AW111" s="223"/>
      <c r="AX111" s="223"/>
      <c r="AY111" s="223"/>
      <c r="AZ111" s="223"/>
      <c r="BA111" s="223"/>
      <c r="BB111" s="223"/>
      <c r="BC111" s="223"/>
      <c r="BD111" s="223"/>
      <c r="BE111" s="223"/>
      <c r="BF111" s="230" t="str">
        <f>IF(ISERROR(MATCH(N111,#REF!, 0)), "",  INDEX(#REF!, MATCH(N111,#REF!, 0)))</f>
        <v/>
      </c>
      <c r="BG111" s="223"/>
      <c r="BH111" s="223"/>
      <c r="BI111" s="223"/>
      <c r="BJ111" s="223"/>
      <c r="BK111" s="223"/>
      <c r="BL111" s="223"/>
      <c r="BM111" s="223"/>
      <c r="BN111" s="223"/>
      <c r="BO111" s="223"/>
      <c r="BP111" s="223"/>
      <c r="BQ111" s="167" t="s">
        <v>636</v>
      </c>
    </row>
    <row r="112" spans="1:69" s="167" customFormat="1" ht="15.5" thickTop="1" thickBot="1" x14ac:dyDescent="0.4">
      <c r="A112" s="239" t="s">
        <v>558</v>
      </c>
      <c r="B112" s="185" t="s">
        <v>521</v>
      </c>
      <c r="C112" s="185" t="str">
        <f t="shared" si="10"/>
        <v>LUNCH</v>
      </c>
      <c r="D112" s="186">
        <v>60</v>
      </c>
      <c r="E112" s="187">
        <v>0</v>
      </c>
      <c r="F112" s="188">
        <f t="shared" si="15"/>
        <v>0.52083333333333315</v>
      </c>
      <c r="G112" s="189">
        <f t="shared" si="9"/>
        <v>0.56249999999999978</v>
      </c>
      <c r="H112" s="104">
        <v>42781</v>
      </c>
      <c r="I112" s="169" t="s">
        <v>563</v>
      </c>
      <c r="J112" s="190" t="s">
        <v>657</v>
      </c>
      <c r="K112" s="185" t="s">
        <v>560</v>
      </c>
      <c r="L112" s="185" t="s">
        <v>560</v>
      </c>
      <c r="M112" s="190" t="s">
        <v>560</v>
      </c>
      <c r="N112" s="190" t="s">
        <v>665</v>
      </c>
      <c r="O112" s="190" t="e">
        <f>INDEX(#REF!, MATCH($N112,#REF!, 0))</f>
        <v>#REF!</v>
      </c>
      <c r="P112" s="185" t="str">
        <f t="shared" si="11"/>
        <v>Senate Member</v>
      </c>
      <c r="Q112" s="223" t="e">
        <f t="shared" si="13"/>
        <v>#REF!</v>
      </c>
      <c r="R112" s="223" t="str">
        <f t="shared" si="14"/>
        <v>NULL</v>
      </c>
      <c r="S112" s="235"/>
      <c r="T112" s="235"/>
      <c r="U112" s="223"/>
      <c r="V112" s="223"/>
      <c r="W112" s="235"/>
      <c r="X112" s="223"/>
      <c r="Y112" s="235"/>
      <c r="Z112" s="223"/>
      <c r="AA112" s="223"/>
      <c r="AB112" s="158"/>
      <c r="AC112" s="158"/>
      <c r="AD112" s="158"/>
      <c r="AE112" s="158"/>
      <c r="AF112" s="158"/>
      <c r="AG112" s="223"/>
      <c r="AH112" s="223"/>
      <c r="AI112" s="223"/>
      <c r="AJ112" s="223"/>
      <c r="AK112" s="223"/>
      <c r="AL112" s="223"/>
      <c r="AM112" s="223"/>
      <c r="AN112" s="223"/>
      <c r="AO112" s="223"/>
      <c r="AP112" s="223"/>
      <c r="AQ112" s="223"/>
      <c r="AR112" s="223"/>
      <c r="AS112" s="223"/>
      <c r="AT112" s="223"/>
      <c r="AU112" s="223"/>
      <c r="AV112" s="223"/>
      <c r="AW112" s="223"/>
      <c r="AX112" s="223"/>
      <c r="AY112" s="223"/>
      <c r="AZ112" s="223"/>
      <c r="BA112" s="223"/>
      <c r="BB112" s="223"/>
      <c r="BC112" s="223"/>
      <c r="BD112" s="223"/>
      <c r="BE112" s="223"/>
      <c r="BF112" s="230" t="str">
        <f>IF(ISERROR(MATCH(N112,#REF!, 0)), "",  INDEX(#REF!, MATCH(N112,#REF!, 0)))</f>
        <v/>
      </c>
      <c r="BG112" s="223"/>
      <c r="BH112" s="223"/>
      <c r="BI112" s="223"/>
      <c r="BJ112" s="223"/>
      <c r="BK112" s="223"/>
      <c r="BL112" s="223"/>
      <c r="BM112" s="223"/>
      <c r="BN112" s="223"/>
      <c r="BO112" s="223"/>
      <c r="BP112" s="223"/>
      <c r="BQ112" s="167" t="s">
        <v>636</v>
      </c>
    </row>
    <row r="113" spans="1:69" s="167" customFormat="1" ht="15.5" thickTop="1" thickBot="1" x14ac:dyDescent="0.4">
      <c r="A113" s="240">
        <v>211</v>
      </c>
      <c r="B113" s="142" t="s">
        <v>740</v>
      </c>
      <c r="C113" s="142" t="str">
        <f t="shared" si="10"/>
        <v>ISDA: Integrated Systems Design and Analysis</v>
      </c>
      <c r="D113" s="171">
        <v>15</v>
      </c>
      <c r="E113" s="171">
        <v>5</v>
      </c>
      <c r="F113" s="174">
        <f t="shared" si="15"/>
        <v>0.56249999999999978</v>
      </c>
      <c r="G113" s="173">
        <f t="shared" si="9"/>
        <v>0.57638888888888862</v>
      </c>
      <c r="H113" s="104">
        <v>42781</v>
      </c>
      <c r="I113" s="169" t="s">
        <v>658</v>
      </c>
      <c r="J113" s="267" t="s">
        <v>657</v>
      </c>
      <c r="K113" s="163" t="s">
        <v>664</v>
      </c>
      <c r="L113" s="163" t="s">
        <v>560</v>
      </c>
      <c r="M113" s="267" t="s">
        <v>519</v>
      </c>
      <c r="N113" s="267" t="s">
        <v>617</v>
      </c>
      <c r="O113" s="267" t="e">
        <f>INDEX(#REF!, MATCH($N113,#REF!, 0))</f>
        <v>#REF!</v>
      </c>
      <c r="P113" s="231" t="str">
        <f t="shared" si="11"/>
        <v>Katherine Dykes</v>
      </c>
      <c r="Q113" s="223" t="e">
        <f t="shared" si="13"/>
        <v>#REF!</v>
      </c>
      <c r="R113" s="223" t="str">
        <f t="shared" si="14"/>
        <v>NREL</v>
      </c>
      <c r="S113" s="235"/>
      <c r="T113" s="235"/>
      <c r="U113" s="223"/>
      <c r="V113" s="223"/>
      <c r="W113" s="235"/>
      <c r="X113" s="223"/>
      <c r="Y113" s="235"/>
      <c r="Z113" s="223"/>
      <c r="AA113" s="223"/>
      <c r="AB113" s="158"/>
      <c r="AC113" s="158"/>
      <c r="AD113" s="158"/>
      <c r="AE113" s="158"/>
      <c r="AF113" s="158"/>
      <c r="AG113" s="223"/>
      <c r="AH113" s="223"/>
      <c r="AI113" s="223"/>
      <c r="AJ113" s="223"/>
      <c r="AK113" s="223"/>
      <c r="AL113" s="223"/>
      <c r="AM113" s="223" t="str">
        <f>"projects\"&amp;$A113&amp;"_sum1.pdf"</f>
        <v>projects\211_sum1.pdf</v>
      </c>
      <c r="AN113" s="223" t="str">
        <f>"projects\"&amp;$A113&amp;"_pres1.pdf"</f>
        <v>projects\211_pres1.pdf</v>
      </c>
      <c r="AO113" s="223"/>
      <c r="AP113" s="223"/>
      <c r="AQ113" s="223"/>
      <c r="AR113" s="223"/>
      <c r="AS113" s="223"/>
      <c r="AT113" s="223"/>
      <c r="AU113" s="223"/>
      <c r="AV113" s="223"/>
      <c r="AW113" s="223"/>
      <c r="AX113" s="223"/>
      <c r="AY113" s="223"/>
      <c r="AZ113" s="223"/>
      <c r="BA113" s="223"/>
      <c r="BB113" s="223"/>
      <c r="BC113" s="223"/>
      <c r="BD113" s="223"/>
      <c r="BE113" s="223"/>
      <c r="BF113" s="230" t="str">
        <f>IF(ISERROR(MATCH(N113,#REF!, 0)), "",  INDEX(#REF!, MATCH(N113,#REF!, 0)))</f>
        <v/>
      </c>
      <c r="BG113" s="223"/>
      <c r="BH113" s="223"/>
      <c r="BI113" s="223"/>
      <c r="BJ113" s="223"/>
      <c r="BK113" s="223"/>
      <c r="BL113" s="223"/>
      <c r="BM113" s="223"/>
      <c r="BN113" s="223"/>
      <c r="BO113" s="223"/>
      <c r="BP113" s="223"/>
      <c r="BQ113" s="167" t="s">
        <v>636</v>
      </c>
    </row>
    <row r="114" spans="1:69" s="167" customFormat="1" ht="15.5" thickTop="1" thickBot="1" x14ac:dyDescent="0.4">
      <c r="A114" s="240" t="s">
        <v>576</v>
      </c>
      <c r="B114" s="138" t="s">
        <v>666</v>
      </c>
      <c r="C114" s="139" t="str">
        <f t="shared" si="10"/>
        <v>Recap – A2e, HPC, RC, Flow Field Analysis, and Testing</v>
      </c>
      <c r="D114" s="171">
        <v>5</v>
      </c>
      <c r="E114" s="171">
        <v>0</v>
      </c>
      <c r="F114" s="174">
        <f t="shared" si="15"/>
        <v>0.57638888888888862</v>
      </c>
      <c r="G114" s="173">
        <f t="shared" si="9"/>
        <v>0.57986111111111083</v>
      </c>
      <c r="H114" s="104">
        <v>42781</v>
      </c>
      <c r="I114" s="169" t="s">
        <v>658</v>
      </c>
      <c r="J114" s="123" t="s">
        <v>657</v>
      </c>
      <c r="K114" s="143" t="s">
        <v>664</v>
      </c>
      <c r="L114" s="143" t="s">
        <v>560</v>
      </c>
      <c r="M114" s="123" t="s">
        <v>516</v>
      </c>
      <c r="N114" s="123" t="s">
        <v>453</v>
      </c>
      <c r="O114" s="123" t="e">
        <f>INDEX(#REF!, MATCH($N114,#REF!, 0))</f>
        <v>#REF!</v>
      </c>
      <c r="P114" s="124" t="str">
        <f t="shared" si="11"/>
        <v>Joel Cline</v>
      </c>
      <c r="Q114" s="223" t="e">
        <f t="shared" si="13"/>
        <v>#REF!</v>
      </c>
      <c r="R114" s="223" t="str">
        <f t="shared" si="14"/>
        <v>DOE</v>
      </c>
      <c r="S114" s="235"/>
      <c r="T114" s="235"/>
      <c r="U114" s="223"/>
      <c r="V114" s="223"/>
      <c r="W114" s="235"/>
      <c r="X114" s="223"/>
      <c r="Y114" s="235"/>
      <c r="Z114" s="223"/>
      <c r="AA114" s="223"/>
      <c r="AB114" s="158"/>
      <c r="AC114" s="158"/>
      <c r="AD114" s="158"/>
      <c r="AE114" s="158"/>
      <c r="AF114" s="158"/>
      <c r="AG114" s="223"/>
      <c r="AH114" s="223"/>
      <c r="AI114" s="223"/>
      <c r="AJ114" s="223"/>
      <c r="AK114" s="223"/>
      <c r="AL114" s="223"/>
      <c r="AM114" s="223"/>
      <c r="AN114" s="223"/>
      <c r="AO114" s="223"/>
      <c r="AP114" s="223"/>
      <c r="AQ114" s="223"/>
      <c r="AR114" s="223"/>
      <c r="AS114" s="223"/>
      <c r="AT114" s="223"/>
      <c r="AU114" s="223"/>
      <c r="AV114" s="223"/>
      <c r="AW114" s="223"/>
      <c r="AX114" s="223"/>
      <c r="AY114" s="223"/>
      <c r="AZ114" s="223"/>
      <c r="BA114" s="223"/>
      <c r="BB114" s="223"/>
      <c r="BC114" s="223"/>
      <c r="BD114" s="223"/>
      <c r="BE114" s="223"/>
      <c r="BF114" s="230" t="str">
        <f>IF(ISERROR(MATCH(N114,#REF!, 0)), "",  INDEX(#REF!, MATCH(N114,#REF!, 0)))</f>
        <v/>
      </c>
      <c r="BG114" s="223"/>
      <c r="BH114" s="223"/>
      <c r="BI114" s="223"/>
      <c r="BJ114" s="223"/>
      <c r="BK114" s="223"/>
      <c r="BL114" s="223"/>
      <c r="BM114" s="223"/>
      <c r="BN114" s="223"/>
      <c r="BO114" s="223"/>
      <c r="BP114" s="223"/>
      <c r="BQ114" s="167" t="s">
        <v>636</v>
      </c>
    </row>
    <row r="115" spans="1:69" s="167" customFormat="1" x14ac:dyDescent="0.35">
      <c r="A115" s="240">
        <v>218</v>
      </c>
      <c r="B115" s="142" t="s">
        <v>741</v>
      </c>
      <c r="C115" s="142" t="str">
        <f t="shared" si="10"/>
        <v>MMC: Model Development and Validation</v>
      </c>
      <c r="D115" s="171">
        <v>15</v>
      </c>
      <c r="E115" s="171">
        <v>5</v>
      </c>
      <c r="F115" s="174">
        <f t="shared" si="15"/>
        <v>0.57986111111111083</v>
      </c>
      <c r="G115" s="173">
        <f t="shared" si="9"/>
        <v>0.59374999999999967</v>
      </c>
      <c r="H115" s="104">
        <v>42781</v>
      </c>
      <c r="I115" s="169" t="s">
        <v>658</v>
      </c>
      <c r="J115" s="267" t="s">
        <v>657</v>
      </c>
      <c r="K115" s="163" t="s">
        <v>664</v>
      </c>
      <c r="L115" s="163" t="s">
        <v>560</v>
      </c>
      <c r="M115" s="267" t="s">
        <v>525</v>
      </c>
      <c r="N115" s="267" t="s">
        <v>630</v>
      </c>
      <c r="O115" s="267" t="e">
        <f>INDEX(#REF!, MATCH($N115,#REF!, 0))</f>
        <v>#REF!</v>
      </c>
      <c r="P115" s="231" t="str">
        <f t="shared" si="11"/>
        <v>Sue Haupt</v>
      </c>
      <c r="Q115" s="223" t="e">
        <f t="shared" si="13"/>
        <v>#REF!</v>
      </c>
      <c r="R115" s="223" t="str">
        <f t="shared" si="14"/>
        <v>PNNL</v>
      </c>
      <c r="S115" s="235"/>
      <c r="T115" s="235"/>
      <c r="U115" s="223"/>
      <c r="V115" s="223"/>
      <c r="W115" s="235"/>
      <c r="X115" s="223"/>
      <c r="Y115" s="235"/>
      <c r="Z115" s="223"/>
      <c r="AA115" s="223"/>
      <c r="AB115" s="158"/>
      <c r="AC115" s="158"/>
      <c r="AD115" s="158"/>
      <c r="AE115" s="158"/>
      <c r="AF115" s="158"/>
      <c r="AG115" s="223"/>
      <c r="AH115" s="223"/>
      <c r="AI115" s="223"/>
      <c r="AJ115" s="223"/>
      <c r="AK115" s="223"/>
      <c r="AL115" s="223"/>
      <c r="AM115" s="223" t="str">
        <f>"projects\"&amp;$A115&amp;"_sum1.pdf"</f>
        <v>projects\218_sum1.pdf</v>
      </c>
      <c r="AN115" s="223" t="str">
        <f>"projects\"&amp;$A115&amp;"_pres1.pdf"</f>
        <v>projects\218_pres1.pdf</v>
      </c>
      <c r="AO115" s="223"/>
      <c r="AP115" s="223"/>
      <c r="AQ115" s="223"/>
      <c r="AR115" s="223"/>
      <c r="AS115" s="223"/>
      <c r="AT115" s="223"/>
      <c r="AU115" s="223"/>
      <c r="AV115" s="223"/>
      <c r="AW115" s="223"/>
      <c r="AX115" s="223"/>
      <c r="AY115" s="223"/>
      <c r="AZ115" s="223"/>
      <c r="BA115" s="223"/>
      <c r="BB115" s="223"/>
      <c r="BC115" s="223"/>
      <c r="BD115" s="223"/>
      <c r="BE115" s="223"/>
      <c r="BF115" s="230" t="str">
        <f>IF(ISERROR(MATCH(N115,#REF!, 0)), "",  INDEX(#REF!, MATCH(N115,#REF!, 0)))</f>
        <v/>
      </c>
      <c r="BG115" s="223"/>
      <c r="BH115" s="223"/>
      <c r="BI115" s="223"/>
      <c r="BJ115" s="223"/>
      <c r="BK115" s="223"/>
      <c r="BL115" s="223"/>
      <c r="BM115" s="223"/>
      <c r="BN115" s="223"/>
      <c r="BO115" s="223"/>
      <c r="BP115" s="223"/>
      <c r="BQ115" s="167" t="s">
        <v>636</v>
      </c>
    </row>
    <row r="116" spans="1:69" s="167" customFormat="1" x14ac:dyDescent="0.35">
      <c r="A116" s="240">
        <v>217</v>
      </c>
      <c r="B116" s="142" t="s">
        <v>742</v>
      </c>
      <c r="C116" s="142" t="str">
        <f t="shared" si="10"/>
        <v>WFIP II: Mesoscale Physics and Inflow</v>
      </c>
      <c r="D116" s="171">
        <v>10</v>
      </c>
      <c r="E116" s="171">
        <v>0</v>
      </c>
      <c r="F116" s="174">
        <f t="shared" si="15"/>
        <v>0.59374999999999967</v>
      </c>
      <c r="G116" s="173">
        <f t="shared" si="9"/>
        <v>0.60069444444444409</v>
      </c>
      <c r="H116" s="104">
        <v>42781</v>
      </c>
      <c r="I116" s="169" t="s">
        <v>658</v>
      </c>
      <c r="J116" s="267" t="s">
        <v>657</v>
      </c>
      <c r="K116" s="163" t="s">
        <v>664</v>
      </c>
      <c r="L116" s="163" t="s">
        <v>560</v>
      </c>
      <c r="M116" s="267" t="s">
        <v>525</v>
      </c>
      <c r="N116" s="267" t="s">
        <v>536</v>
      </c>
      <c r="O116" s="267" t="e">
        <f>INDEX(#REF!, MATCH($N116,#REF!, 0))</f>
        <v>#REF!</v>
      </c>
      <c r="P116" s="231" t="str">
        <f t="shared" si="11"/>
        <v>Will Shaw</v>
      </c>
      <c r="Q116" s="223" t="e">
        <f t="shared" si="13"/>
        <v>#REF!</v>
      </c>
      <c r="R116" s="223" t="str">
        <f t="shared" si="14"/>
        <v>PNNL</v>
      </c>
      <c r="S116" s="235"/>
      <c r="T116" s="235"/>
      <c r="U116" s="223"/>
      <c r="V116" s="223"/>
      <c r="W116" s="235"/>
      <c r="X116" s="223"/>
      <c r="Y116" s="235"/>
      <c r="Z116" s="223"/>
      <c r="AA116" s="223"/>
      <c r="AB116" s="158"/>
      <c r="AC116" s="158"/>
      <c r="AD116" s="158"/>
      <c r="AE116" s="158"/>
      <c r="AF116" s="158"/>
      <c r="AG116" s="223"/>
      <c r="AH116" s="223"/>
      <c r="AI116" s="223"/>
      <c r="AJ116" s="223"/>
      <c r="AK116" s="223"/>
      <c r="AL116" s="223"/>
      <c r="AM116" s="223" t="str">
        <f>"projects\"&amp;$A116&amp;"_sum1.pdf"</f>
        <v>projects\217_sum1.pdf</v>
      </c>
      <c r="AN116" s="223" t="str">
        <f>"projects\"&amp;$A116&amp;"_pres1.pdf"</f>
        <v>projects\217_pres1.pdf</v>
      </c>
      <c r="AO116" s="223"/>
      <c r="AP116" s="223"/>
      <c r="AQ116" s="223"/>
      <c r="AR116" s="223"/>
      <c r="AS116" s="223"/>
      <c r="AT116" s="223"/>
      <c r="AU116" s="223"/>
      <c r="AV116" s="223"/>
      <c r="AW116" s="223"/>
      <c r="AX116" s="223"/>
      <c r="AY116" s="223"/>
      <c r="AZ116" s="223"/>
      <c r="BA116" s="223"/>
      <c r="BB116" s="223"/>
      <c r="BC116" s="223"/>
      <c r="BD116" s="223"/>
      <c r="BE116" s="223"/>
      <c r="BF116" s="230" t="str">
        <f>IF(ISERROR(MATCH(N116,#REF!, 0)), "",  INDEX(#REF!, MATCH(N116,#REF!, 0)))</f>
        <v/>
      </c>
      <c r="BG116" s="223"/>
      <c r="BH116" s="223"/>
      <c r="BI116" s="223"/>
      <c r="BJ116" s="223"/>
      <c r="BK116" s="223"/>
      <c r="BL116" s="223"/>
      <c r="BM116" s="223"/>
      <c r="BN116" s="223"/>
      <c r="BO116" s="223"/>
      <c r="BP116" s="223"/>
      <c r="BQ116" s="167" t="s">
        <v>636</v>
      </c>
    </row>
    <row r="117" spans="1:69" s="167" customFormat="1" x14ac:dyDescent="0.35">
      <c r="A117" s="240">
        <v>192</v>
      </c>
      <c r="B117" s="226" t="s">
        <v>743</v>
      </c>
      <c r="C117" s="226" t="str">
        <f t="shared" si="10"/>
        <v>WFIP II: Field Testing</v>
      </c>
      <c r="D117" s="171">
        <v>10</v>
      </c>
      <c r="E117" s="171">
        <v>0</v>
      </c>
      <c r="F117" s="174">
        <f t="shared" si="15"/>
        <v>0.60069444444444409</v>
      </c>
      <c r="G117" s="173">
        <f t="shared" si="9"/>
        <v>0.60763888888888851</v>
      </c>
      <c r="H117" s="104">
        <v>42781</v>
      </c>
      <c r="I117" s="169" t="s">
        <v>658</v>
      </c>
      <c r="J117" s="267" t="s">
        <v>657</v>
      </c>
      <c r="K117" s="163" t="s">
        <v>664</v>
      </c>
      <c r="L117" s="163" t="s">
        <v>560</v>
      </c>
      <c r="M117" s="267" t="s">
        <v>525</v>
      </c>
      <c r="N117" s="267" t="s">
        <v>524</v>
      </c>
      <c r="O117" s="267" t="e">
        <f>INDEX(#REF!, MATCH($N117,#REF!, 0))</f>
        <v>#REF!</v>
      </c>
      <c r="P117" s="231" t="str">
        <f t="shared" si="11"/>
        <v>Jim Wilczak</v>
      </c>
      <c r="Q117" s="223" t="e">
        <f t="shared" si="13"/>
        <v>#REF!</v>
      </c>
      <c r="R117" s="223" t="str">
        <f t="shared" si="14"/>
        <v>PNNL</v>
      </c>
      <c r="S117" s="235"/>
      <c r="T117" s="235"/>
      <c r="U117" s="223"/>
      <c r="V117" s="223"/>
      <c r="W117" s="235"/>
      <c r="X117" s="223"/>
      <c r="Y117" s="235"/>
      <c r="Z117" s="223"/>
      <c r="AA117" s="223"/>
      <c r="AB117" s="158"/>
      <c r="AC117" s="158"/>
      <c r="AD117" s="158"/>
      <c r="AE117" s="158"/>
      <c r="AF117" s="158"/>
      <c r="AG117" s="223"/>
      <c r="AH117" s="223"/>
      <c r="AI117" s="223"/>
      <c r="AJ117" s="223"/>
      <c r="AK117" s="223"/>
      <c r="AL117" s="223"/>
      <c r="AM117" s="223" t="str">
        <f>"projects\"&amp;$A117&amp;"_sum1.pdf"</f>
        <v>projects\192_sum1.pdf</v>
      </c>
      <c r="AN117" s="223" t="str">
        <f>"projects\"&amp;$A117&amp;"_pres1.pdf"</f>
        <v>projects\192_pres1.pdf</v>
      </c>
      <c r="AO117" s="223"/>
      <c r="AP117" s="223"/>
      <c r="AQ117" s="223"/>
      <c r="AR117" s="223"/>
      <c r="AS117" s="223"/>
      <c r="AT117" s="223"/>
      <c r="AU117" s="223"/>
      <c r="AV117" s="223"/>
      <c r="AW117" s="223"/>
      <c r="AX117" s="223"/>
      <c r="AY117" s="223"/>
      <c r="AZ117" s="223"/>
      <c r="BA117" s="223"/>
      <c r="BB117" s="223"/>
      <c r="BC117" s="223"/>
      <c r="BD117" s="223"/>
      <c r="BE117" s="223"/>
      <c r="BF117" s="230" t="str">
        <f>IF(ISERROR(MATCH(N117,#REF!, 0)), "",  INDEX(#REF!, MATCH(N117,#REF!, 0)))</f>
        <v/>
      </c>
      <c r="BG117" s="223"/>
      <c r="BH117" s="223"/>
      <c r="BI117" s="223"/>
      <c r="BJ117" s="223"/>
      <c r="BK117" s="223"/>
      <c r="BL117" s="223"/>
      <c r="BM117" s="223"/>
      <c r="BN117" s="223"/>
      <c r="BO117" s="223"/>
      <c r="BP117" s="223"/>
      <c r="BQ117" s="167" t="s">
        <v>636</v>
      </c>
    </row>
    <row r="118" spans="1:69" s="167" customFormat="1" x14ac:dyDescent="0.35">
      <c r="A118" s="240">
        <v>148</v>
      </c>
      <c r="B118" s="226" t="s">
        <v>744</v>
      </c>
      <c r="C118" s="226" t="str">
        <f t="shared" si="10"/>
        <v>WFIP II: Modeling</v>
      </c>
      <c r="D118" s="171">
        <v>10</v>
      </c>
      <c r="E118" s="171">
        <v>0</v>
      </c>
      <c r="F118" s="174">
        <f t="shared" si="15"/>
        <v>0.60763888888888851</v>
      </c>
      <c r="G118" s="173">
        <f t="shared" si="9"/>
        <v>0.61458333333333293</v>
      </c>
      <c r="H118" s="104">
        <v>42781</v>
      </c>
      <c r="I118" s="169" t="s">
        <v>658</v>
      </c>
      <c r="J118" s="267" t="s">
        <v>657</v>
      </c>
      <c r="K118" s="163" t="s">
        <v>664</v>
      </c>
      <c r="L118" s="163" t="s">
        <v>560</v>
      </c>
      <c r="M118" s="267" t="s">
        <v>610</v>
      </c>
      <c r="N118" s="267" t="s">
        <v>609</v>
      </c>
      <c r="O118" s="267" t="e">
        <f>INDEX(#REF!, MATCH($N118,#REF!, 0))</f>
        <v>#REF!</v>
      </c>
      <c r="P118" s="231" t="str">
        <f t="shared" si="11"/>
        <v>Jim McCaa</v>
      </c>
      <c r="Q118" s="223" t="e">
        <f t="shared" si="13"/>
        <v>#REF!</v>
      </c>
      <c r="R118" s="223" t="str">
        <f t="shared" si="14"/>
        <v>Vaisala</v>
      </c>
      <c r="S118" s="235"/>
      <c r="T118" s="235"/>
      <c r="U118" s="223"/>
      <c r="V118" s="223"/>
      <c r="W118" s="235"/>
      <c r="X118" s="223"/>
      <c r="Y118" s="235"/>
      <c r="Z118" s="223"/>
      <c r="AA118" s="223"/>
      <c r="AB118" s="158"/>
      <c r="AC118" s="158"/>
      <c r="AD118" s="158"/>
      <c r="AE118" s="158"/>
      <c r="AF118" s="158"/>
      <c r="AG118" s="223"/>
      <c r="AH118" s="223"/>
      <c r="AI118" s="223"/>
      <c r="AJ118" s="223"/>
      <c r="AK118" s="223"/>
      <c r="AL118" s="223"/>
      <c r="AM118" s="223" t="str">
        <f>"projects\"&amp;$A118&amp;"_sum1.pdf"</f>
        <v>projects\148_sum1.pdf</v>
      </c>
      <c r="AN118" s="223" t="str">
        <f>"projects\"&amp;$A118&amp;"_pres1.pdf"</f>
        <v>projects\148_pres1.pdf</v>
      </c>
      <c r="AO118" s="223"/>
      <c r="AP118" s="223"/>
      <c r="AQ118" s="223"/>
      <c r="AR118" s="223"/>
      <c r="AS118" s="223"/>
      <c r="AT118" s="223"/>
      <c r="AU118" s="223"/>
      <c r="AV118" s="223"/>
      <c r="AW118" s="223"/>
      <c r="AX118" s="223"/>
      <c r="AY118" s="223"/>
      <c r="AZ118" s="223"/>
      <c r="BA118" s="223"/>
      <c r="BB118" s="223"/>
      <c r="BC118" s="223"/>
      <c r="BD118" s="223"/>
      <c r="BE118" s="223"/>
      <c r="BF118" s="230" t="str">
        <f>IF(ISERROR(MATCH(N118,#REF!, 0)), "",  INDEX(#REF!, MATCH(N118,#REF!, 0)))</f>
        <v/>
      </c>
      <c r="BG118" s="223"/>
      <c r="BH118" s="223"/>
      <c r="BI118" s="223"/>
      <c r="BJ118" s="223"/>
      <c r="BK118" s="223"/>
      <c r="BL118" s="223"/>
      <c r="BM118" s="223"/>
      <c r="BN118" s="223"/>
      <c r="BO118" s="223"/>
      <c r="BP118" s="223"/>
      <c r="BQ118" s="167" t="s">
        <v>636</v>
      </c>
    </row>
    <row r="119" spans="1:69" s="167" customFormat="1" x14ac:dyDescent="0.35">
      <c r="A119" s="242" t="s">
        <v>558</v>
      </c>
      <c r="B119" s="227" t="s">
        <v>667</v>
      </c>
      <c r="C119" s="227" t="str">
        <f t="shared" si="10"/>
        <v>217, 192, 148 - WFIP II: Q&amp;A</v>
      </c>
      <c r="D119" s="171">
        <v>0</v>
      </c>
      <c r="E119" s="171">
        <v>15</v>
      </c>
      <c r="F119" s="174">
        <f t="shared" si="15"/>
        <v>0.61458333333333293</v>
      </c>
      <c r="G119" s="173">
        <f t="shared" si="9"/>
        <v>0.62499999999999956</v>
      </c>
      <c r="H119" s="104">
        <v>42781</v>
      </c>
      <c r="I119" s="169" t="s">
        <v>658</v>
      </c>
      <c r="J119" s="267" t="s">
        <v>657</v>
      </c>
      <c r="K119" s="140" t="s">
        <v>664</v>
      </c>
      <c r="L119" s="140" t="s">
        <v>560</v>
      </c>
      <c r="M119" s="267" t="s">
        <v>668</v>
      </c>
      <c r="N119" s="267" t="s">
        <v>536</v>
      </c>
      <c r="O119" s="267" t="e">
        <f>INDEX(#REF!, MATCH($N119,#REF!, 0))</f>
        <v>#REF!</v>
      </c>
      <c r="P119" s="231" t="str">
        <f t="shared" si="11"/>
        <v>Will Shaw</v>
      </c>
      <c r="Q119" s="223" t="e">
        <f t="shared" si="13"/>
        <v>#REF!</v>
      </c>
      <c r="R119" s="223" t="str">
        <f t="shared" si="14"/>
        <v>Jim Wilczak, Jim McCaa</v>
      </c>
      <c r="S119" s="235"/>
      <c r="T119" s="235"/>
      <c r="U119" s="223"/>
      <c r="V119" s="223"/>
      <c r="W119" s="235"/>
      <c r="X119" s="223"/>
      <c r="Y119" s="235"/>
      <c r="Z119" s="223"/>
      <c r="AA119" s="223"/>
      <c r="AB119" s="158"/>
      <c r="AC119" s="158"/>
      <c r="AD119" s="158"/>
      <c r="AE119" s="158"/>
      <c r="AF119" s="158"/>
      <c r="AG119" s="223"/>
      <c r="AH119" s="223"/>
      <c r="AI119" s="223"/>
      <c r="AJ119" s="223"/>
      <c r="AK119" s="223"/>
      <c r="AL119" s="223"/>
      <c r="AM119" s="223"/>
      <c r="AN119" s="223"/>
      <c r="AO119" s="223"/>
      <c r="AP119" s="223"/>
      <c r="AQ119" s="223"/>
      <c r="AR119" s="223"/>
      <c r="AS119" s="223"/>
      <c r="AT119" s="223"/>
      <c r="AU119" s="223"/>
      <c r="AV119" s="223"/>
      <c r="AW119" s="223"/>
      <c r="AX119" s="223"/>
      <c r="AY119" s="223"/>
      <c r="AZ119" s="223"/>
      <c r="BA119" s="223"/>
      <c r="BB119" s="223"/>
      <c r="BC119" s="223"/>
      <c r="BD119" s="223"/>
      <c r="BE119" s="223"/>
      <c r="BF119" s="230" t="str">
        <f>IF(ISERROR(MATCH(N119,#REF!, 0)), "",  INDEX(#REF!, MATCH(N119,#REF!, 0)))</f>
        <v/>
      </c>
      <c r="BG119" s="223"/>
      <c r="BH119" s="223"/>
      <c r="BI119" s="223"/>
      <c r="BJ119" s="223"/>
      <c r="BK119" s="223"/>
      <c r="BL119" s="223"/>
      <c r="BM119" s="223"/>
      <c r="BN119" s="223"/>
      <c r="BO119" s="223"/>
      <c r="BP119" s="223"/>
      <c r="BQ119" s="167" t="s">
        <v>636</v>
      </c>
    </row>
    <row r="120" spans="1:69" s="167" customFormat="1" ht="15" thickBot="1" x14ac:dyDescent="0.4">
      <c r="A120" s="240" t="s">
        <v>558</v>
      </c>
      <c r="B120" s="130" t="s">
        <v>520</v>
      </c>
      <c r="C120" s="130" t="str">
        <f t="shared" si="10"/>
        <v>BREAK</v>
      </c>
      <c r="D120" s="181">
        <v>15</v>
      </c>
      <c r="E120" s="181">
        <v>0</v>
      </c>
      <c r="F120" s="206">
        <f t="shared" si="15"/>
        <v>0.62499999999999956</v>
      </c>
      <c r="G120" s="207">
        <f t="shared" si="9"/>
        <v>0.63541666666666619</v>
      </c>
      <c r="H120" s="104">
        <v>42781</v>
      </c>
      <c r="I120" s="169" t="s">
        <v>580</v>
      </c>
      <c r="J120" s="208" t="s">
        <v>657</v>
      </c>
      <c r="K120" s="130" t="s">
        <v>560</v>
      </c>
      <c r="L120" s="130" t="s">
        <v>560</v>
      </c>
      <c r="M120" s="208" t="s">
        <v>560</v>
      </c>
      <c r="N120" s="208" t="s">
        <v>560</v>
      </c>
      <c r="O120" s="208" t="e">
        <f>INDEX(#REF!, MATCH($N120,#REF!, 0))</f>
        <v>#REF!</v>
      </c>
      <c r="P120" s="232" t="str">
        <f t="shared" si="11"/>
        <v>NULL</v>
      </c>
      <c r="Q120" s="223" t="e">
        <f t="shared" si="13"/>
        <v>#REF!</v>
      </c>
      <c r="R120" s="223" t="str">
        <f t="shared" si="14"/>
        <v>NULL</v>
      </c>
      <c r="S120" s="235"/>
      <c r="T120" s="235"/>
      <c r="U120" s="223"/>
      <c r="V120" s="223"/>
      <c r="W120" s="235"/>
      <c r="X120" s="223"/>
      <c r="Y120" s="235"/>
      <c r="Z120" s="223"/>
      <c r="AA120" s="223"/>
      <c r="AB120" s="158"/>
      <c r="AC120" s="158"/>
      <c r="AD120" s="158"/>
      <c r="AE120" s="158"/>
      <c r="AF120" s="158"/>
      <c r="AG120" s="223"/>
      <c r="AH120" s="223"/>
      <c r="AI120" s="223"/>
      <c r="AJ120" s="223"/>
      <c r="AK120" s="223"/>
      <c r="AL120" s="223"/>
      <c r="AM120" s="223"/>
      <c r="AN120" s="223"/>
      <c r="AO120" s="223"/>
      <c r="AP120" s="223"/>
      <c r="AQ120" s="223"/>
      <c r="AR120" s="223"/>
      <c r="AS120" s="223"/>
      <c r="AT120" s="223"/>
      <c r="AU120" s="223"/>
      <c r="AV120" s="223"/>
      <c r="AW120" s="223"/>
      <c r="AX120" s="223"/>
      <c r="AY120" s="223"/>
      <c r="AZ120" s="223"/>
      <c r="BA120" s="223"/>
      <c r="BB120" s="223"/>
      <c r="BC120" s="223"/>
      <c r="BD120" s="223"/>
      <c r="BE120" s="223"/>
      <c r="BF120" s="230" t="str">
        <f>IF(ISERROR(MATCH(N120,#REF!, 0)), "",  INDEX(#REF!, MATCH(N120,#REF!, 0)))</f>
        <v/>
      </c>
      <c r="BG120" s="223"/>
      <c r="BH120" s="223"/>
      <c r="BI120" s="223"/>
      <c r="BJ120" s="223"/>
      <c r="BK120" s="223"/>
      <c r="BL120" s="223"/>
      <c r="BM120" s="223"/>
      <c r="BN120" s="223"/>
      <c r="BO120" s="223"/>
      <c r="BP120" s="223"/>
      <c r="BQ120" s="167" t="s">
        <v>636</v>
      </c>
    </row>
    <row r="121" spans="1:69" s="167" customFormat="1" ht="15.5" thickTop="1" thickBot="1" x14ac:dyDescent="0.4">
      <c r="A121" s="240" t="s">
        <v>576</v>
      </c>
      <c r="B121" s="138" t="s">
        <v>666</v>
      </c>
      <c r="C121" s="139" t="str">
        <f t="shared" si="10"/>
        <v>Recap – A2e, HPC, RC, Flow Field Analysis, and Testing</v>
      </c>
      <c r="D121" s="171">
        <v>5</v>
      </c>
      <c r="E121" s="171">
        <v>0</v>
      </c>
      <c r="F121" s="174">
        <f t="shared" si="15"/>
        <v>0.63541666666666619</v>
      </c>
      <c r="G121" s="173">
        <f t="shared" si="9"/>
        <v>0.6388888888888884</v>
      </c>
      <c r="H121" s="104">
        <v>42781</v>
      </c>
      <c r="I121" s="169" t="s">
        <v>658</v>
      </c>
      <c r="J121" s="123" t="s">
        <v>657</v>
      </c>
      <c r="K121" s="143" t="s">
        <v>664</v>
      </c>
      <c r="L121" s="143" t="s">
        <v>560</v>
      </c>
      <c r="M121" s="123" t="s">
        <v>516</v>
      </c>
      <c r="N121" s="123" t="s">
        <v>453</v>
      </c>
      <c r="O121" s="123" t="e">
        <f>INDEX(#REF!, MATCH($N121,#REF!, 0))</f>
        <v>#REF!</v>
      </c>
      <c r="P121" s="124" t="str">
        <f t="shared" si="11"/>
        <v>Joel Cline</v>
      </c>
      <c r="Q121" s="223" t="e">
        <f t="shared" si="13"/>
        <v>#REF!</v>
      </c>
      <c r="R121" s="223" t="str">
        <f t="shared" si="14"/>
        <v>DOE</v>
      </c>
      <c r="S121" s="235"/>
      <c r="T121" s="235"/>
      <c r="U121" s="223"/>
      <c r="V121" s="223"/>
      <c r="W121" s="235"/>
      <c r="X121" s="223"/>
      <c r="Y121" s="235"/>
      <c r="Z121" s="223"/>
      <c r="AA121" s="223"/>
      <c r="AB121" s="158"/>
      <c r="AC121" s="158"/>
      <c r="AD121" s="158"/>
      <c r="AE121" s="158"/>
      <c r="AF121" s="158"/>
      <c r="AG121" s="223"/>
      <c r="AH121" s="223"/>
      <c r="AI121" s="223"/>
      <c r="AJ121" s="223"/>
      <c r="AK121" s="223"/>
      <c r="AL121" s="223"/>
      <c r="AM121" s="223"/>
      <c r="AN121" s="223"/>
      <c r="AO121" s="223"/>
      <c r="AP121" s="223"/>
      <c r="AQ121" s="223"/>
      <c r="AR121" s="223"/>
      <c r="AS121" s="223"/>
      <c r="AT121" s="223"/>
      <c r="AU121" s="223"/>
      <c r="AV121" s="223"/>
      <c r="AW121" s="223"/>
      <c r="AX121" s="223"/>
      <c r="AY121" s="223"/>
      <c r="AZ121" s="223"/>
      <c r="BA121" s="223"/>
      <c r="BB121" s="223"/>
      <c r="BC121" s="223"/>
      <c r="BD121" s="223"/>
      <c r="BE121" s="223"/>
      <c r="BF121" s="230" t="str">
        <f>IF(ISERROR(MATCH(N121,#REF!, 0)), "",  INDEX(#REF!, MATCH(N121,#REF!, 0)))</f>
        <v/>
      </c>
      <c r="BG121" s="223"/>
      <c r="BH121" s="223"/>
      <c r="BI121" s="223"/>
      <c r="BJ121" s="223"/>
      <c r="BK121" s="223"/>
      <c r="BL121" s="223"/>
      <c r="BM121" s="223"/>
      <c r="BN121" s="223"/>
      <c r="BO121" s="223"/>
      <c r="BP121" s="223"/>
      <c r="BQ121" s="167" t="s">
        <v>636</v>
      </c>
    </row>
    <row r="122" spans="1:69" s="167" customFormat="1" ht="15" thickBot="1" x14ac:dyDescent="0.4">
      <c r="A122" s="240">
        <v>219</v>
      </c>
      <c r="B122" s="142" t="s">
        <v>745</v>
      </c>
      <c r="C122" s="142" t="str">
        <f t="shared" si="10"/>
        <v>DAP: Data Archive and Portal</v>
      </c>
      <c r="D122" s="171">
        <v>15</v>
      </c>
      <c r="E122" s="171">
        <v>5</v>
      </c>
      <c r="F122" s="174">
        <f t="shared" si="15"/>
        <v>0.6388888888888884</v>
      </c>
      <c r="G122" s="173">
        <f t="shared" si="9"/>
        <v>0.65277777777777724</v>
      </c>
      <c r="H122" s="104">
        <v>42781</v>
      </c>
      <c r="I122" s="169" t="s">
        <v>658</v>
      </c>
      <c r="J122" s="267" t="s">
        <v>657</v>
      </c>
      <c r="K122" s="163" t="s">
        <v>664</v>
      </c>
      <c r="L122" s="163" t="s">
        <v>560</v>
      </c>
      <c r="M122" s="267" t="s">
        <v>525</v>
      </c>
      <c r="N122" s="267" t="s">
        <v>595</v>
      </c>
      <c r="O122" s="267" t="e">
        <f>INDEX(#REF!, MATCH($N122,#REF!, 0))</f>
        <v>#REF!</v>
      </c>
      <c r="P122" s="231" t="str">
        <f t="shared" si="11"/>
        <v>Chitra Sivaraman</v>
      </c>
      <c r="Q122" s="223" t="e">
        <f t="shared" si="13"/>
        <v>#REF!</v>
      </c>
      <c r="R122" s="223" t="str">
        <f t="shared" si="14"/>
        <v>PNNL</v>
      </c>
      <c r="S122" s="235"/>
      <c r="T122" s="235"/>
      <c r="U122" s="223"/>
      <c r="V122" s="223"/>
      <c r="W122" s="235"/>
      <c r="X122" s="223"/>
      <c r="Y122" s="235"/>
      <c r="Z122" s="223"/>
      <c r="AA122" s="223"/>
      <c r="AB122" s="158"/>
      <c r="AC122" s="158"/>
      <c r="AD122" s="158"/>
      <c r="AE122" s="158"/>
      <c r="AF122" s="158"/>
      <c r="AG122" s="223"/>
      <c r="AH122" s="223"/>
      <c r="AI122" s="223"/>
      <c r="AJ122" s="223"/>
      <c r="AK122" s="223"/>
      <c r="AL122" s="223"/>
      <c r="AM122" s="223" t="str">
        <f>"projects\"&amp;$A122&amp;"_sum1.pdf"</f>
        <v>projects\219_sum1.pdf</v>
      </c>
      <c r="AN122" s="223" t="str">
        <f>"projects\"&amp;$A122&amp;"_pres1.pdf"</f>
        <v>projects\219_pres1.pdf</v>
      </c>
      <c r="AO122" s="223"/>
      <c r="AP122" s="223"/>
      <c r="AQ122" s="223"/>
      <c r="AR122" s="223"/>
      <c r="AS122" s="223"/>
      <c r="AT122" s="223"/>
      <c r="AU122" s="223"/>
      <c r="AV122" s="223"/>
      <c r="AW122" s="223"/>
      <c r="AX122" s="223"/>
      <c r="AY122" s="223"/>
      <c r="AZ122" s="223"/>
      <c r="BA122" s="223"/>
      <c r="BB122" s="223"/>
      <c r="BC122" s="223"/>
      <c r="BD122" s="223"/>
      <c r="BE122" s="223"/>
      <c r="BF122" s="230" t="str">
        <f>IF(ISERROR(MATCH(N122,#REF!, 0)), "",  INDEX(#REF!, MATCH(N122,#REF!, 0)))</f>
        <v/>
      </c>
      <c r="BG122" s="223"/>
      <c r="BH122" s="223"/>
      <c r="BI122" s="223"/>
      <c r="BJ122" s="223"/>
      <c r="BK122" s="223"/>
      <c r="BL122" s="223"/>
      <c r="BM122" s="223"/>
      <c r="BN122" s="223"/>
      <c r="BO122" s="223"/>
      <c r="BP122" s="223"/>
      <c r="BQ122" s="167" t="s">
        <v>636</v>
      </c>
    </row>
    <row r="123" spans="1:69" s="167" customFormat="1" ht="15.5" thickTop="1" thickBot="1" x14ac:dyDescent="0.4">
      <c r="A123" s="240" t="s">
        <v>696</v>
      </c>
      <c r="B123" s="138" t="s">
        <v>669</v>
      </c>
      <c r="C123" s="139" t="str">
        <f t="shared" si="10"/>
        <v>Overview of Distributed Wind Research, Development, and Testing</v>
      </c>
      <c r="D123" s="171">
        <v>10</v>
      </c>
      <c r="E123" s="171">
        <v>5</v>
      </c>
      <c r="F123" s="174">
        <f t="shared" si="15"/>
        <v>0.65277777777777724</v>
      </c>
      <c r="G123" s="173">
        <f t="shared" si="9"/>
        <v>0.66319444444444386</v>
      </c>
      <c r="H123" s="104">
        <v>42781</v>
      </c>
      <c r="I123" s="169" t="s">
        <v>658</v>
      </c>
      <c r="J123" s="123" t="s">
        <v>657</v>
      </c>
      <c r="K123" s="143" t="s">
        <v>670</v>
      </c>
      <c r="L123" s="143" t="s">
        <v>560</v>
      </c>
      <c r="M123" s="123" t="s">
        <v>516</v>
      </c>
      <c r="N123" s="123" t="s">
        <v>455</v>
      </c>
      <c r="O123" s="123" t="e">
        <f>INDEX(#REF!, MATCH($N123,#REF!, 0))</f>
        <v>#REF!</v>
      </c>
      <c r="P123" s="124" t="str">
        <f t="shared" si="11"/>
        <v>Patrick Gilman</v>
      </c>
      <c r="Q123" s="223" t="e">
        <f t="shared" si="13"/>
        <v>#REF!</v>
      </c>
      <c r="R123" s="223" t="str">
        <f t="shared" si="14"/>
        <v>DOE</v>
      </c>
      <c r="S123" s="235"/>
      <c r="T123" s="235"/>
      <c r="U123" s="223"/>
      <c r="V123" s="223"/>
      <c r="W123" s="235"/>
      <c r="X123" s="223"/>
      <c r="Y123" s="235"/>
      <c r="Z123" s="223"/>
      <c r="AA123" s="223"/>
      <c r="AB123" s="158"/>
      <c r="AC123" s="158"/>
      <c r="AD123" s="158"/>
      <c r="AE123" s="158"/>
      <c r="AF123" s="158"/>
      <c r="AG123" s="223"/>
      <c r="AH123" s="223"/>
      <c r="AI123" s="223"/>
      <c r="AJ123" s="223"/>
      <c r="AK123" s="223"/>
      <c r="AL123" s="223"/>
      <c r="AM123" s="223"/>
      <c r="AN123" s="223" t="str">
        <f>"program\"&amp;$A123&amp;"_pres1.pdf"</f>
        <v>program\WPG16010_pres1.pdf</v>
      </c>
      <c r="AO123" s="223"/>
      <c r="AP123" s="223"/>
      <c r="AQ123" s="223"/>
      <c r="AR123" s="223"/>
      <c r="AS123" s="223"/>
      <c r="AT123" s="223"/>
      <c r="AU123" s="223"/>
      <c r="AV123" s="223"/>
      <c r="AW123" s="223"/>
      <c r="AX123" s="223"/>
      <c r="AY123" s="223"/>
      <c r="AZ123" s="223"/>
      <c r="BA123" s="223"/>
      <c r="BB123" s="223"/>
      <c r="BC123" s="223"/>
      <c r="BD123" s="223"/>
      <c r="BE123" s="223"/>
      <c r="BF123" s="230" t="str">
        <f>IF(ISERROR(MATCH(N123,#REF!, 0)), "",  INDEX(#REF!, MATCH(N123,#REF!, 0)))</f>
        <v/>
      </c>
      <c r="BG123" s="223"/>
      <c r="BH123" s="223"/>
      <c r="BI123" s="223"/>
      <c r="BJ123" s="223"/>
      <c r="BK123" s="223"/>
      <c r="BL123" s="223"/>
      <c r="BM123" s="223"/>
      <c r="BN123" s="223"/>
      <c r="BO123" s="223"/>
      <c r="BP123" s="223"/>
      <c r="BQ123" s="167" t="s">
        <v>636</v>
      </c>
    </row>
    <row r="124" spans="1:69" s="167" customFormat="1" x14ac:dyDescent="0.35">
      <c r="A124" s="240">
        <v>209</v>
      </c>
      <c r="B124" s="142" t="s">
        <v>746</v>
      </c>
      <c r="C124" s="142" t="str">
        <f t="shared" si="10"/>
        <v>Distributed Wind Research, Development, and Testing</v>
      </c>
      <c r="D124" s="171">
        <v>15</v>
      </c>
      <c r="E124" s="171">
        <v>5</v>
      </c>
      <c r="F124" s="174">
        <f t="shared" si="15"/>
        <v>0.66319444444444386</v>
      </c>
      <c r="G124" s="173">
        <f t="shared" si="9"/>
        <v>0.6770833333333327</v>
      </c>
      <c r="H124" s="104">
        <v>42781</v>
      </c>
      <c r="I124" s="169" t="s">
        <v>658</v>
      </c>
      <c r="J124" s="267" t="s">
        <v>657</v>
      </c>
      <c r="K124" s="163" t="s">
        <v>670</v>
      </c>
      <c r="L124" s="163" t="s">
        <v>560</v>
      </c>
      <c r="M124" s="267" t="s">
        <v>519</v>
      </c>
      <c r="N124" s="267" t="s">
        <v>552</v>
      </c>
      <c r="O124" s="267" t="e">
        <f>INDEX(#REF!, MATCH($N124,#REF!, 0))</f>
        <v>#REF!</v>
      </c>
      <c r="P124" s="231" t="str">
        <f t="shared" si="11"/>
        <v>Ian Baring-Gould</v>
      </c>
      <c r="Q124" s="223" t="e">
        <f t="shared" si="13"/>
        <v>#REF!</v>
      </c>
      <c r="R124" s="223" t="str">
        <f t="shared" si="14"/>
        <v>NREL</v>
      </c>
      <c r="S124" s="235"/>
      <c r="T124" s="235"/>
      <c r="U124" s="223"/>
      <c r="V124" s="223"/>
      <c r="W124" s="235"/>
      <c r="X124" s="223"/>
      <c r="Y124" s="235"/>
      <c r="Z124" s="223"/>
      <c r="AA124" s="223"/>
      <c r="AB124" s="158"/>
      <c r="AC124" s="158"/>
      <c r="AD124" s="158"/>
      <c r="AE124" s="158"/>
      <c r="AF124" s="158"/>
      <c r="AG124" s="223"/>
      <c r="AH124" s="223"/>
      <c r="AI124" s="223"/>
      <c r="AJ124" s="223"/>
      <c r="AK124" s="223"/>
      <c r="AL124" s="223"/>
      <c r="AM124" s="223" t="str">
        <f>"projects\"&amp;$A124&amp;"_sum1.pdf"</f>
        <v>projects\209_sum1.pdf</v>
      </c>
      <c r="AN124" s="223" t="str">
        <f>"projects\"&amp;$A124&amp;"_pres1.pdf"</f>
        <v>projects\209_pres1.pdf</v>
      </c>
      <c r="AO124" s="223"/>
      <c r="AP124" s="223"/>
      <c r="AQ124" s="223"/>
      <c r="AR124" s="223"/>
      <c r="AS124" s="223"/>
      <c r="AT124" s="223"/>
      <c r="AU124" s="223"/>
      <c r="AV124" s="223"/>
      <c r="AW124" s="223"/>
      <c r="AX124" s="223"/>
      <c r="AY124" s="223"/>
      <c r="AZ124" s="223"/>
      <c r="BA124" s="223"/>
      <c r="BB124" s="223"/>
      <c r="BC124" s="223"/>
      <c r="BD124" s="223"/>
      <c r="BE124" s="223"/>
      <c r="BF124" s="230" t="str">
        <f>IF(ISERROR(MATCH(N124,#REF!, 0)), "",  INDEX(#REF!, MATCH(N124,#REF!, 0)))</f>
        <v/>
      </c>
      <c r="BG124" s="223"/>
      <c r="BH124" s="223"/>
      <c r="BI124" s="223"/>
      <c r="BJ124" s="223"/>
      <c r="BK124" s="223"/>
      <c r="BL124" s="223"/>
      <c r="BM124" s="223"/>
      <c r="BN124" s="223"/>
      <c r="BO124" s="223"/>
      <c r="BP124" s="223"/>
      <c r="BQ124" s="167" t="s">
        <v>636</v>
      </c>
    </row>
    <row r="125" spans="1:69" s="167" customFormat="1" x14ac:dyDescent="0.35">
      <c r="A125" s="240">
        <v>231</v>
      </c>
      <c r="B125" s="142" t="s">
        <v>747</v>
      </c>
      <c r="C125" s="142" t="str">
        <f t="shared" si="10"/>
        <v>Competitive Improvement Project</v>
      </c>
      <c r="D125" s="171">
        <v>15</v>
      </c>
      <c r="E125" s="171">
        <v>5</v>
      </c>
      <c r="F125" s="174">
        <f t="shared" si="15"/>
        <v>0.6770833333333327</v>
      </c>
      <c r="G125" s="173">
        <f t="shared" si="9"/>
        <v>0.69097222222222154</v>
      </c>
      <c r="H125" s="104">
        <v>42781</v>
      </c>
      <c r="I125" s="169" t="s">
        <v>658</v>
      </c>
      <c r="J125" s="267" t="s">
        <v>657</v>
      </c>
      <c r="K125" s="163" t="s">
        <v>670</v>
      </c>
      <c r="L125" s="163" t="s">
        <v>560</v>
      </c>
      <c r="M125" s="267" t="s">
        <v>519</v>
      </c>
      <c r="N125" s="267" t="s">
        <v>552</v>
      </c>
      <c r="O125" s="267" t="e">
        <f>INDEX(#REF!, MATCH($N125,#REF!, 0))</f>
        <v>#REF!</v>
      </c>
      <c r="P125" s="231" t="str">
        <f t="shared" si="11"/>
        <v>Ian Baring-Gould</v>
      </c>
      <c r="Q125" s="223" t="e">
        <f t="shared" si="13"/>
        <v>#REF!</v>
      </c>
      <c r="R125" s="223" t="str">
        <f t="shared" si="14"/>
        <v>NREL</v>
      </c>
      <c r="S125" s="235"/>
      <c r="T125" s="235"/>
      <c r="U125" s="223"/>
      <c r="V125" s="223"/>
      <c r="W125" s="235"/>
      <c r="X125" s="223"/>
      <c r="Y125" s="235"/>
      <c r="Z125" s="223"/>
      <c r="AA125" s="223"/>
      <c r="AB125" s="158"/>
      <c r="AC125" s="158"/>
      <c r="AD125" s="158"/>
      <c r="AE125" s="158"/>
      <c r="AF125" s="158"/>
      <c r="AG125" s="223"/>
      <c r="AH125" s="223"/>
      <c r="AI125" s="223"/>
      <c r="AJ125" s="223"/>
      <c r="AK125" s="223"/>
      <c r="AL125" s="223"/>
      <c r="AM125" s="223" t="str">
        <f>"projects\"&amp;$A125&amp;"_sum1.pdf"</f>
        <v>projects\231_sum1.pdf</v>
      </c>
      <c r="AN125" s="223" t="str">
        <f>"projects\"&amp;$A125&amp;"_pres1.pdf"</f>
        <v>projects\231_pres1.pdf</v>
      </c>
      <c r="AO125" s="223"/>
      <c r="AP125" s="223"/>
      <c r="AQ125" s="223"/>
      <c r="AR125" s="223"/>
      <c r="AS125" s="223"/>
      <c r="AT125" s="223"/>
      <c r="AU125" s="223"/>
      <c r="AV125" s="223"/>
      <c r="AW125" s="223"/>
      <c r="AX125" s="223"/>
      <c r="AY125" s="223"/>
      <c r="AZ125" s="223"/>
      <c r="BA125" s="223"/>
      <c r="BB125" s="223"/>
      <c r="BC125" s="223"/>
      <c r="BD125" s="223"/>
      <c r="BE125" s="223"/>
      <c r="BF125" s="230" t="str">
        <f>IF(ISERROR(MATCH(N125,#REF!, 0)), "",  INDEX(#REF!, MATCH(N125,#REF!, 0)))</f>
        <v/>
      </c>
      <c r="BG125" s="223"/>
      <c r="BH125" s="223"/>
      <c r="BI125" s="223"/>
      <c r="BJ125" s="223"/>
      <c r="BK125" s="223"/>
      <c r="BL125" s="223"/>
      <c r="BM125" s="223"/>
      <c r="BN125" s="223"/>
      <c r="BO125" s="223"/>
      <c r="BP125" s="223"/>
      <c r="BQ125" s="167" t="s">
        <v>636</v>
      </c>
    </row>
    <row r="126" spans="1:69" s="167" customFormat="1" x14ac:dyDescent="0.35">
      <c r="A126" s="246" t="s">
        <v>558</v>
      </c>
      <c r="B126" s="145" t="s">
        <v>574</v>
      </c>
      <c r="C126" s="145" t="str">
        <f t="shared" si="10"/>
        <v>Breakfast</v>
      </c>
      <c r="D126" s="171">
        <v>45</v>
      </c>
      <c r="E126" s="171">
        <v>0</v>
      </c>
      <c r="F126" s="172">
        <v>0.33333333333333331</v>
      </c>
      <c r="G126" s="173">
        <f t="shared" si="9"/>
        <v>0.36458333333333331</v>
      </c>
      <c r="H126" s="104">
        <v>42782</v>
      </c>
      <c r="I126" s="169" t="s">
        <v>563</v>
      </c>
      <c r="J126" s="209" t="s">
        <v>657</v>
      </c>
      <c r="K126" s="144" t="s">
        <v>560</v>
      </c>
      <c r="L126" s="144" t="s">
        <v>560</v>
      </c>
      <c r="M126" s="210" t="s">
        <v>560</v>
      </c>
      <c r="N126" s="209" t="s">
        <v>560</v>
      </c>
      <c r="O126" s="210" t="e">
        <f>INDEX(#REF!, MATCH($N126,#REF!, 0))</f>
        <v>#REF!</v>
      </c>
      <c r="P126" s="126" t="str">
        <f t="shared" si="11"/>
        <v>NULL</v>
      </c>
      <c r="Q126" s="223" t="e">
        <f t="shared" si="13"/>
        <v>#REF!</v>
      </c>
      <c r="R126" s="223" t="str">
        <f t="shared" si="14"/>
        <v>NULL</v>
      </c>
      <c r="S126" s="235"/>
      <c r="T126" s="235"/>
      <c r="U126" s="223"/>
      <c r="V126" s="223"/>
      <c r="W126" s="235"/>
      <c r="X126" s="223"/>
      <c r="Y126" s="235"/>
      <c r="Z126" s="223"/>
      <c r="AA126" s="223"/>
      <c r="AB126" s="158"/>
      <c r="AC126" s="158"/>
      <c r="AD126" s="158"/>
      <c r="AE126" s="158"/>
      <c r="AF126" s="158"/>
      <c r="AG126" s="223"/>
      <c r="AH126" s="223"/>
      <c r="AI126" s="223"/>
      <c r="AJ126" s="223"/>
      <c r="AK126" s="223"/>
      <c r="AL126" s="223"/>
      <c r="AM126" s="223"/>
      <c r="AN126" s="223"/>
      <c r="AO126" s="223"/>
      <c r="AP126" s="223"/>
      <c r="AQ126" s="223"/>
      <c r="AR126" s="223"/>
      <c r="AS126" s="223"/>
      <c r="AT126" s="223"/>
      <c r="AU126" s="223"/>
      <c r="AV126" s="223"/>
      <c r="AW126" s="223"/>
      <c r="AX126" s="223"/>
      <c r="AY126" s="223"/>
      <c r="AZ126" s="223"/>
      <c r="BA126" s="223"/>
      <c r="BB126" s="223"/>
      <c r="BC126" s="223"/>
      <c r="BD126" s="223"/>
      <c r="BE126" s="223"/>
      <c r="BF126" s="230" t="str">
        <f>IF(ISERROR(MATCH(N126,#REF!, 0)), "",  INDEX(#REF!, MATCH(N126,#REF!, 0)))</f>
        <v/>
      </c>
      <c r="BG126" s="223"/>
      <c r="BH126" s="223"/>
      <c r="BI126" s="223"/>
      <c r="BJ126" s="223"/>
      <c r="BK126" s="223"/>
      <c r="BL126" s="223"/>
      <c r="BM126" s="223"/>
      <c r="BN126" s="223"/>
      <c r="BO126" s="223"/>
      <c r="BP126" s="223"/>
      <c r="BQ126" s="167" t="s">
        <v>636</v>
      </c>
    </row>
    <row r="127" spans="1:69" s="167" customFormat="1" x14ac:dyDescent="0.35">
      <c r="A127" s="240" t="s">
        <v>558</v>
      </c>
      <c r="B127" s="205" t="s">
        <v>575</v>
      </c>
      <c r="C127" s="205" t="str">
        <f t="shared" si="10"/>
        <v>Daily Recap</v>
      </c>
      <c r="D127" s="171">
        <v>15</v>
      </c>
      <c r="E127" s="171">
        <v>0</v>
      </c>
      <c r="F127" s="174">
        <f t="shared" ref="F127:F150" si="16">G126</f>
        <v>0.36458333333333331</v>
      </c>
      <c r="G127" s="173">
        <f t="shared" si="9"/>
        <v>0.375</v>
      </c>
      <c r="H127" s="104">
        <v>42782</v>
      </c>
      <c r="I127" s="169" t="s">
        <v>563</v>
      </c>
      <c r="J127" s="116" t="s">
        <v>657</v>
      </c>
      <c r="K127" s="142" t="s">
        <v>560</v>
      </c>
      <c r="L127" s="142" t="s">
        <v>560</v>
      </c>
      <c r="M127" s="147" t="s">
        <v>516</v>
      </c>
      <c r="N127" s="116" t="s">
        <v>565</v>
      </c>
      <c r="O127" s="147" t="e">
        <f>INDEX(#REF!, MATCH($N127,#REF!, 0))</f>
        <v>#REF!</v>
      </c>
      <c r="P127" s="114" t="str">
        <f t="shared" si="11"/>
        <v>Alex Lemke</v>
      </c>
      <c r="Q127" s="223" t="e">
        <f t="shared" si="13"/>
        <v>#REF!</v>
      </c>
      <c r="R127" s="223" t="str">
        <f t="shared" si="14"/>
        <v>DOE</v>
      </c>
      <c r="S127" s="235"/>
      <c r="T127" s="235"/>
      <c r="U127" s="223"/>
      <c r="V127" s="223"/>
      <c r="W127" s="235"/>
      <c r="X127" s="223"/>
      <c r="Y127" s="235"/>
      <c r="Z127" s="223"/>
      <c r="AA127" s="223"/>
      <c r="AB127" s="158"/>
      <c r="AC127" s="158"/>
      <c r="AD127" s="158"/>
      <c r="AE127" s="158"/>
      <c r="AF127" s="158"/>
      <c r="AG127" s="223"/>
      <c r="AH127" s="223"/>
      <c r="AI127" s="223"/>
      <c r="AJ127" s="223"/>
      <c r="AK127" s="223"/>
      <c r="AL127" s="223"/>
      <c r="AM127" s="223"/>
      <c r="AN127" s="223"/>
      <c r="AO127" s="223"/>
      <c r="AP127" s="223"/>
      <c r="AQ127" s="223"/>
      <c r="AR127" s="223"/>
      <c r="AS127" s="223"/>
      <c r="AT127" s="223"/>
      <c r="AU127" s="223"/>
      <c r="AV127" s="223"/>
      <c r="AW127" s="223"/>
      <c r="AX127" s="223"/>
      <c r="AY127" s="223"/>
      <c r="AZ127" s="223"/>
      <c r="BA127" s="223"/>
      <c r="BB127" s="223"/>
      <c r="BC127" s="223"/>
      <c r="BD127" s="223"/>
      <c r="BE127" s="223"/>
      <c r="BF127" s="230" t="str">
        <f>IF(ISERROR(MATCH(N127,#REF!, 0)), "",  INDEX(#REF!, MATCH(N127,#REF!, 0)))</f>
        <v/>
      </c>
      <c r="BG127" s="223"/>
      <c r="BH127" s="223"/>
      <c r="BI127" s="223"/>
      <c r="BJ127" s="223"/>
      <c r="BK127" s="223"/>
      <c r="BL127" s="223"/>
      <c r="BM127" s="223"/>
      <c r="BN127" s="223"/>
      <c r="BO127" s="223"/>
      <c r="BP127" s="223"/>
      <c r="BQ127" s="167" t="s">
        <v>636</v>
      </c>
    </row>
    <row r="128" spans="1:69" s="167" customFormat="1" ht="15" thickBot="1" x14ac:dyDescent="0.4">
      <c r="A128" s="240" t="s">
        <v>558</v>
      </c>
      <c r="B128" s="117" t="s">
        <v>570</v>
      </c>
      <c r="C128" s="117" t="str">
        <f t="shared" si="10"/>
        <v>TRANSITION</v>
      </c>
      <c r="D128" s="171">
        <v>5</v>
      </c>
      <c r="E128" s="171">
        <v>0</v>
      </c>
      <c r="F128" s="175">
        <f t="shared" si="16"/>
        <v>0.375</v>
      </c>
      <c r="G128" s="137">
        <f t="shared" si="9"/>
        <v>0.37847222222222221</v>
      </c>
      <c r="H128" s="104">
        <v>42782</v>
      </c>
      <c r="I128" s="169" t="s">
        <v>560</v>
      </c>
      <c r="J128" s="211" t="s">
        <v>657</v>
      </c>
      <c r="K128" s="117" t="s">
        <v>560</v>
      </c>
      <c r="L128" s="117" t="s">
        <v>560</v>
      </c>
      <c r="M128" s="212" t="s">
        <v>560</v>
      </c>
      <c r="N128" s="211" t="s">
        <v>560</v>
      </c>
      <c r="O128" s="212" t="e">
        <f>INDEX(#REF!, MATCH($N128,#REF!, 0))</f>
        <v>#REF!</v>
      </c>
      <c r="P128" s="126" t="str">
        <f t="shared" si="11"/>
        <v>NULL</v>
      </c>
      <c r="Q128" s="223" t="e">
        <f t="shared" si="13"/>
        <v>#REF!</v>
      </c>
      <c r="R128" s="223" t="str">
        <f t="shared" si="14"/>
        <v>NULL</v>
      </c>
      <c r="S128" s="235"/>
      <c r="T128" s="235"/>
      <c r="U128" s="223"/>
      <c r="V128" s="223"/>
      <c r="W128" s="235"/>
      <c r="X128" s="223"/>
      <c r="Y128" s="235"/>
      <c r="Z128" s="223"/>
      <c r="AA128" s="223"/>
      <c r="AB128" s="158"/>
      <c r="AC128" s="158"/>
      <c r="AD128" s="158"/>
      <c r="AE128" s="158"/>
      <c r="AF128" s="158"/>
      <c r="AG128" s="223"/>
      <c r="AH128" s="223"/>
      <c r="AI128" s="223"/>
      <c r="AJ128" s="223"/>
      <c r="AK128" s="223"/>
      <c r="AL128" s="223"/>
      <c r="AM128" s="223"/>
      <c r="AN128" s="223"/>
      <c r="AO128" s="223"/>
      <c r="AP128" s="223"/>
      <c r="AQ128" s="223"/>
      <c r="AR128" s="223"/>
      <c r="AS128" s="223"/>
      <c r="AT128" s="223"/>
      <c r="AU128" s="223"/>
      <c r="AV128" s="223"/>
      <c r="AW128" s="223"/>
      <c r="AX128" s="223"/>
      <c r="AY128" s="223"/>
      <c r="AZ128" s="223"/>
      <c r="BA128" s="223"/>
      <c r="BB128" s="223"/>
      <c r="BC128" s="223"/>
      <c r="BD128" s="223"/>
      <c r="BE128" s="223"/>
      <c r="BF128" s="230" t="str">
        <f>IF(ISERROR(MATCH(N128,#REF!, 0)), "",  INDEX(#REF!, MATCH(N128,#REF!, 0)))</f>
        <v/>
      </c>
      <c r="BG128" s="223"/>
      <c r="BH128" s="223"/>
      <c r="BI128" s="223"/>
      <c r="BJ128" s="223"/>
      <c r="BK128" s="223"/>
      <c r="BL128" s="223"/>
      <c r="BM128" s="223"/>
      <c r="BN128" s="223"/>
      <c r="BO128" s="223"/>
      <c r="BP128" s="223"/>
      <c r="BQ128" s="167" t="s">
        <v>636</v>
      </c>
    </row>
    <row r="129" spans="1:69" s="167" customFormat="1" ht="15.5" thickTop="1" thickBot="1" x14ac:dyDescent="0.4">
      <c r="A129" s="240" t="s">
        <v>698</v>
      </c>
      <c r="B129" s="138" t="s">
        <v>671</v>
      </c>
      <c r="C129" s="139" t="str">
        <f t="shared" si="10"/>
        <v xml:space="preserve">Overview of Offshore Wind Unique RD&amp;T </v>
      </c>
      <c r="D129" s="171">
        <v>15</v>
      </c>
      <c r="E129" s="171">
        <v>5</v>
      </c>
      <c r="F129" s="174">
        <f t="shared" si="16"/>
        <v>0.37847222222222221</v>
      </c>
      <c r="G129" s="173">
        <f t="shared" si="9"/>
        <v>0.3923611111111111</v>
      </c>
      <c r="H129" s="104">
        <v>42782</v>
      </c>
      <c r="I129" s="169" t="s">
        <v>658</v>
      </c>
      <c r="J129" s="123" t="s">
        <v>657</v>
      </c>
      <c r="K129" s="143" t="s">
        <v>672</v>
      </c>
      <c r="L129" s="143" t="s">
        <v>560</v>
      </c>
      <c r="M129" s="123" t="s">
        <v>516</v>
      </c>
      <c r="N129" s="123" t="s">
        <v>450</v>
      </c>
      <c r="O129" s="122" t="e">
        <f>INDEX(#REF!, MATCH($N129,#REF!, 0))</f>
        <v>#REF!</v>
      </c>
      <c r="P129" s="124" t="str">
        <f t="shared" si="11"/>
        <v>Alana Duerr</v>
      </c>
      <c r="Q129" s="223" t="e">
        <f t="shared" si="13"/>
        <v>#REF!</v>
      </c>
      <c r="R129" s="223" t="str">
        <f t="shared" si="14"/>
        <v>DOE</v>
      </c>
      <c r="S129" s="235"/>
      <c r="T129" s="235"/>
      <c r="U129" s="223"/>
      <c r="V129" s="223"/>
      <c r="W129" s="235"/>
      <c r="X129" s="223"/>
      <c r="Y129" s="235"/>
      <c r="Z129" s="223"/>
      <c r="AA129" s="223"/>
      <c r="AB129" s="158"/>
      <c r="AC129" s="158"/>
      <c r="AD129" s="158"/>
      <c r="AE129" s="158"/>
      <c r="AF129" s="158"/>
      <c r="AG129" s="223"/>
      <c r="AH129" s="223"/>
      <c r="AI129" s="223"/>
      <c r="AJ129" s="223"/>
      <c r="AK129" s="223"/>
      <c r="AL129" s="223"/>
      <c r="AM129" s="223"/>
      <c r="AN129" s="223" t="str">
        <f>"program\"&amp;$A129&amp;"_pres1.pdf"</f>
        <v>program\WPG16011_pres1.pdf</v>
      </c>
      <c r="AO129" s="223"/>
      <c r="AP129" s="223"/>
      <c r="AQ129" s="223"/>
      <c r="AR129" s="223"/>
      <c r="AS129" s="223"/>
      <c r="AT129" s="223"/>
      <c r="AU129" s="223"/>
      <c r="AV129" s="223"/>
      <c r="AW129" s="223"/>
      <c r="AX129" s="223"/>
      <c r="AY129" s="223"/>
      <c r="AZ129" s="223"/>
      <c r="BA129" s="223"/>
      <c r="BB129" s="223"/>
      <c r="BC129" s="223"/>
      <c r="BD129" s="223"/>
      <c r="BE129" s="223"/>
      <c r="BF129" s="230" t="str">
        <f>IF(ISERROR(MATCH(N129,#REF!, 0)), "",  INDEX(#REF!, MATCH(N129,#REF!, 0)))</f>
        <v/>
      </c>
      <c r="BG129" s="223"/>
      <c r="BH129" s="223"/>
      <c r="BI129" s="223"/>
      <c r="BJ129" s="223"/>
      <c r="BK129" s="223"/>
      <c r="BL129" s="223"/>
      <c r="BM129" s="223"/>
      <c r="BN129" s="223"/>
      <c r="BO129" s="223"/>
      <c r="BP129" s="223"/>
      <c r="BQ129" s="167" t="s">
        <v>636</v>
      </c>
    </row>
    <row r="130" spans="1:69" s="167" customFormat="1" x14ac:dyDescent="0.35">
      <c r="A130" s="243">
        <v>214</v>
      </c>
      <c r="B130" s="142" t="s">
        <v>748</v>
      </c>
      <c r="C130" s="142" t="str">
        <f t="shared" si="10"/>
        <v>Modeling and Validation for Offshore Wind</v>
      </c>
      <c r="D130" s="171">
        <v>15</v>
      </c>
      <c r="E130" s="171">
        <v>10</v>
      </c>
      <c r="F130" s="174">
        <f t="shared" si="16"/>
        <v>0.3923611111111111</v>
      </c>
      <c r="G130" s="173">
        <f t="shared" ref="G130:G156" si="17">F130+TIME(0, D130, 0)+TIME(0, E130, 0)</f>
        <v>0.40972222222222221</v>
      </c>
      <c r="H130" s="104">
        <v>42782</v>
      </c>
      <c r="I130" s="169" t="s">
        <v>658</v>
      </c>
      <c r="J130" s="265" t="s">
        <v>657</v>
      </c>
      <c r="K130" s="163" t="s">
        <v>672</v>
      </c>
      <c r="L130" s="163" t="s">
        <v>560</v>
      </c>
      <c r="M130" s="265" t="s">
        <v>519</v>
      </c>
      <c r="N130" s="265" t="s">
        <v>528</v>
      </c>
      <c r="O130" s="265" t="e">
        <f>INDEX(#REF!, MATCH($N130,#REF!, 0))</f>
        <v>#REF!</v>
      </c>
      <c r="P130" s="231" t="str">
        <f t="shared" si="11"/>
        <v>Amy Robertson</v>
      </c>
      <c r="Q130" s="223" t="e">
        <f t="shared" si="13"/>
        <v>#REF!</v>
      </c>
      <c r="R130" s="223" t="str">
        <f t="shared" si="14"/>
        <v>NREL</v>
      </c>
      <c r="S130" s="235"/>
      <c r="T130" s="235"/>
      <c r="U130" s="223"/>
      <c r="V130" s="223"/>
      <c r="W130" s="235"/>
      <c r="X130" s="223"/>
      <c r="Y130" s="235"/>
      <c r="Z130" s="223"/>
      <c r="AA130" s="223"/>
      <c r="AB130" s="158"/>
      <c r="AC130" s="158"/>
      <c r="AD130" s="158"/>
      <c r="AE130" s="158"/>
      <c r="AF130" s="158"/>
      <c r="AG130" s="223"/>
      <c r="AH130" s="223"/>
      <c r="AI130" s="223"/>
      <c r="AJ130" s="223"/>
      <c r="AK130" s="223"/>
      <c r="AL130" s="223"/>
      <c r="AM130" s="223" t="str">
        <f>"projects\"&amp;$A130&amp;"_sum1.pdf"</f>
        <v>projects\214_sum1.pdf</v>
      </c>
      <c r="AN130" s="223" t="str">
        <f>"projects\"&amp;$A130&amp;"_pres1.pdf"</f>
        <v>projects\214_pres1.pdf</v>
      </c>
      <c r="AO130" s="223"/>
      <c r="AP130" s="223"/>
      <c r="AQ130" s="223"/>
      <c r="AR130" s="223"/>
      <c r="AS130" s="223"/>
      <c r="AT130" s="223"/>
      <c r="AU130" s="223"/>
      <c r="AV130" s="223"/>
      <c r="AW130" s="223"/>
      <c r="AX130" s="223"/>
      <c r="AY130" s="223"/>
      <c r="AZ130" s="223"/>
      <c r="BA130" s="223"/>
      <c r="BB130" s="223"/>
      <c r="BC130" s="223"/>
      <c r="BD130" s="223"/>
      <c r="BE130" s="223"/>
      <c r="BF130" s="230" t="str">
        <f>IF(ISERROR(MATCH(N130,#REF!, 0)), "",  INDEX(#REF!, MATCH(N130,#REF!, 0)))</f>
        <v/>
      </c>
      <c r="BG130" s="223"/>
      <c r="BH130" s="223"/>
      <c r="BI130" s="223"/>
      <c r="BJ130" s="223"/>
      <c r="BK130" s="223"/>
      <c r="BL130" s="223"/>
      <c r="BM130" s="223"/>
      <c r="BN130" s="223"/>
      <c r="BO130" s="223"/>
      <c r="BP130" s="223"/>
      <c r="BQ130" s="167" t="s">
        <v>636</v>
      </c>
    </row>
    <row r="131" spans="1:69" s="167" customFormat="1" x14ac:dyDescent="0.35">
      <c r="A131" s="243">
        <v>227</v>
      </c>
      <c r="B131" s="142" t="s">
        <v>749</v>
      </c>
      <c r="C131" s="142" t="str">
        <f t="shared" ref="C131:C156" si="18">B131</f>
        <v>Wave Impacts on Fixed Offshore Wind Foundations</v>
      </c>
      <c r="D131" s="171">
        <v>15</v>
      </c>
      <c r="E131" s="171">
        <v>10</v>
      </c>
      <c r="F131" s="174">
        <f t="shared" si="16"/>
        <v>0.40972222222222221</v>
      </c>
      <c r="G131" s="173">
        <f t="shared" si="17"/>
        <v>0.42708333333333331</v>
      </c>
      <c r="H131" s="104">
        <v>42782</v>
      </c>
      <c r="I131" s="169" t="s">
        <v>658</v>
      </c>
      <c r="J131" s="265" t="s">
        <v>657</v>
      </c>
      <c r="K131" s="163" t="s">
        <v>672</v>
      </c>
      <c r="L131" s="163" t="s">
        <v>560</v>
      </c>
      <c r="M131" s="265" t="s">
        <v>531</v>
      </c>
      <c r="N131" s="265" t="s">
        <v>625</v>
      </c>
      <c r="O131" s="265" t="e">
        <f>INDEX(#REF!, MATCH($N131,#REF!, 0))</f>
        <v>#REF!</v>
      </c>
      <c r="P131" s="231" t="str">
        <f t="shared" ref="P131:P156" si="19">N131</f>
        <v>Ralph Nichols</v>
      </c>
      <c r="Q131" s="223" t="e">
        <f t="shared" si="13"/>
        <v>#REF!</v>
      </c>
      <c r="R131" s="223" t="str">
        <f t="shared" si="14"/>
        <v>SRNL</v>
      </c>
      <c r="S131" s="235"/>
      <c r="T131" s="235"/>
      <c r="U131" s="223"/>
      <c r="V131" s="223"/>
      <c r="W131" s="235"/>
      <c r="X131" s="223"/>
      <c r="Y131" s="235"/>
      <c r="Z131" s="223"/>
      <c r="AA131" s="223"/>
      <c r="AB131" s="158"/>
      <c r="AC131" s="158"/>
      <c r="AD131" s="158"/>
      <c r="AE131" s="158"/>
      <c r="AF131" s="158"/>
      <c r="AG131" s="223"/>
      <c r="AH131" s="223"/>
      <c r="AI131" s="223"/>
      <c r="AJ131" s="223"/>
      <c r="AK131" s="223"/>
      <c r="AL131" s="223"/>
      <c r="AM131" s="223" t="str">
        <f>"projects\"&amp;$A131&amp;"_sum1.pdf"</f>
        <v>projects\227_sum1.pdf</v>
      </c>
      <c r="AN131" s="223" t="str">
        <f>"projects\"&amp;$A131&amp;"_pres1.pdf"</f>
        <v>projects\227_pres1.pdf</v>
      </c>
      <c r="AO131" s="223"/>
      <c r="AP131" s="223"/>
      <c r="AQ131" s="223"/>
      <c r="AR131" s="223"/>
      <c r="AS131" s="223"/>
      <c r="AT131" s="223"/>
      <c r="AU131" s="223"/>
      <c r="AV131" s="223"/>
      <c r="AW131" s="223"/>
      <c r="AX131" s="223"/>
      <c r="AY131" s="223"/>
      <c r="AZ131" s="223"/>
      <c r="BA131" s="223"/>
      <c r="BB131" s="223"/>
      <c r="BC131" s="223"/>
      <c r="BD131" s="223"/>
      <c r="BE131" s="223"/>
      <c r="BF131" s="230" t="str">
        <f>IF(ISERROR(MATCH(N131,#REF!, 0)), "",  INDEX(#REF!, MATCH(N131,#REF!, 0)))</f>
        <v/>
      </c>
      <c r="BG131" s="223"/>
      <c r="BH131" s="223"/>
      <c r="BI131" s="223"/>
      <c r="BJ131" s="223"/>
      <c r="BK131" s="223"/>
      <c r="BL131" s="223"/>
      <c r="BM131" s="223"/>
      <c r="BN131" s="223"/>
      <c r="BO131" s="223"/>
      <c r="BP131" s="223"/>
      <c r="BQ131" s="167" t="s">
        <v>636</v>
      </c>
    </row>
    <row r="132" spans="1:69" s="167" customFormat="1" x14ac:dyDescent="0.35">
      <c r="A132" s="243">
        <v>226</v>
      </c>
      <c r="B132" s="142" t="s">
        <v>750</v>
      </c>
      <c r="C132" s="142" t="str">
        <f t="shared" si="18"/>
        <v>Sediment Transport Impacts on Offshore Wind Projects</v>
      </c>
      <c r="D132" s="171">
        <v>15</v>
      </c>
      <c r="E132" s="171">
        <v>10</v>
      </c>
      <c r="F132" s="174">
        <f t="shared" si="16"/>
        <v>0.42708333333333331</v>
      </c>
      <c r="G132" s="173">
        <f t="shared" si="17"/>
        <v>0.44444444444444442</v>
      </c>
      <c r="H132" s="104">
        <v>42782</v>
      </c>
      <c r="I132" s="169" t="s">
        <v>658</v>
      </c>
      <c r="J132" s="265" t="s">
        <v>657</v>
      </c>
      <c r="K132" s="163" t="s">
        <v>672</v>
      </c>
      <c r="L132" s="163" t="s">
        <v>560</v>
      </c>
      <c r="M132" s="265" t="s">
        <v>529</v>
      </c>
      <c r="N132" s="265" t="s">
        <v>530</v>
      </c>
      <c r="O132" s="265" t="e">
        <f>INDEX(#REF!, MATCH($N132,#REF!, 0))</f>
        <v>#REF!</v>
      </c>
      <c r="P132" s="231" t="str">
        <f t="shared" si="19"/>
        <v>Jesse Roberts</v>
      </c>
      <c r="Q132" s="223" t="e">
        <f t="shared" si="13"/>
        <v>#REF!</v>
      </c>
      <c r="R132" s="223" t="str">
        <f t="shared" si="14"/>
        <v>SNL</v>
      </c>
      <c r="S132" s="235"/>
      <c r="T132" s="235"/>
      <c r="U132" s="223"/>
      <c r="V132" s="223"/>
      <c r="W132" s="235"/>
      <c r="X132" s="223"/>
      <c r="Y132" s="235"/>
      <c r="Z132" s="223"/>
      <c r="AA132" s="223"/>
      <c r="AB132" s="158"/>
      <c r="AC132" s="158"/>
      <c r="AD132" s="158"/>
      <c r="AE132" s="158"/>
      <c r="AF132" s="158"/>
      <c r="AG132" s="223"/>
      <c r="AH132" s="223"/>
      <c r="AI132" s="223"/>
      <c r="AJ132" s="223"/>
      <c r="AK132" s="223"/>
      <c r="AL132" s="223"/>
      <c r="AM132" s="223" t="str">
        <f>"projects\"&amp;$A132&amp;"_sum1.pdf"</f>
        <v>projects\226_sum1.pdf</v>
      </c>
      <c r="AN132" s="223" t="str">
        <f>"projects\"&amp;$A132&amp;"_pres1.pdf"</f>
        <v>projects\226_pres1.pdf</v>
      </c>
      <c r="AO132" s="223"/>
      <c r="AP132" s="223"/>
      <c r="AQ132" s="223"/>
      <c r="AR132" s="223"/>
      <c r="AS132" s="223"/>
      <c r="AT132" s="223"/>
      <c r="AU132" s="223"/>
      <c r="AV132" s="223"/>
      <c r="AW132" s="223"/>
      <c r="AX132" s="223"/>
      <c r="AY132" s="223"/>
      <c r="AZ132" s="223"/>
      <c r="BA132" s="223"/>
      <c r="BB132" s="223"/>
      <c r="BC132" s="223"/>
      <c r="BD132" s="223"/>
      <c r="BE132" s="223"/>
      <c r="BF132" s="230" t="str">
        <f>IF(ISERROR(MATCH(N132,#REF!, 0)), "",  INDEX(#REF!, MATCH(N132,#REF!, 0)))</f>
        <v/>
      </c>
      <c r="BG132" s="223"/>
      <c r="BH132" s="223"/>
      <c r="BI132" s="223"/>
      <c r="BJ132" s="223"/>
      <c r="BK132" s="223"/>
      <c r="BL132" s="223"/>
      <c r="BM132" s="223"/>
      <c r="BN132" s="223"/>
      <c r="BO132" s="223"/>
      <c r="BP132" s="223"/>
      <c r="BQ132" s="167" t="s">
        <v>636</v>
      </c>
    </row>
    <row r="133" spans="1:69" s="167" customFormat="1" ht="15" thickBot="1" x14ac:dyDescent="0.4">
      <c r="A133" s="240" t="s">
        <v>558</v>
      </c>
      <c r="B133" s="130" t="s">
        <v>520</v>
      </c>
      <c r="C133" s="130" t="str">
        <f t="shared" si="18"/>
        <v>BREAK</v>
      </c>
      <c r="D133" s="181">
        <v>15</v>
      </c>
      <c r="E133" s="181">
        <v>0</v>
      </c>
      <c r="F133" s="206">
        <f t="shared" si="16"/>
        <v>0.44444444444444442</v>
      </c>
      <c r="G133" s="207">
        <f t="shared" si="17"/>
        <v>0.4548611111111111</v>
      </c>
      <c r="H133" s="104">
        <v>42782</v>
      </c>
      <c r="I133" s="169" t="s">
        <v>580</v>
      </c>
      <c r="J133" s="208" t="s">
        <v>657</v>
      </c>
      <c r="K133" s="130" t="s">
        <v>560</v>
      </c>
      <c r="L133" s="130" t="s">
        <v>560</v>
      </c>
      <c r="M133" s="208" t="s">
        <v>560</v>
      </c>
      <c r="N133" s="208" t="s">
        <v>560</v>
      </c>
      <c r="O133" s="208" t="e">
        <f>INDEX(#REF!, MATCH($N133,#REF!, 0))</f>
        <v>#REF!</v>
      </c>
      <c r="P133" s="232" t="str">
        <f t="shared" si="19"/>
        <v>NULL</v>
      </c>
      <c r="Q133" s="223" t="e">
        <f t="shared" si="13"/>
        <v>#REF!</v>
      </c>
      <c r="R133" s="223" t="str">
        <f t="shared" si="14"/>
        <v>NULL</v>
      </c>
      <c r="S133" s="235"/>
      <c r="T133" s="235"/>
      <c r="U133" s="223"/>
      <c r="V133" s="223"/>
      <c r="W133" s="235"/>
      <c r="X133" s="223"/>
      <c r="Y133" s="235"/>
      <c r="Z133" s="223"/>
      <c r="AA133" s="223"/>
      <c r="AB133" s="158"/>
      <c r="AC133" s="158"/>
      <c r="AD133" s="158"/>
      <c r="AE133" s="158"/>
      <c r="AF133" s="158"/>
      <c r="AG133" s="223"/>
      <c r="AH133" s="223"/>
      <c r="AI133" s="223"/>
      <c r="AJ133" s="223"/>
      <c r="AK133" s="223"/>
      <c r="AL133" s="223"/>
      <c r="AM133" s="223"/>
      <c r="AN133" s="223"/>
      <c r="AO133" s="223"/>
      <c r="AP133" s="223"/>
      <c r="AQ133" s="223"/>
      <c r="AR133" s="223"/>
      <c r="AS133" s="223"/>
      <c r="AT133" s="223"/>
      <c r="AU133" s="223"/>
      <c r="AV133" s="223"/>
      <c r="AW133" s="223"/>
      <c r="AX133" s="223"/>
      <c r="AY133" s="223"/>
      <c r="AZ133" s="223"/>
      <c r="BA133" s="223"/>
      <c r="BB133" s="223"/>
      <c r="BC133" s="223"/>
      <c r="BD133" s="223"/>
      <c r="BE133" s="223"/>
      <c r="BF133" s="230" t="str">
        <f>IF(ISERROR(MATCH(N133,#REF!, 0)), "",  INDEX(#REF!, MATCH(N133,#REF!, 0)))</f>
        <v/>
      </c>
      <c r="BG133" s="223"/>
      <c r="BH133" s="223"/>
      <c r="BI133" s="223"/>
      <c r="BJ133" s="223"/>
      <c r="BK133" s="223"/>
      <c r="BL133" s="223"/>
      <c r="BM133" s="223"/>
      <c r="BN133" s="223"/>
      <c r="BO133" s="223"/>
      <c r="BP133" s="223"/>
      <c r="BQ133" s="167" t="s">
        <v>636</v>
      </c>
    </row>
    <row r="134" spans="1:69" s="167" customFormat="1" ht="15.5" thickTop="1" thickBot="1" x14ac:dyDescent="0.4">
      <c r="A134" s="240" t="s">
        <v>576</v>
      </c>
      <c r="B134" s="138" t="s">
        <v>673</v>
      </c>
      <c r="C134" s="139" t="str">
        <f t="shared" si="18"/>
        <v>Recap – Offshore Wind Unique RD&amp;T</v>
      </c>
      <c r="D134" s="171">
        <v>5</v>
      </c>
      <c r="E134" s="171">
        <v>0</v>
      </c>
      <c r="F134" s="174">
        <f t="shared" si="16"/>
        <v>0.4548611111111111</v>
      </c>
      <c r="G134" s="173">
        <f t="shared" si="17"/>
        <v>0.45833333333333331</v>
      </c>
      <c r="H134" s="104">
        <v>42782</v>
      </c>
      <c r="I134" s="169" t="s">
        <v>658</v>
      </c>
      <c r="J134" s="123" t="s">
        <v>657</v>
      </c>
      <c r="K134" s="143" t="s">
        <v>672</v>
      </c>
      <c r="L134" s="143" t="s">
        <v>560</v>
      </c>
      <c r="M134" s="123" t="s">
        <v>516</v>
      </c>
      <c r="N134" s="123" t="s">
        <v>450</v>
      </c>
      <c r="O134" s="123" t="e">
        <f>INDEX(#REF!, MATCH($N134,#REF!, 0))</f>
        <v>#REF!</v>
      </c>
      <c r="P134" s="124" t="str">
        <f t="shared" si="19"/>
        <v>Alana Duerr</v>
      </c>
      <c r="Q134" s="223" t="e">
        <f t="shared" si="13"/>
        <v>#REF!</v>
      </c>
      <c r="R134" s="223" t="str">
        <f t="shared" si="14"/>
        <v>DOE</v>
      </c>
      <c r="S134" s="235"/>
      <c r="T134" s="235"/>
      <c r="U134" s="223"/>
      <c r="V134" s="223"/>
      <c r="W134" s="235"/>
      <c r="X134" s="223"/>
      <c r="Y134" s="235"/>
      <c r="Z134" s="223"/>
      <c r="AA134" s="223"/>
      <c r="AB134" s="158"/>
      <c r="AC134" s="158"/>
      <c r="AD134" s="158"/>
      <c r="AE134" s="158"/>
      <c r="AF134" s="158"/>
      <c r="AG134" s="223"/>
      <c r="AH134" s="223"/>
      <c r="AI134" s="223"/>
      <c r="AJ134" s="223"/>
      <c r="AK134" s="223"/>
      <c r="AL134" s="223"/>
      <c r="AM134" s="223"/>
      <c r="AN134" s="223"/>
      <c r="AO134" s="223"/>
      <c r="AP134" s="223"/>
      <c r="AQ134" s="223"/>
      <c r="AR134" s="223"/>
      <c r="AS134" s="223"/>
      <c r="AT134" s="223"/>
      <c r="AU134" s="223"/>
      <c r="AV134" s="223"/>
      <c r="AW134" s="223"/>
      <c r="AX134" s="223"/>
      <c r="AY134" s="223"/>
      <c r="AZ134" s="223"/>
      <c r="BA134" s="223"/>
      <c r="BB134" s="223"/>
      <c r="BC134" s="223"/>
      <c r="BD134" s="223"/>
      <c r="BE134" s="223"/>
      <c r="BF134" s="230" t="str">
        <f>IF(ISERROR(MATCH(N134,#REF!, 0)), "",  INDEX(#REF!, MATCH(N134,#REF!, 0)))</f>
        <v/>
      </c>
      <c r="BG134" s="223"/>
      <c r="BH134" s="223"/>
      <c r="BI134" s="223"/>
      <c r="BJ134" s="223"/>
      <c r="BK134" s="223"/>
      <c r="BL134" s="223"/>
      <c r="BM134" s="223"/>
      <c r="BN134" s="223"/>
      <c r="BO134" s="223"/>
      <c r="BP134" s="223"/>
      <c r="BQ134" s="167" t="s">
        <v>636</v>
      </c>
    </row>
    <row r="135" spans="1:69" s="167" customFormat="1" x14ac:dyDescent="0.35">
      <c r="A135" s="243">
        <v>215</v>
      </c>
      <c r="B135" s="142" t="s">
        <v>751</v>
      </c>
      <c r="C135" s="142" t="str">
        <f t="shared" si="18"/>
        <v>Instrumentation Planning for the Offshore Wind Advanced Technology Demonstration Projects</v>
      </c>
      <c r="D135" s="171">
        <v>15</v>
      </c>
      <c r="E135" s="171">
        <v>5</v>
      </c>
      <c r="F135" s="174">
        <f t="shared" si="16"/>
        <v>0.45833333333333331</v>
      </c>
      <c r="G135" s="173">
        <f t="shared" si="17"/>
        <v>0.47222222222222221</v>
      </c>
      <c r="H135" s="104">
        <v>42782</v>
      </c>
      <c r="I135" s="169" t="s">
        <v>658</v>
      </c>
      <c r="J135" s="265" t="s">
        <v>657</v>
      </c>
      <c r="K135" s="163" t="s">
        <v>672</v>
      </c>
      <c r="L135" s="163" t="s">
        <v>560</v>
      </c>
      <c r="M135" s="265" t="s">
        <v>519</v>
      </c>
      <c r="N135" s="265" t="s">
        <v>577</v>
      </c>
      <c r="O135" s="265" t="e">
        <f>INDEX(#REF!, MATCH($N135,#REF!, 0))</f>
        <v>#REF!</v>
      </c>
      <c r="P135" s="231" t="str">
        <f t="shared" si="19"/>
        <v>Walt Musial</v>
      </c>
      <c r="Q135" s="223" t="e">
        <f t="shared" si="13"/>
        <v>#REF!</v>
      </c>
      <c r="R135" s="223" t="str">
        <f t="shared" si="14"/>
        <v>NREL</v>
      </c>
      <c r="S135" s="235"/>
      <c r="T135" s="235"/>
      <c r="U135" s="223"/>
      <c r="V135" s="223"/>
      <c r="W135" s="235"/>
      <c r="X135" s="223"/>
      <c r="Y135" s="235"/>
      <c r="Z135" s="223"/>
      <c r="AA135" s="223"/>
      <c r="AB135" s="158"/>
      <c r="AC135" s="158"/>
      <c r="AD135" s="158"/>
      <c r="AE135" s="158"/>
      <c r="AF135" s="158"/>
      <c r="AG135" s="223"/>
      <c r="AH135" s="223"/>
      <c r="AI135" s="223"/>
      <c r="AJ135" s="223"/>
      <c r="AK135" s="223"/>
      <c r="AL135" s="223"/>
      <c r="AM135" s="223" t="str">
        <f>"projects\"&amp;$A135&amp;"_sum1.pdf"</f>
        <v>projects\215_sum1.pdf</v>
      </c>
      <c r="AN135" s="223" t="str">
        <f>"projects\"&amp;$A135&amp;"_pres1.pdf"</f>
        <v>projects\215_pres1.pdf</v>
      </c>
      <c r="AO135" s="223"/>
      <c r="AP135" s="223"/>
      <c r="AQ135" s="223"/>
      <c r="AR135" s="223"/>
      <c r="AS135" s="223"/>
      <c r="AT135" s="223"/>
      <c r="AU135" s="223"/>
      <c r="AV135" s="223"/>
      <c r="AW135" s="223"/>
      <c r="AX135" s="223"/>
      <c r="AY135" s="223"/>
      <c r="AZ135" s="223"/>
      <c r="BA135" s="223"/>
      <c r="BB135" s="223"/>
      <c r="BC135" s="223"/>
      <c r="BD135" s="223"/>
      <c r="BE135" s="223"/>
      <c r="BF135" s="230" t="str">
        <f>IF(ISERROR(MATCH(N135,#REF!, 0)), "",  INDEX(#REF!, MATCH(N135,#REF!, 0)))</f>
        <v/>
      </c>
      <c r="BG135" s="223"/>
      <c r="BH135" s="223"/>
      <c r="BI135" s="223"/>
      <c r="BJ135" s="223"/>
      <c r="BK135" s="223"/>
      <c r="BL135" s="223"/>
      <c r="BM135" s="223"/>
      <c r="BN135" s="223"/>
      <c r="BO135" s="223"/>
      <c r="BP135" s="223"/>
      <c r="BQ135" s="167" t="s">
        <v>636</v>
      </c>
    </row>
    <row r="136" spans="1:69" s="167" customFormat="1" x14ac:dyDescent="0.35">
      <c r="A136" s="243">
        <v>225</v>
      </c>
      <c r="B136" s="142" t="s">
        <v>752</v>
      </c>
      <c r="C136" s="142" t="str">
        <f t="shared" si="18"/>
        <v>Structural Health and Prognostic Management for Offshore Wind Projects</v>
      </c>
      <c r="D136" s="171">
        <v>15</v>
      </c>
      <c r="E136" s="171">
        <v>5</v>
      </c>
      <c r="F136" s="174">
        <f t="shared" si="16"/>
        <v>0.47222222222222221</v>
      </c>
      <c r="G136" s="173">
        <f t="shared" si="17"/>
        <v>0.4861111111111111</v>
      </c>
      <c r="H136" s="104">
        <v>42782</v>
      </c>
      <c r="I136" s="169" t="s">
        <v>658</v>
      </c>
      <c r="J136" s="265" t="s">
        <v>657</v>
      </c>
      <c r="K136" s="163" t="s">
        <v>672</v>
      </c>
      <c r="L136" s="163" t="s">
        <v>560</v>
      </c>
      <c r="M136" s="265" t="s">
        <v>529</v>
      </c>
      <c r="N136" s="265" t="s">
        <v>532</v>
      </c>
      <c r="O136" s="265" t="e">
        <f>INDEX(#REF!, MATCH($N136,#REF!, 0))</f>
        <v>#REF!</v>
      </c>
      <c r="P136" s="231" t="str">
        <f t="shared" si="19"/>
        <v>Todd Griffith</v>
      </c>
      <c r="Q136" s="223" t="e">
        <f t="shared" si="13"/>
        <v>#REF!</v>
      </c>
      <c r="R136" s="223" t="str">
        <f t="shared" si="14"/>
        <v>SNL</v>
      </c>
      <c r="S136" s="235"/>
      <c r="T136" s="235"/>
      <c r="U136" s="223"/>
      <c r="V136" s="223"/>
      <c r="W136" s="235"/>
      <c r="X136" s="223"/>
      <c r="Y136" s="235"/>
      <c r="Z136" s="223"/>
      <c r="AA136" s="223"/>
      <c r="AB136" s="158"/>
      <c r="AC136" s="158"/>
      <c r="AD136" s="158"/>
      <c r="AE136" s="158"/>
      <c r="AF136" s="158"/>
      <c r="AG136" s="223"/>
      <c r="AH136" s="223"/>
      <c r="AI136" s="223"/>
      <c r="AJ136" s="223"/>
      <c r="AK136" s="223"/>
      <c r="AL136" s="223"/>
      <c r="AM136" s="223" t="str">
        <f>"projects\"&amp;$A136&amp;"_sum1.pdf"</f>
        <v>projects\225_sum1.pdf</v>
      </c>
      <c r="AN136" s="223" t="str">
        <f>"projects\"&amp;$A136&amp;"_pres1.pdf"</f>
        <v>projects\225_pres1.pdf</v>
      </c>
      <c r="AO136" s="223"/>
      <c r="AP136" s="223"/>
      <c r="AQ136" s="223"/>
      <c r="AR136" s="223"/>
      <c r="AS136" s="223"/>
      <c r="AT136" s="223"/>
      <c r="AU136" s="223"/>
      <c r="AV136" s="223"/>
      <c r="AW136" s="223"/>
      <c r="AX136" s="223"/>
      <c r="AY136" s="223"/>
      <c r="AZ136" s="223"/>
      <c r="BA136" s="223"/>
      <c r="BB136" s="223"/>
      <c r="BC136" s="223"/>
      <c r="BD136" s="223"/>
      <c r="BE136" s="223"/>
      <c r="BF136" s="230" t="str">
        <f>IF(ISERROR(MATCH(N136,#REF!, 0)), "",  INDEX(#REF!, MATCH(N136,#REF!, 0)))</f>
        <v/>
      </c>
      <c r="BG136" s="223"/>
      <c r="BH136" s="223"/>
      <c r="BI136" s="223"/>
      <c r="BJ136" s="223"/>
      <c r="BK136" s="223"/>
      <c r="BL136" s="223"/>
      <c r="BM136" s="223"/>
      <c r="BN136" s="223"/>
      <c r="BO136" s="223"/>
      <c r="BP136" s="223"/>
      <c r="BQ136" s="167" t="s">
        <v>636</v>
      </c>
    </row>
    <row r="137" spans="1:69" s="167" customFormat="1" x14ac:dyDescent="0.35">
      <c r="A137" s="243">
        <v>220</v>
      </c>
      <c r="B137" s="142" t="s">
        <v>753</v>
      </c>
      <c r="C137" s="142" t="str">
        <f t="shared" si="18"/>
        <v>DOE Offshore Wind Lidar Buoy Deployment Program</v>
      </c>
      <c r="D137" s="171">
        <v>15</v>
      </c>
      <c r="E137" s="171">
        <v>10</v>
      </c>
      <c r="F137" s="174">
        <f t="shared" si="16"/>
        <v>0.4861111111111111</v>
      </c>
      <c r="G137" s="173">
        <f t="shared" si="17"/>
        <v>0.50347222222222221</v>
      </c>
      <c r="H137" s="104">
        <v>42782</v>
      </c>
      <c r="I137" s="169" t="s">
        <v>658</v>
      </c>
      <c r="J137" s="265" t="s">
        <v>657</v>
      </c>
      <c r="K137" s="163" t="s">
        <v>672</v>
      </c>
      <c r="L137" s="163" t="s">
        <v>560</v>
      </c>
      <c r="M137" s="265" t="s">
        <v>525</v>
      </c>
      <c r="N137" s="265" t="s">
        <v>536</v>
      </c>
      <c r="O137" s="265" t="e">
        <f>INDEX(#REF!, MATCH($N137,#REF!, 0))</f>
        <v>#REF!</v>
      </c>
      <c r="P137" s="231" t="str">
        <f t="shared" si="19"/>
        <v>Will Shaw</v>
      </c>
      <c r="Q137" s="223" t="e">
        <f t="shared" si="13"/>
        <v>#REF!</v>
      </c>
      <c r="R137" s="223" t="str">
        <f t="shared" si="14"/>
        <v>PNNL</v>
      </c>
      <c r="S137" s="235"/>
      <c r="T137" s="235"/>
      <c r="U137" s="223"/>
      <c r="V137" s="223"/>
      <c r="W137" s="235"/>
      <c r="X137" s="223"/>
      <c r="Y137" s="235"/>
      <c r="Z137" s="223"/>
      <c r="AA137" s="223"/>
      <c r="AB137" s="158"/>
      <c r="AC137" s="158"/>
      <c r="AD137" s="158"/>
      <c r="AE137" s="158"/>
      <c r="AF137" s="158"/>
      <c r="AG137" s="223"/>
      <c r="AH137" s="223"/>
      <c r="AI137" s="223"/>
      <c r="AJ137" s="223"/>
      <c r="AK137" s="223"/>
      <c r="AL137" s="223"/>
      <c r="AM137" s="223" t="str">
        <f>"projects\"&amp;$A137&amp;"_sum1.pdf"</f>
        <v>projects\220_sum1.pdf</v>
      </c>
      <c r="AN137" s="223" t="str">
        <f>"projects\"&amp;$A137&amp;"_pres1.pdf"</f>
        <v>projects\220_pres1.pdf</v>
      </c>
      <c r="AO137" s="223"/>
      <c r="AP137" s="223"/>
      <c r="AQ137" s="223"/>
      <c r="AR137" s="223"/>
      <c r="AS137" s="223"/>
      <c r="AT137" s="223"/>
      <c r="AU137" s="223"/>
      <c r="AV137" s="223"/>
      <c r="AW137" s="223"/>
      <c r="AX137" s="223"/>
      <c r="AY137" s="223"/>
      <c r="AZ137" s="223"/>
      <c r="BA137" s="223"/>
      <c r="BB137" s="223"/>
      <c r="BC137" s="223"/>
      <c r="BD137" s="223"/>
      <c r="BE137" s="223"/>
      <c r="BF137" s="230" t="str">
        <f>IF(ISERROR(MATCH(N137,#REF!, 0)), "",  INDEX(#REF!, MATCH(N137,#REF!, 0)))</f>
        <v/>
      </c>
      <c r="BG137" s="223"/>
      <c r="BH137" s="223"/>
      <c r="BI137" s="223"/>
      <c r="BJ137" s="223"/>
      <c r="BK137" s="223"/>
      <c r="BL137" s="223"/>
      <c r="BM137" s="223"/>
      <c r="BN137" s="223"/>
      <c r="BO137" s="223"/>
      <c r="BP137" s="223"/>
      <c r="BQ137" s="167" t="s">
        <v>636</v>
      </c>
    </row>
    <row r="138" spans="1:69" s="167" customFormat="1" ht="15" thickBot="1" x14ac:dyDescent="0.4">
      <c r="A138" s="243">
        <v>213</v>
      </c>
      <c r="B138" s="142" t="s">
        <v>754</v>
      </c>
      <c r="C138" s="142" t="str">
        <f t="shared" si="18"/>
        <v>National Offshore Wind Strategy Supporting Analysis</v>
      </c>
      <c r="D138" s="171">
        <v>15</v>
      </c>
      <c r="E138" s="171">
        <v>10</v>
      </c>
      <c r="F138" s="174">
        <f t="shared" si="16"/>
        <v>0.50347222222222221</v>
      </c>
      <c r="G138" s="173">
        <f t="shared" si="17"/>
        <v>0.52083333333333326</v>
      </c>
      <c r="H138" s="104">
        <v>42782</v>
      </c>
      <c r="I138" s="169" t="s">
        <v>658</v>
      </c>
      <c r="J138" s="265" t="s">
        <v>657</v>
      </c>
      <c r="K138" s="163" t="s">
        <v>672</v>
      </c>
      <c r="L138" s="163" t="s">
        <v>560</v>
      </c>
      <c r="M138" s="265" t="s">
        <v>519</v>
      </c>
      <c r="N138" s="265" t="s">
        <v>577</v>
      </c>
      <c r="O138" s="265" t="e">
        <f>INDEX(#REF!, MATCH($N138,#REF!, 0))</f>
        <v>#REF!</v>
      </c>
      <c r="P138" s="231" t="str">
        <f t="shared" si="19"/>
        <v>Walt Musial</v>
      </c>
      <c r="Q138" s="223" t="e">
        <f t="shared" si="13"/>
        <v>#REF!</v>
      </c>
      <c r="R138" s="223" t="str">
        <f t="shared" si="14"/>
        <v>NREL</v>
      </c>
      <c r="S138" s="235"/>
      <c r="T138" s="235"/>
      <c r="U138" s="223"/>
      <c r="V138" s="223"/>
      <c r="W138" s="235"/>
      <c r="X138" s="223"/>
      <c r="Y138" s="235"/>
      <c r="Z138" s="223"/>
      <c r="AA138" s="223"/>
      <c r="AB138" s="158"/>
      <c r="AC138" s="158"/>
      <c r="AD138" s="158"/>
      <c r="AE138" s="158"/>
      <c r="AF138" s="158"/>
      <c r="AG138" s="223"/>
      <c r="AH138" s="223"/>
      <c r="AI138" s="223"/>
      <c r="AJ138" s="223"/>
      <c r="AK138" s="223"/>
      <c r="AL138" s="223"/>
      <c r="AM138" s="223" t="str">
        <f>"projects\"&amp;$A138&amp;"_sum1.pdf"</f>
        <v>projects\213_sum1.pdf</v>
      </c>
      <c r="AN138" s="223" t="str">
        <f>"projects\"&amp;$A138&amp;"_pres1.pdf"</f>
        <v>projects\213_pres1.pdf</v>
      </c>
      <c r="AO138" s="223"/>
      <c r="AP138" s="223"/>
      <c r="AQ138" s="223"/>
      <c r="AR138" s="223"/>
      <c r="AS138" s="223"/>
      <c r="AT138" s="223"/>
      <c r="AU138" s="223"/>
      <c r="AV138" s="223"/>
      <c r="AW138" s="223"/>
      <c r="AX138" s="223"/>
      <c r="AY138" s="223"/>
      <c r="AZ138" s="223"/>
      <c r="BA138" s="223"/>
      <c r="BB138" s="223"/>
      <c r="BC138" s="223"/>
      <c r="BD138" s="223"/>
      <c r="BE138" s="223"/>
      <c r="BF138" s="230" t="str">
        <f>IF(ISERROR(MATCH(N138,#REF!, 0)), "",  INDEX(#REF!, MATCH(N138,#REF!, 0)))</f>
        <v/>
      </c>
      <c r="BG138" s="223"/>
      <c r="BH138" s="223"/>
      <c r="BI138" s="223"/>
      <c r="BJ138" s="223"/>
      <c r="BK138" s="223"/>
      <c r="BL138" s="223"/>
      <c r="BM138" s="223"/>
      <c r="BN138" s="223"/>
      <c r="BO138" s="223"/>
      <c r="BP138" s="223"/>
      <c r="BQ138" s="167" t="s">
        <v>636</v>
      </c>
    </row>
    <row r="139" spans="1:69" s="167" customFormat="1" ht="15.5" thickTop="1" thickBot="1" x14ac:dyDescent="0.4">
      <c r="A139" s="239" t="s">
        <v>558</v>
      </c>
      <c r="B139" s="185" t="s">
        <v>521</v>
      </c>
      <c r="C139" s="185" t="str">
        <f t="shared" si="18"/>
        <v>LUNCH</v>
      </c>
      <c r="D139" s="186">
        <v>60</v>
      </c>
      <c r="E139" s="187">
        <v>0</v>
      </c>
      <c r="F139" s="188">
        <f t="shared" si="16"/>
        <v>0.52083333333333326</v>
      </c>
      <c r="G139" s="189">
        <f t="shared" si="17"/>
        <v>0.56249999999999989</v>
      </c>
      <c r="H139" s="104">
        <v>42782</v>
      </c>
      <c r="I139" s="169" t="s">
        <v>563</v>
      </c>
      <c r="J139" s="190" t="s">
        <v>657</v>
      </c>
      <c r="K139" s="185" t="s">
        <v>560</v>
      </c>
      <c r="L139" s="185" t="s">
        <v>560</v>
      </c>
      <c r="M139" s="190" t="s">
        <v>560</v>
      </c>
      <c r="N139" s="190" t="s">
        <v>560</v>
      </c>
      <c r="O139" s="190" t="e">
        <f>INDEX(#REF!, MATCH($N139,#REF!, 0))</f>
        <v>#REF!</v>
      </c>
      <c r="P139" s="185" t="str">
        <f t="shared" si="19"/>
        <v>NULL</v>
      </c>
      <c r="Q139" s="223" t="e">
        <f t="shared" ref="Q139:Q156" si="20">O139</f>
        <v>#REF!</v>
      </c>
      <c r="R139" s="223" t="str">
        <f t="shared" ref="R139:R156" si="21">M139</f>
        <v>NULL</v>
      </c>
      <c r="S139" s="235"/>
      <c r="T139" s="235"/>
      <c r="U139" s="223"/>
      <c r="V139" s="223"/>
      <c r="W139" s="235"/>
      <c r="X139" s="223"/>
      <c r="Y139" s="235"/>
      <c r="Z139" s="223"/>
      <c r="AA139" s="223"/>
      <c r="AB139" s="158"/>
      <c r="AC139" s="158"/>
      <c r="AD139" s="158"/>
      <c r="AE139" s="158"/>
      <c r="AF139" s="158"/>
      <c r="AG139" s="223"/>
      <c r="AH139" s="223"/>
      <c r="AI139" s="223"/>
      <c r="AJ139" s="223"/>
      <c r="AK139" s="223"/>
      <c r="AL139" s="223"/>
      <c r="AM139" s="223"/>
      <c r="AN139" s="223"/>
      <c r="AO139" s="223"/>
      <c r="AP139" s="223"/>
      <c r="AQ139" s="223"/>
      <c r="AR139" s="223"/>
      <c r="AS139" s="223"/>
      <c r="AT139" s="223"/>
      <c r="AU139" s="223"/>
      <c r="AV139" s="223"/>
      <c r="AW139" s="223"/>
      <c r="AX139" s="223"/>
      <c r="AY139" s="223"/>
      <c r="AZ139" s="223"/>
      <c r="BA139" s="223"/>
      <c r="BB139" s="223"/>
      <c r="BC139" s="223"/>
      <c r="BD139" s="223"/>
      <c r="BE139" s="223"/>
      <c r="BF139" s="230" t="str">
        <f>IF(ISERROR(MATCH(N139,#REF!, 0)), "",  INDEX(#REF!, MATCH(N139,#REF!, 0)))</f>
        <v/>
      </c>
      <c r="BG139" s="223"/>
      <c r="BH139" s="223"/>
      <c r="BI139" s="223"/>
      <c r="BJ139" s="223"/>
      <c r="BK139" s="223"/>
      <c r="BL139" s="223"/>
      <c r="BM139" s="223"/>
      <c r="BN139" s="223"/>
      <c r="BO139" s="223"/>
      <c r="BP139" s="223"/>
      <c r="BQ139" s="167" t="s">
        <v>636</v>
      </c>
    </row>
    <row r="140" spans="1:69" s="167" customFormat="1" ht="15.5" thickTop="1" thickBot="1" x14ac:dyDescent="0.4">
      <c r="A140" s="240" t="s">
        <v>576</v>
      </c>
      <c r="B140" s="138" t="s">
        <v>673</v>
      </c>
      <c r="C140" s="139" t="str">
        <f t="shared" si="18"/>
        <v>Recap – Offshore Wind Unique RD&amp;T</v>
      </c>
      <c r="D140" s="171">
        <v>10</v>
      </c>
      <c r="E140" s="171">
        <v>0</v>
      </c>
      <c r="F140" s="174">
        <f t="shared" si="16"/>
        <v>0.56249999999999989</v>
      </c>
      <c r="G140" s="173">
        <f t="shared" si="17"/>
        <v>0.56944444444444431</v>
      </c>
      <c r="H140" s="104">
        <v>42782</v>
      </c>
      <c r="I140" s="169" t="s">
        <v>658</v>
      </c>
      <c r="J140" s="123" t="s">
        <v>657</v>
      </c>
      <c r="K140" s="143" t="s">
        <v>672</v>
      </c>
      <c r="L140" s="143" t="s">
        <v>560</v>
      </c>
      <c r="M140" s="123" t="s">
        <v>516</v>
      </c>
      <c r="N140" s="123" t="s">
        <v>450</v>
      </c>
      <c r="O140" s="123" t="e">
        <f>INDEX(#REF!, MATCH($N140,#REF!, 0))</f>
        <v>#REF!</v>
      </c>
      <c r="P140" s="124" t="str">
        <f t="shared" si="19"/>
        <v>Alana Duerr</v>
      </c>
      <c r="Q140" s="223" t="e">
        <f t="shared" si="20"/>
        <v>#REF!</v>
      </c>
      <c r="R140" s="223" t="str">
        <f t="shared" si="21"/>
        <v>DOE</v>
      </c>
      <c r="S140" s="235"/>
      <c r="T140" s="235"/>
      <c r="U140" s="223"/>
      <c r="V140" s="223"/>
      <c r="W140" s="235"/>
      <c r="X140" s="223"/>
      <c r="Y140" s="235"/>
      <c r="Z140" s="223"/>
      <c r="AA140" s="223"/>
      <c r="AB140" s="158"/>
      <c r="AC140" s="158"/>
      <c r="AD140" s="158"/>
      <c r="AE140" s="158"/>
      <c r="AF140" s="158"/>
      <c r="AG140" s="223"/>
      <c r="AH140" s="223"/>
      <c r="AI140" s="223"/>
      <c r="AJ140" s="223"/>
      <c r="AK140" s="223"/>
      <c r="AL140" s="223"/>
      <c r="AM140" s="223"/>
      <c r="AN140" s="223"/>
      <c r="AO140" s="223"/>
      <c r="AP140" s="223"/>
      <c r="AQ140" s="223"/>
      <c r="AR140" s="223"/>
      <c r="AS140" s="223"/>
      <c r="AT140" s="223"/>
      <c r="AU140" s="223"/>
      <c r="AV140" s="223"/>
      <c r="AW140" s="223"/>
      <c r="AX140" s="223"/>
      <c r="AY140" s="223"/>
      <c r="AZ140" s="223"/>
      <c r="BA140" s="223"/>
      <c r="BB140" s="223"/>
      <c r="BC140" s="223"/>
      <c r="BD140" s="223"/>
      <c r="BE140" s="223"/>
      <c r="BF140" s="230" t="str">
        <f>IF(ISERROR(MATCH(N140,#REF!, 0)), "",  INDEX(#REF!, MATCH(N140,#REF!, 0)))</f>
        <v/>
      </c>
      <c r="BG140" s="223"/>
      <c r="BH140" s="223"/>
      <c r="BI140" s="223"/>
      <c r="BJ140" s="223"/>
      <c r="BK140" s="223"/>
      <c r="BL140" s="223"/>
      <c r="BM140" s="223"/>
      <c r="BN140" s="223"/>
      <c r="BO140" s="223"/>
      <c r="BP140" s="223"/>
      <c r="BQ140" s="167" t="s">
        <v>636</v>
      </c>
    </row>
    <row r="141" spans="1:69" s="167" customFormat="1" x14ac:dyDescent="0.35">
      <c r="A141" s="243">
        <v>241</v>
      </c>
      <c r="B141" s="142" t="s">
        <v>755</v>
      </c>
      <c r="C141" s="142" t="str">
        <f t="shared" si="18"/>
        <v>Turbine Advanced Controls for Offshore Wind Floating Applications</v>
      </c>
      <c r="D141" s="171">
        <v>15</v>
      </c>
      <c r="E141" s="171">
        <v>5</v>
      </c>
      <c r="F141" s="174">
        <f t="shared" si="16"/>
        <v>0.56944444444444431</v>
      </c>
      <c r="G141" s="173">
        <f t="shared" si="17"/>
        <v>0.58333333333333315</v>
      </c>
      <c r="H141" s="104">
        <v>42782</v>
      </c>
      <c r="I141" s="169" t="s">
        <v>658</v>
      </c>
      <c r="J141" s="265" t="s">
        <v>657</v>
      </c>
      <c r="K141" s="163" t="s">
        <v>672</v>
      </c>
      <c r="L141" s="163" t="s">
        <v>560</v>
      </c>
      <c r="M141" s="265" t="s">
        <v>590</v>
      </c>
      <c r="N141" s="265" t="s">
        <v>783</v>
      </c>
      <c r="O141" s="265" t="e">
        <f>INDEX(#REF!, MATCH($N141,#REF!, 0))</f>
        <v>#REF!</v>
      </c>
      <c r="P141" s="234" t="str">
        <f t="shared" si="19"/>
        <v>Dhiraj Arora</v>
      </c>
      <c r="Q141" s="223" t="e">
        <f t="shared" si="20"/>
        <v>#REF!</v>
      </c>
      <c r="R141" s="223" t="str">
        <f t="shared" si="21"/>
        <v>General Electric</v>
      </c>
      <c r="S141" s="235"/>
      <c r="T141" s="235"/>
      <c r="U141" s="223"/>
      <c r="V141" s="223"/>
      <c r="W141" s="235"/>
      <c r="X141" s="223"/>
      <c r="Y141" s="235"/>
      <c r="Z141" s="223"/>
      <c r="AA141" s="223"/>
      <c r="AB141" s="158"/>
      <c r="AC141" s="158"/>
      <c r="AD141" s="158"/>
      <c r="AE141" s="158"/>
      <c r="AF141" s="158"/>
      <c r="AG141" s="223"/>
      <c r="AH141" s="223"/>
      <c r="AI141" s="223"/>
      <c r="AJ141" s="223"/>
      <c r="AK141" s="223"/>
      <c r="AL141" s="223"/>
      <c r="AM141" s="223" t="str">
        <f>"projects\"&amp;$A141&amp;"_sum1.pdf"</f>
        <v>projects\241_sum1.pdf</v>
      </c>
      <c r="AN141" s="223" t="str">
        <f>"projects\"&amp;$A141&amp;"_pres1.pdf"</f>
        <v>projects\241_pres1.pdf</v>
      </c>
      <c r="AO141" s="223"/>
      <c r="AP141" s="223"/>
      <c r="AQ141" s="223"/>
      <c r="AR141" s="223"/>
      <c r="AS141" s="223"/>
      <c r="AT141" s="223"/>
      <c r="AU141" s="223"/>
      <c r="AV141" s="223"/>
      <c r="AW141" s="223"/>
      <c r="AX141" s="223"/>
      <c r="AY141" s="223"/>
      <c r="AZ141" s="223"/>
      <c r="BA141" s="223"/>
      <c r="BB141" s="223"/>
      <c r="BC141" s="223"/>
      <c r="BD141" s="223"/>
      <c r="BE141" s="223"/>
      <c r="BF141" s="230" t="str">
        <f>IF(ISERROR(MATCH(N141,#REF!, 0)), "",  INDEX(#REF!, MATCH(N141,#REF!, 0)))</f>
        <v/>
      </c>
      <c r="BG141" s="223"/>
      <c r="BH141" s="223"/>
      <c r="BI141" s="223"/>
      <c r="BJ141" s="223"/>
      <c r="BK141" s="223"/>
      <c r="BL141" s="223"/>
      <c r="BM141" s="223"/>
      <c r="BN141" s="223"/>
      <c r="BO141" s="223"/>
      <c r="BP141" s="223"/>
      <c r="BQ141" s="167" t="s">
        <v>636</v>
      </c>
    </row>
    <row r="142" spans="1:69" s="167" customFormat="1" x14ac:dyDescent="0.35">
      <c r="A142" s="243">
        <v>248</v>
      </c>
      <c r="B142" s="142" t="s">
        <v>547</v>
      </c>
      <c r="C142" s="142" t="str">
        <f t="shared" si="18"/>
        <v>The University of Maine's New England Aqua Ventus I Program</v>
      </c>
      <c r="D142" s="171">
        <v>15</v>
      </c>
      <c r="E142" s="171">
        <v>5</v>
      </c>
      <c r="F142" s="174">
        <f t="shared" si="16"/>
        <v>0.58333333333333315</v>
      </c>
      <c r="G142" s="173">
        <f t="shared" si="17"/>
        <v>0.59722222222222199</v>
      </c>
      <c r="H142" s="104">
        <v>42782</v>
      </c>
      <c r="I142" s="169" t="s">
        <v>658</v>
      </c>
      <c r="J142" s="265" t="s">
        <v>657</v>
      </c>
      <c r="K142" s="163" t="s">
        <v>672</v>
      </c>
      <c r="L142" s="163" t="s">
        <v>560</v>
      </c>
      <c r="M142" s="265" t="s">
        <v>548</v>
      </c>
      <c r="N142" s="265" t="s">
        <v>604</v>
      </c>
      <c r="O142" s="265" t="e">
        <f>INDEX(#REF!, MATCH($N142,#REF!, 0))</f>
        <v>#REF!</v>
      </c>
      <c r="P142" s="231" t="str">
        <f t="shared" si="19"/>
        <v>Habib Dagher</v>
      </c>
      <c r="Q142" s="223" t="e">
        <f t="shared" si="20"/>
        <v>#REF!</v>
      </c>
      <c r="R142" s="223" t="str">
        <f t="shared" si="21"/>
        <v>University of Maine</v>
      </c>
      <c r="S142" s="235"/>
      <c r="T142" s="235"/>
      <c r="U142" s="223"/>
      <c r="V142" s="223"/>
      <c r="W142" s="235"/>
      <c r="X142" s="223"/>
      <c r="Y142" s="235"/>
      <c r="Z142" s="223"/>
      <c r="AA142" s="223"/>
      <c r="AB142" s="158"/>
      <c r="AC142" s="158"/>
      <c r="AD142" s="158"/>
      <c r="AE142" s="158"/>
      <c r="AF142" s="158"/>
      <c r="AG142" s="223"/>
      <c r="AH142" s="223"/>
      <c r="AI142" s="223"/>
      <c r="AJ142" s="223"/>
      <c r="AK142" s="223"/>
      <c r="AL142" s="223"/>
      <c r="AM142" s="223" t="str">
        <f>"projects\"&amp;$A142&amp;"_sum1.pdf"</f>
        <v>projects\248_sum1.pdf</v>
      </c>
      <c r="AN142" s="223" t="str">
        <f>"projects\"&amp;$A142&amp;"_pres1.pdf"</f>
        <v>projects\248_pres1.pdf</v>
      </c>
      <c r="AO142" s="223"/>
      <c r="AP142" s="223"/>
      <c r="AQ142" s="223"/>
      <c r="AR142" s="223"/>
      <c r="AS142" s="223"/>
      <c r="AT142" s="223"/>
      <c r="AU142" s="223"/>
      <c r="AV142" s="223"/>
      <c r="AW142" s="223"/>
      <c r="AX142" s="223"/>
      <c r="AY142" s="223"/>
      <c r="AZ142" s="223"/>
      <c r="BA142" s="223"/>
      <c r="BB142" s="223"/>
      <c r="BC142" s="223"/>
      <c r="BD142" s="223"/>
      <c r="BE142" s="223"/>
      <c r="BF142" s="230" t="str">
        <f>IF(ISERROR(MATCH(N142,#REF!, 0)), "",  INDEX(#REF!, MATCH(N142,#REF!, 0)))</f>
        <v/>
      </c>
      <c r="BG142" s="223"/>
      <c r="BH142" s="223"/>
      <c r="BI142" s="223"/>
      <c r="BJ142" s="223"/>
      <c r="BK142" s="223"/>
      <c r="BL142" s="223"/>
      <c r="BM142" s="223"/>
      <c r="BN142" s="223"/>
      <c r="BO142" s="223"/>
      <c r="BP142" s="223"/>
      <c r="BQ142" s="167" t="s">
        <v>636</v>
      </c>
    </row>
    <row r="143" spans="1:69" s="167" customFormat="1" x14ac:dyDescent="0.35">
      <c r="A143" s="243">
        <v>245</v>
      </c>
      <c r="B143" s="142" t="s">
        <v>546</v>
      </c>
      <c r="C143" s="142" t="str">
        <f t="shared" si="18"/>
        <v>Hywind Maine Project</v>
      </c>
      <c r="D143" s="171">
        <v>15</v>
      </c>
      <c r="E143" s="171">
        <v>10</v>
      </c>
      <c r="F143" s="174">
        <f t="shared" si="16"/>
        <v>0.59722222222222199</v>
      </c>
      <c r="G143" s="173">
        <f t="shared" si="17"/>
        <v>0.61458333333333304</v>
      </c>
      <c r="H143" s="104">
        <v>42782</v>
      </c>
      <c r="I143" s="169" t="s">
        <v>658</v>
      </c>
      <c r="J143" s="265" t="s">
        <v>657</v>
      </c>
      <c r="K143" s="163" t="s">
        <v>672</v>
      </c>
      <c r="L143" s="163" t="s">
        <v>560</v>
      </c>
      <c r="M143" s="265" t="s">
        <v>592</v>
      </c>
      <c r="N143" s="265" t="s">
        <v>591</v>
      </c>
      <c r="O143" s="265" t="e">
        <f>INDEX(#REF!, MATCH($N143,#REF!, 0))</f>
        <v>#REF!</v>
      </c>
      <c r="P143" s="231" t="str">
        <f t="shared" si="19"/>
        <v>Andrea Nina Eugster</v>
      </c>
      <c r="Q143" s="223" t="e">
        <f t="shared" si="20"/>
        <v>#REF!</v>
      </c>
      <c r="R143" s="223" t="str">
        <f t="shared" si="21"/>
        <v>Statoil</v>
      </c>
      <c r="S143" s="235"/>
      <c r="T143" s="235"/>
      <c r="U143" s="223"/>
      <c r="V143" s="223"/>
      <c r="W143" s="235"/>
      <c r="X143" s="223"/>
      <c r="Y143" s="235"/>
      <c r="Z143" s="223"/>
      <c r="AA143" s="223"/>
      <c r="AB143" s="158"/>
      <c r="AC143" s="158"/>
      <c r="AD143" s="158"/>
      <c r="AE143" s="158"/>
      <c r="AF143" s="158"/>
      <c r="AG143" s="223"/>
      <c r="AH143" s="223"/>
      <c r="AI143" s="223"/>
      <c r="AJ143" s="223"/>
      <c r="AK143" s="223"/>
      <c r="AL143" s="223"/>
      <c r="AM143" s="223" t="str">
        <f>"projects\"&amp;$A143&amp;"_sum1.pdf"</f>
        <v>projects\245_sum1.pdf</v>
      </c>
      <c r="AN143" s="223" t="str">
        <f>"projects\"&amp;$A143&amp;"_pres1.pdf"</f>
        <v>projects\245_pres1.pdf</v>
      </c>
      <c r="AO143" s="223"/>
      <c r="AP143" s="223"/>
      <c r="AQ143" s="223"/>
      <c r="AR143" s="223"/>
      <c r="AS143" s="223"/>
      <c r="AT143" s="223"/>
      <c r="AU143" s="223"/>
      <c r="AV143" s="223"/>
      <c r="AW143" s="223"/>
      <c r="AX143" s="223"/>
      <c r="AY143" s="223"/>
      <c r="AZ143" s="223"/>
      <c r="BA143" s="223"/>
      <c r="BB143" s="223"/>
      <c r="BC143" s="223"/>
      <c r="BD143" s="223"/>
      <c r="BE143" s="223"/>
      <c r="BF143" s="230" t="str">
        <f>IF(ISERROR(MATCH(N143,#REF!, 0)), "",  INDEX(#REF!, MATCH(N143,#REF!, 0)))</f>
        <v/>
      </c>
      <c r="BG143" s="223"/>
      <c r="BH143" s="223"/>
      <c r="BI143" s="223"/>
      <c r="BJ143" s="223"/>
      <c r="BK143" s="223"/>
      <c r="BL143" s="223"/>
      <c r="BM143" s="223"/>
      <c r="BN143" s="223"/>
      <c r="BO143" s="223"/>
      <c r="BP143" s="223"/>
      <c r="BQ143" s="167" t="s">
        <v>636</v>
      </c>
    </row>
    <row r="144" spans="1:69" s="167" customFormat="1" x14ac:dyDescent="0.35">
      <c r="A144" s="243">
        <v>244</v>
      </c>
      <c r="B144" s="142" t="s">
        <v>545</v>
      </c>
      <c r="C144" s="142" t="str">
        <f t="shared" si="18"/>
        <v>WindFloat Pacific Project</v>
      </c>
      <c r="D144" s="171">
        <v>15</v>
      </c>
      <c r="E144" s="171">
        <v>10</v>
      </c>
      <c r="F144" s="174">
        <f t="shared" si="16"/>
        <v>0.61458333333333304</v>
      </c>
      <c r="G144" s="173">
        <f t="shared" si="17"/>
        <v>0.63194444444444409</v>
      </c>
      <c r="H144" s="104">
        <v>42782</v>
      </c>
      <c r="I144" s="169" t="s">
        <v>658</v>
      </c>
      <c r="J144" s="265" t="s">
        <v>657</v>
      </c>
      <c r="K144" s="163" t="s">
        <v>672</v>
      </c>
      <c r="L144" s="163" t="s">
        <v>560</v>
      </c>
      <c r="M144" s="265" t="s">
        <v>544</v>
      </c>
      <c r="N144" s="265" t="s">
        <v>618</v>
      </c>
      <c r="O144" s="265" t="e">
        <f>INDEX(#REF!, MATCH($N144,#REF!, 0))</f>
        <v>#REF!</v>
      </c>
      <c r="P144" s="234" t="str">
        <f t="shared" si="19"/>
        <v>Kevin Banister</v>
      </c>
      <c r="Q144" s="223" t="e">
        <f t="shared" si="20"/>
        <v>#REF!</v>
      </c>
      <c r="R144" s="223" t="str">
        <f t="shared" si="21"/>
        <v>Principle Power, Inc.</v>
      </c>
      <c r="S144" s="235"/>
      <c r="T144" s="235"/>
      <c r="U144" s="223"/>
      <c r="V144" s="223"/>
      <c r="W144" s="235"/>
      <c r="X144" s="223"/>
      <c r="Y144" s="235"/>
      <c r="Z144" s="223"/>
      <c r="AA144" s="223"/>
      <c r="AB144" s="158"/>
      <c r="AC144" s="158"/>
      <c r="AD144" s="158"/>
      <c r="AE144" s="158"/>
      <c r="AF144" s="158"/>
      <c r="AG144" s="223"/>
      <c r="AH144" s="223"/>
      <c r="AI144" s="223"/>
      <c r="AJ144" s="223"/>
      <c r="AK144" s="223"/>
      <c r="AL144" s="223"/>
      <c r="AM144" s="223" t="str">
        <f>"projects\"&amp;$A144&amp;"_sum1.pdf"</f>
        <v>projects\244_sum1.pdf</v>
      </c>
      <c r="AN144" s="223" t="str">
        <f>"projects\"&amp;$A144&amp;"_pres1.pdf"</f>
        <v>projects\244_pres1.pdf</v>
      </c>
      <c r="AO144" s="223"/>
      <c r="AP144" s="223"/>
      <c r="AQ144" s="223"/>
      <c r="AR144" s="223"/>
      <c r="AS144" s="223"/>
      <c r="AT144" s="223"/>
      <c r="AU144" s="223"/>
      <c r="AV144" s="223"/>
      <c r="AW144" s="223"/>
      <c r="AX144" s="223"/>
      <c r="AY144" s="223"/>
      <c r="AZ144" s="223"/>
      <c r="BA144" s="223"/>
      <c r="BB144" s="223"/>
      <c r="BC144" s="223"/>
      <c r="BD144" s="223"/>
      <c r="BE144" s="223"/>
      <c r="BF144" s="230" t="str">
        <f>IF(ISERROR(MATCH(N144,#REF!, 0)), "",  INDEX(#REF!, MATCH(N144,#REF!, 0)))</f>
        <v/>
      </c>
      <c r="BG144" s="223"/>
      <c r="BH144" s="223"/>
      <c r="BI144" s="223"/>
      <c r="BJ144" s="223"/>
      <c r="BK144" s="223"/>
      <c r="BL144" s="223"/>
      <c r="BM144" s="223"/>
      <c r="BN144" s="223"/>
      <c r="BO144" s="223"/>
      <c r="BP144" s="223"/>
      <c r="BQ144" s="167" t="s">
        <v>636</v>
      </c>
    </row>
    <row r="145" spans="1:69" s="167" customFormat="1" ht="15" thickBot="1" x14ac:dyDescent="0.4">
      <c r="A145" s="240" t="s">
        <v>558</v>
      </c>
      <c r="B145" s="130" t="s">
        <v>520</v>
      </c>
      <c r="C145" s="130" t="str">
        <f t="shared" si="18"/>
        <v>BREAK</v>
      </c>
      <c r="D145" s="181">
        <v>15</v>
      </c>
      <c r="E145" s="181">
        <v>0</v>
      </c>
      <c r="F145" s="206">
        <f t="shared" si="16"/>
        <v>0.63194444444444409</v>
      </c>
      <c r="G145" s="207">
        <f t="shared" si="17"/>
        <v>0.64236111111111072</v>
      </c>
      <c r="H145" s="104">
        <v>42782</v>
      </c>
      <c r="I145" s="169" t="s">
        <v>580</v>
      </c>
      <c r="J145" s="208" t="s">
        <v>657</v>
      </c>
      <c r="K145" s="130" t="s">
        <v>560</v>
      </c>
      <c r="L145" s="130" t="s">
        <v>560</v>
      </c>
      <c r="M145" s="208" t="s">
        <v>560</v>
      </c>
      <c r="N145" s="208" t="s">
        <v>560</v>
      </c>
      <c r="O145" s="208" t="e">
        <f>INDEX(#REF!, MATCH($N145,#REF!, 0))</f>
        <v>#REF!</v>
      </c>
      <c r="P145" s="232" t="str">
        <f t="shared" si="19"/>
        <v>NULL</v>
      </c>
      <c r="Q145" s="223" t="e">
        <f t="shared" si="20"/>
        <v>#REF!</v>
      </c>
      <c r="R145" s="223" t="str">
        <f t="shared" si="21"/>
        <v>NULL</v>
      </c>
      <c r="S145" s="235"/>
      <c r="T145" s="235"/>
      <c r="U145" s="223"/>
      <c r="V145" s="223"/>
      <c r="W145" s="235"/>
      <c r="X145" s="223"/>
      <c r="Y145" s="235"/>
      <c r="Z145" s="223"/>
      <c r="AA145" s="223"/>
      <c r="AB145" s="158"/>
      <c r="AC145" s="158"/>
      <c r="AD145" s="158"/>
      <c r="AE145" s="158"/>
      <c r="AF145" s="158"/>
      <c r="AG145" s="223"/>
      <c r="AH145" s="223"/>
      <c r="AI145" s="223"/>
      <c r="AJ145" s="223"/>
      <c r="AK145" s="223"/>
      <c r="AL145" s="223"/>
      <c r="AM145" s="223"/>
      <c r="AN145" s="223"/>
      <c r="AO145" s="223"/>
      <c r="AP145" s="223"/>
      <c r="AQ145" s="223"/>
      <c r="AR145" s="223"/>
      <c r="AS145" s="223"/>
      <c r="AT145" s="223"/>
      <c r="AU145" s="223"/>
      <c r="AV145" s="223"/>
      <c r="AW145" s="223"/>
      <c r="AX145" s="223"/>
      <c r="AY145" s="223"/>
      <c r="AZ145" s="223"/>
      <c r="BA145" s="223"/>
      <c r="BB145" s="223"/>
      <c r="BC145" s="223"/>
      <c r="BD145" s="223"/>
      <c r="BE145" s="223"/>
      <c r="BF145" s="230" t="str">
        <f>IF(ISERROR(MATCH(N145,#REF!, 0)), "",  INDEX(#REF!, MATCH(N145,#REF!, 0)))</f>
        <v/>
      </c>
      <c r="BG145" s="223"/>
      <c r="BH145" s="223"/>
      <c r="BI145" s="223"/>
      <c r="BJ145" s="223"/>
      <c r="BK145" s="223"/>
      <c r="BL145" s="223"/>
      <c r="BM145" s="223"/>
      <c r="BN145" s="223"/>
      <c r="BO145" s="223"/>
      <c r="BP145" s="223"/>
      <c r="BQ145" s="167" t="s">
        <v>636</v>
      </c>
    </row>
    <row r="146" spans="1:69" s="167" customFormat="1" ht="15.5" thickTop="1" thickBot="1" x14ac:dyDescent="0.4">
      <c r="A146" s="240" t="s">
        <v>576</v>
      </c>
      <c r="B146" s="138" t="s">
        <v>673</v>
      </c>
      <c r="C146" s="139" t="str">
        <f t="shared" si="18"/>
        <v>Recap – Offshore Wind Unique RD&amp;T</v>
      </c>
      <c r="D146" s="171">
        <v>5</v>
      </c>
      <c r="E146" s="171">
        <v>0</v>
      </c>
      <c r="F146" s="174">
        <f t="shared" si="16"/>
        <v>0.64236111111111072</v>
      </c>
      <c r="G146" s="173">
        <f t="shared" si="17"/>
        <v>0.64583333333333293</v>
      </c>
      <c r="H146" s="104">
        <v>42782</v>
      </c>
      <c r="I146" s="169" t="s">
        <v>658</v>
      </c>
      <c r="J146" s="123" t="s">
        <v>657</v>
      </c>
      <c r="K146" s="143" t="s">
        <v>672</v>
      </c>
      <c r="L146" s="143" t="s">
        <v>560</v>
      </c>
      <c r="M146" s="123" t="s">
        <v>516</v>
      </c>
      <c r="N146" s="123" t="s">
        <v>450</v>
      </c>
      <c r="O146" s="122" t="e">
        <f>INDEX(#REF!, MATCH($N146,#REF!, 0))</f>
        <v>#REF!</v>
      </c>
      <c r="P146" s="124" t="str">
        <f t="shared" si="19"/>
        <v>Alana Duerr</v>
      </c>
      <c r="Q146" s="223" t="e">
        <f t="shared" si="20"/>
        <v>#REF!</v>
      </c>
      <c r="R146" s="223" t="str">
        <f t="shared" si="21"/>
        <v>DOE</v>
      </c>
      <c r="S146" s="235"/>
      <c r="T146" s="235"/>
      <c r="U146" s="223"/>
      <c r="V146" s="223"/>
      <c r="W146" s="235"/>
      <c r="X146" s="223"/>
      <c r="Y146" s="235"/>
      <c r="Z146" s="223"/>
      <c r="AA146" s="223"/>
      <c r="AB146" s="158"/>
      <c r="AC146" s="158"/>
      <c r="AD146" s="158"/>
      <c r="AE146" s="158"/>
      <c r="AF146" s="158"/>
      <c r="AG146" s="223"/>
      <c r="AH146" s="223"/>
      <c r="AI146" s="223"/>
      <c r="AJ146" s="223"/>
      <c r="AK146" s="223"/>
      <c r="AL146" s="223"/>
      <c r="AM146" s="223"/>
      <c r="AN146" s="223"/>
      <c r="AO146" s="223"/>
      <c r="AP146" s="223"/>
      <c r="AQ146" s="223"/>
      <c r="AR146" s="223"/>
      <c r="AS146" s="223"/>
      <c r="AT146" s="223"/>
      <c r="AU146" s="223"/>
      <c r="AV146" s="223"/>
      <c r="AW146" s="223"/>
      <c r="AX146" s="223"/>
      <c r="AY146" s="223"/>
      <c r="AZ146" s="223"/>
      <c r="BA146" s="223"/>
      <c r="BB146" s="223"/>
      <c r="BC146" s="223"/>
      <c r="BD146" s="223"/>
      <c r="BE146" s="223"/>
      <c r="BF146" s="230" t="str">
        <f>IF(ISERROR(MATCH(N146,#REF!, 0)), "",  INDEX(#REF!, MATCH(N146,#REF!, 0)))</f>
        <v/>
      </c>
      <c r="BG146" s="223"/>
      <c r="BH146" s="223"/>
      <c r="BI146" s="223"/>
      <c r="BJ146" s="223"/>
      <c r="BK146" s="223"/>
      <c r="BL146" s="223"/>
      <c r="BM146" s="223"/>
      <c r="BN146" s="223"/>
      <c r="BO146" s="223"/>
      <c r="BP146" s="223"/>
      <c r="BQ146" s="167" t="s">
        <v>636</v>
      </c>
    </row>
    <row r="147" spans="1:69" s="167" customFormat="1" x14ac:dyDescent="0.35">
      <c r="A147" s="243">
        <v>242</v>
      </c>
      <c r="B147" s="142" t="s">
        <v>756</v>
      </c>
      <c r="C147" s="142" t="str">
        <f t="shared" si="18"/>
        <v>Fishermen's Atlantic City Wind Farm</v>
      </c>
      <c r="D147" s="171">
        <v>15</v>
      </c>
      <c r="E147" s="171">
        <v>10</v>
      </c>
      <c r="F147" s="174">
        <f t="shared" si="16"/>
        <v>0.64583333333333293</v>
      </c>
      <c r="G147" s="173">
        <f t="shared" si="17"/>
        <v>0.66319444444444398</v>
      </c>
      <c r="H147" s="104">
        <v>42782</v>
      </c>
      <c r="I147" s="169" t="s">
        <v>658</v>
      </c>
      <c r="J147" s="265" t="s">
        <v>657</v>
      </c>
      <c r="K147" s="163" t="s">
        <v>672</v>
      </c>
      <c r="L147" s="163" t="s">
        <v>560</v>
      </c>
      <c r="M147" s="265" t="s">
        <v>596</v>
      </c>
      <c r="N147" s="265" t="s">
        <v>541</v>
      </c>
      <c r="O147" s="265" t="e">
        <f>INDEX(#REF!, MATCH($N147,#REF!, 0))</f>
        <v>#REF!</v>
      </c>
      <c r="P147" s="231" t="str">
        <f t="shared" si="19"/>
        <v>Chris Wissemann</v>
      </c>
      <c r="Q147" s="223" t="e">
        <f t="shared" si="20"/>
        <v>#REF!</v>
      </c>
      <c r="R147" s="223" t="str">
        <f t="shared" si="21"/>
        <v>Fishermen's Energy</v>
      </c>
      <c r="S147" s="235"/>
      <c r="T147" s="235"/>
      <c r="U147" s="223"/>
      <c r="V147" s="223"/>
      <c r="W147" s="235"/>
      <c r="X147" s="223"/>
      <c r="Y147" s="235"/>
      <c r="Z147" s="223"/>
      <c r="AA147" s="223"/>
      <c r="AB147" s="158"/>
      <c r="AC147" s="158"/>
      <c r="AD147" s="158"/>
      <c r="AE147" s="158"/>
      <c r="AF147" s="158"/>
      <c r="AG147" s="223"/>
      <c r="AH147" s="223"/>
      <c r="AI147" s="223"/>
      <c r="AJ147" s="223"/>
      <c r="AK147" s="223"/>
      <c r="AL147" s="223"/>
      <c r="AM147" s="223" t="str">
        <f>"projects\"&amp;$A147&amp;"_sum1.pdf"</f>
        <v>projects\242_sum1.pdf</v>
      </c>
      <c r="AN147" s="223" t="str">
        <f>"projects\"&amp;$A147&amp;"_pres1.pdf"</f>
        <v>projects\242_pres1.pdf</v>
      </c>
      <c r="AO147" s="223"/>
      <c r="AP147" s="223"/>
      <c r="AQ147" s="223"/>
      <c r="AR147" s="223"/>
      <c r="AS147" s="223"/>
      <c r="AT147" s="223"/>
      <c r="AU147" s="223"/>
      <c r="AV147" s="223"/>
      <c r="AW147" s="223"/>
      <c r="AX147" s="223"/>
      <c r="AY147" s="223"/>
      <c r="AZ147" s="223"/>
      <c r="BA147" s="223"/>
      <c r="BB147" s="223"/>
      <c r="BC147" s="223"/>
      <c r="BD147" s="223"/>
      <c r="BE147" s="223"/>
      <c r="BF147" s="230" t="str">
        <f>IF(ISERROR(MATCH(N147,#REF!, 0)), "",  INDEX(#REF!, MATCH(N147,#REF!, 0)))</f>
        <v/>
      </c>
      <c r="BG147" s="223"/>
      <c r="BH147" s="223"/>
      <c r="BI147" s="223"/>
      <c r="BJ147" s="223"/>
      <c r="BK147" s="223"/>
      <c r="BL147" s="223"/>
      <c r="BM147" s="223"/>
      <c r="BN147" s="223"/>
      <c r="BO147" s="223"/>
      <c r="BP147" s="223"/>
      <c r="BQ147" s="167" t="s">
        <v>636</v>
      </c>
    </row>
    <row r="148" spans="1:69" s="167" customFormat="1" x14ac:dyDescent="0.35">
      <c r="A148" s="243">
        <v>249</v>
      </c>
      <c r="B148" s="229" t="s">
        <v>542</v>
      </c>
      <c r="C148" s="229" t="str">
        <f t="shared" si="18"/>
        <v>Project Icebreaker</v>
      </c>
      <c r="D148" s="171">
        <v>15</v>
      </c>
      <c r="E148" s="171">
        <v>10</v>
      </c>
      <c r="F148" s="174">
        <f t="shared" si="16"/>
        <v>0.66319444444444398</v>
      </c>
      <c r="G148" s="173">
        <f t="shared" si="17"/>
        <v>0.68055555555555503</v>
      </c>
      <c r="H148" s="104">
        <v>42782</v>
      </c>
      <c r="I148" s="169" t="s">
        <v>658</v>
      </c>
      <c r="J148" s="265" t="s">
        <v>657</v>
      </c>
      <c r="K148" s="228" t="s">
        <v>672</v>
      </c>
      <c r="L148" s="228" t="s">
        <v>560</v>
      </c>
      <c r="M148" s="265" t="s">
        <v>543</v>
      </c>
      <c r="N148" s="265" t="s">
        <v>600</v>
      </c>
      <c r="O148" s="265" t="e">
        <f>INDEX(#REF!, MATCH($N148,#REF!, 0))</f>
        <v>#REF!</v>
      </c>
      <c r="P148" s="231" t="str">
        <f t="shared" si="19"/>
        <v>Dave Karpinski</v>
      </c>
      <c r="Q148" s="223" t="e">
        <f t="shared" si="20"/>
        <v>#REF!</v>
      </c>
      <c r="R148" s="223" t="str">
        <f t="shared" si="21"/>
        <v>Lake Erie Energy Development Corporation</v>
      </c>
      <c r="S148" s="235"/>
      <c r="T148" s="235"/>
      <c r="U148" s="223"/>
      <c r="V148" s="223"/>
      <c r="W148" s="235"/>
      <c r="X148" s="223"/>
      <c r="Y148" s="235"/>
      <c r="Z148" s="223"/>
      <c r="AA148" s="223"/>
      <c r="AB148" s="158"/>
      <c r="AC148" s="158"/>
      <c r="AD148" s="158"/>
      <c r="AE148" s="158"/>
      <c r="AF148" s="158"/>
      <c r="AG148" s="223"/>
      <c r="AH148" s="223"/>
      <c r="AI148" s="223"/>
      <c r="AJ148" s="223"/>
      <c r="AK148" s="223"/>
      <c r="AL148" s="223"/>
      <c r="AM148" s="223" t="str">
        <f>"projects\"&amp;$A148&amp;"_sum1.pdf"</f>
        <v>projects\249_sum1.pdf</v>
      </c>
      <c r="AN148" s="223" t="str">
        <f>"projects\"&amp;$A148&amp;"_pres1.pdf"</f>
        <v>projects\249_pres1.pdf</v>
      </c>
      <c r="AO148" s="223"/>
      <c r="AP148" s="223"/>
      <c r="AQ148" s="223"/>
      <c r="AR148" s="223"/>
      <c r="AS148" s="223"/>
      <c r="AT148" s="223"/>
      <c r="AU148" s="223"/>
      <c r="AV148" s="223"/>
      <c r="AW148" s="223"/>
      <c r="AX148" s="223"/>
      <c r="AY148" s="223"/>
      <c r="AZ148" s="223"/>
      <c r="BA148" s="223"/>
      <c r="BB148" s="223"/>
      <c r="BC148" s="223"/>
      <c r="BD148" s="223"/>
      <c r="BE148" s="223"/>
      <c r="BF148" s="230" t="str">
        <f>IF(ISERROR(MATCH(N148,#REF!, 0)), "",  INDEX(#REF!, MATCH(N148,#REF!, 0)))</f>
        <v/>
      </c>
      <c r="BG148" s="223"/>
      <c r="BH148" s="223"/>
      <c r="BI148" s="223"/>
      <c r="BJ148" s="223"/>
      <c r="BK148" s="223"/>
      <c r="BL148" s="223"/>
      <c r="BM148" s="223"/>
      <c r="BN148" s="223"/>
      <c r="BO148" s="223"/>
      <c r="BP148" s="223"/>
      <c r="BQ148" s="167" t="s">
        <v>636</v>
      </c>
    </row>
    <row r="149" spans="1:69" s="167" customFormat="1" x14ac:dyDescent="0.35">
      <c r="A149" s="240" t="s">
        <v>558</v>
      </c>
      <c r="B149" s="268" t="s">
        <v>674</v>
      </c>
      <c r="C149" s="268" t="str">
        <f t="shared" si="18"/>
        <v>Closing Thoughts-Chairperson  (Tech RD&amp;T and RC)</v>
      </c>
      <c r="D149" s="171">
        <v>15</v>
      </c>
      <c r="E149" s="171">
        <v>0</v>
      </c>
      <c r="F149" s="174">
        <f t="shared" si="16"/>
        <v>0.68055555555555503</v>
      </c>
      <c r="G149" s="173">
        <f t="shared" si="17"/>
        <v>0.69097222222222165</v>
      </c>
      <c r="H149" s="104">
        <v>42782</v>
      </c>
      <c r="I149" s="169" t="s">
        <v>658</v>
      </c>
      <c r="J149" s="269" t="s">
        <v>657</v>
      </c>
      <c r="K149" s="269" t="s">
        <v>560</v>
      </c>
      <c r="L149" s="269" t="s">
        <v>560</v>
      </c>
      <c r="M149" s="269" t="s">
        <v>572</v>
      </c>
      <c r="N149" s="269" t="s">
        <v>587</v>
      </c>
      <c r="O149" s="270" t="e">
        <f>INDEX(#REF!, MATCH($N149,#REF!, 0))</f>
        <v>#REF!</v>
      </c>
      <c r="P149" s="269" t="str">
        <f t="shared" si="19"/>
        <v>Sandy Butterfield</v>
      </c>
      <c r="Q149" s="223" t="e">
        <f t="shared" si="20"/>
        <v>#REF!</v>
      </c>
      <c r="R149" s="223" t="str">
        <f t="shared" si="21"/>
        <v>Chair</v>
      </c>
      <c r="S149" s="235"/>
      <c r="T149" s="235"/>
      <c r="U149" s="223"/>
      <c r="V149" s="223"/>
      <c r="W149" s="235"/>
      <c r="X149" s="223"/>
      <c r="Y149" s="235"/>
      <c r="Z149" s="223"/>
      <c r="AA149" s="223"/>
      <c r="AB149" s="158"/>
      <c r="AC149" s="158"/>
      <c r="AD149" s="158"/>
      <c r="AE149" s="158"/>
      <c r="AF149" s="158"/>
      <c r="AG149" s="223"/>
      <c r="AH149" s="223"/>
      <c r="AI149" s="223"/>
      <c r="AJ149" s="223"/>
      <c r="AK149" s="223"/>
      <c r="AL149" s="223"/>
      <c r="AM149" s="223"/>
      <c r="AN149" s="223"/>
      <c r="AO149" s="223"/>
      <c r="AP149" s="223"/>
      <c r="AQ149" s="223"/>
      <c r="AR149" s="223"/>
      <c r="AS149" s="223"/>
      <c r="AT149" s="223"/>
      <c r="AU149" s="223"/>
      <c r="AV149" s="223"/>
      <c r="AW149" s="223"/>
      <c r="AX149" s="223"/>
      <c r="AY149" s="223"/>
      <c r="AZ149" s="223"/>
      <c r="BA149" s="223"/>
      <c r="BB149" s="223"/>
      <c r="BC149" s="223"/>
      <c r="BD149" s="223"/>
      <c r="BE149" s="223"/>
      <c r="BF149" s="230" t="str">
        <f>IF(ISERROR(MATCH(N149,#REF!, 0)), "",  INDEX(#REF!, MATCH(N149,#REF!, 0)))</f>
        <v/>
      </c>
      <c r="BG149" s="223"/>
      <c r="BH149" s="223"/>
      <c r="BI149" s="223"/>
      <c r="BJ149" s="223"/>
      <c r="BK149" s="223"/>
      <c r="BL149" s="223"/>
      <c r="BM149" s="223"/>
      <c r="BN149" s="223"/>
      <c r="BO149" s="223"/>
      <c r="BP149" s="223"/>
      <c r="BQ149" s="167" t="s">
        <v>636</v>
      </c>
    </row>
    <row r="150" spans="1:69" s="167" customFormat="1" x14ac:dyDescent="0.35">
      <c r="A150" s="240" t="s">
        <v>558</v>
      </c>
      <c r="B150" s="271" t="s">
        <v>675</v>
      </c>
      <c r="C150" s="271" t="str">
        <f t="shared" si="18"/>
        <v>Closing Thoughts-Director (Tech RD&amp;T and RC)</v>
      </c>
      <c r="D150" s="171">
        <v>15</v>
      </c>
      <c r="E150" s="171">
        <v>0</v>
      </c>
      <c r="F150" s="174">
        <f t="shared" si="16"/>
        <v>0.69097222222222165</v>
      </c>
      <c r="G150" s="173">
        <f t="shared" si="17"/>
        <v>0.70138888888888828</v>
      </c>
      <c r="H150" s="104">
        <v>42782</v>
      </c>
      <c r="I150" s="169" t="s">
        <v>658</v>
      </c>
      <c r="J150" s="272" t="s">
        <v>657</v>
      </c>
      <c r="K150" s="272" t="s">
        <v>560</v>
      </c>
      <c r="L150" s="272" t="s">
        <v>560</v>
      </c>
      <c r="M150" s="272" t="s">
        <v>516</v>
      </c>
      <c r="N150" s="272" t="s">
        <v>517</v>
      </c>
      <c r="O150" s="273" t="e">
        <f>INDEX(#REF!, MATCH($N150,#REF!, 0))</f>
        <v>#REF!</v>
      </c>
      <c r="P150" s="272" t="str">
        <f t="shared" si="19"/>
        <v>Jose Zayas</v>
      </c>
      <c r="Q150" s="223" t="e">
        <f t="shared" si="20"/>
        <v>#REF!</v>
      </c>
      <c r="R150" s="223" t="str">
        <f t="shared" si="21"/>
        <v>DOE</v>
      </c>
      <c r="S150" s="235"/>
      <c r="T150" s="235"/>
      <c r="U150" s="223"/>
      <c r="V150" s="223"/>
      <c r="W150" s="235"/>
      <c r="X150" s="223"/>
      <c r="Y150" s="235"/>
      <c r="Z150" s="223"/>
      <c r="AA150" s="223"/>
      <c r="AB150" s="158"/>
      <c r="AC150" s="158"/>
      <c r="AD150" s="158"/>
      <c r="AE150" s="158"/>
      <c r="AF150" s="158"/>
      <c r="AG150" s="223"/>
      <c r="AH150" s="223"/>
      <c r="AI150" s="223"/>
      <c r="AJ150" s="223"/>
      <c r="AK150" s="223"/>
      <c r="AL150" s="223"/>
      <c r="AM150" s="223"/>
      <c r="AN150" s="223"/>
      <c r="AO150" s="223"/>
      <c r="AP150" s="223"/>
      <c r="AQ150" s="223"/>
      <c r="AR150" s="223"/>
      <c r="AS150" s="223"/>
      <c r="AT150" s="223"/>
      <c r="AU150" s="223"/>
      <c r="AV150" s="223"/>
      <c r="AW150" s="223"/>
      <c r="AX150" s="223"/>
      <c r="AY150" s="223"/>
      <c r="AZ150" s="223"/>
      <c r="BA150" s="223"/>
      <c r="BB150" s="223"/>
      <c r="BC150" s="223"/>
      <c r="BD150" s="223"/>
      <c r="BE150" s="223"/>
      <c r="BF150" s="230" t="str">
        <f>IF(ISERROR(MATCH(N150,#REF!, 0)), "",  INDEX(#REF!, MATCH(N150,#REF!, 0)))</f>
        <v/>
      </c>
      <c r="BG150" s="223"/>
      <c r="BH150" s="223"/>
      <c r="BI150" s="223"/>
      <c r="BJ150" s="223"/>
      <c r="BK150" s="223"/>
      <c r="BL150" s="223"/>
      <c r="BM150" s="223"/>
      <c r="BN150" s="223"/>
      <c r="BO150" s="223"/>
      <c r="BP150" s="223"/>
      <c r="BQ150" s="167" t="s">
        <v>636</v>
      </c>
    </row>
    <row r="151" spans="1:69" s="167" customFormat="1" x14ac:dyDescent="0.35">
      <c r="A151" s="246" t="s">
        <v>583</v>
      </c>
      <c r="B151" s="145" t="s">
        <v>574</v>
      </c>
      <c r="C151" s="145" t="str">
        <f t="shared" si="18"/>
        <v>Breakfast</v>
      </c>
      <c r="D151" s="171">
        <v>60</v>
      </c>
      <c r="E151" s="171">
        <v>0</v>
      </c>
      <c r="F151" s="172">
        <v>0.33333333333333331</v>
      </c>
      <c r="G151" s="173">
        <f t="shared" si="17"/>
        <v>0.375</v>
      </c>
      <c r="H151" s="104">
        <v>42783</v>
      </c>
      <c r="I151" s="169" t="s">
        <v>563</v>
      </c>
      <c r="J151" s="132" t="s">
        <v>657</v>
      </c>
      <c r="K151" s="144" t="s">
        <v>560</v>
      </c>
      <c r="L151" s="144" t="s">
        <v>560</v>
      </c>
      <c r="M151" s="132" t="s">
        <v>560</v>
      </c>
      <c r="N151" s="132" t="s">
        <v>560</v>
      </c>
      <c r="O151" s="214" t="e">
        <f>INDEX(#REF!, MATCH($N151,#REF!, 0))</f>
        <v>#REF!</v>
      </c>
      <c r="P151" s="126" t="str">
        <f t="shared" si="19"/>
        <v>NULL</v>
      </c>
      <c r="Q151" s="223" t="e">
        <f t="shared" si="20"/>
        <v>#REF!</v>
      </c>
      <c r="R151" s="223" t="str">
        <f t="shared" si="21"/>
        <v>NULL</v>
      </c>
      <c r="S151" s="235"/>
      <c r="T151" s="235"/>
      <c r="U151" s="223"/>
      <c r="V151" s="223"/>
      <c r="W151" s="235"/>
      <c r="X151" s="223"/>
      <c r="Y151" s="235"/>
      <c r="Z151" s="223"/>
      <c r="AA151" s="223"/>
      <c r="AB151" s="158"/>
      <c r="AC151" s="158"/>
      <c r="AD151" s="158"/>
      <c r="AE151" s="158"/>
      <c r="AF151" s="158"/>
      <c r="AG151" s="223"/>
      <c r="AH151" s="223"/>
      <c r="AI151" s="223"/>
      <c r="AJ151" s="223"/>
      <c r="AK151" s="223"/>
      <c r="AL151" s="223"/>
      <c r="AM151" s="223"/>
      <c r="AN151" s="223"/>
      <c r="AO151" s="223"/>
      <c r="AP151" s="223"/>
      <c r="AQ151" s="223"/>
      <c r="AR151" s="223"/>
      <c r="AS151" s="223"/>
      <c r="AT151" s="223"/>
      <c r="AU151" s="223"/>
      <c r="AV151" s="223"/>
      <c r="AW151" s="223"/>
      <c r="AX151" s="223"/>
      <c r="AY151" s="223"/>
      <c r="AZ151" s="223"/>
      <c r="BA151" s="223"/>
      <c r="BB151" s="223"/>
      <c r="BC151" s="223"/>
      <c r="BD151" s="223"/>
      <c r="BE151" s="223"/>
      <c r="BF151" s="230" t="str">
        <f>IF(ISERROR(MATCH(N151,#REF!, 0)), "",  INDEX(#REF!, MATCH(N151,#REF!, 0)))</f>
        <v/>
      </c>
      <c r="BG151" s="223"/>
      <c r="BH151" s="223"/>
      <c r="BI151" s="223"/>
      <c r="BJ151" s="223"/>
      <c r="BK151" s="223"/>
      <c r="BL151" s="223"/>
      <c r="BM151" s="223"/>
      <c r="BN151" s="223"/>
      <c r="BO151" s="223"/>
      <c r="BP151" s="223"/>
      <c r="BQ151" s="167" t="s">
        <v>636</v>
      </c>
    </row>
    <row r="152" spans="1:69" s="167" customFormat="1" x14ac:dyDescent="0.35">
      <c r="A152" s="240" t="s">
        <v>583</v>
      </c>
      <c r="B152" s="130" t="s">
        <v>520</v>
      </c>
      <c r="C152" s="130" t="str">
        <f t="shared" si="18"/>
        <v>BREAK</v>
      </c>
      <c r="D152" s="181">
        <v>15</v>
      </c>
      <c r="E152" s="181">
        <v>0</v>
      </c>
      <c r="F152" s="206">
        <f>G151</f>
        <v>0.375</v>
      </c>
      <c r="G152" s="207">
        <f t="shared" si="17"/>
        <v>0.38541666666666669</v>
      </c>
      <c r="H152" s="104">
        <v>42783</v>
      </c>
      <c r="I152" s="169" t="s">
        <v>580</v>
      </c>
      <c r="J152" s="208" t="s">
        <v>657</v>
      </c>
      <c r="K152" s="130" t="s">
        <v>560</v>
      </c>
      <c r="L152" s="130" t="s">
        <v>560</v>
      </c>
      <c r="M152" s="208" t="s">
        <v>560</v>
      </c>
      <c r="N152" s="208" t="s">
        <v>560</v>
      </c>
      <c r="O152" s="208" t="e">
        <f>INDEX(#REF!, MATCH($N152,#REF!, 0))</f>
        <v>#REF!</v>
      </c>
      <c r="P152" s="232" t="str">
        <f t="shared" si="19"/>
        <v>NULL</v>
      </c>
      <c r="Q152" s="223" t="e">
        <f t="shared" si="20"/>
        <v>#REF!</v>
      </c>
      <c r="R152" s="223" t="str">
        <f t="shared" si="21"/>
        <v>NULL</v>
      </c>
      <c r="S152" s="235"/>
      <c r="T152" s="235"/>
      <c r="U152" s="223"/>
      <c r="V152" s="223"/>
      <c r="W152" s="235"/>
      <c r="X152" s="223"/>
      <c r="Y152" s="235"/>
      <c r="Z152" s="223"/>
      <c r="AA152" s="223"/>
      <c r="AB152" s="158"/>
      <c r="AC152" s="158"/>
      <c r="AD152" s="158"/>
      <c r="AE152" s="158"/>
      <c r="AF152" s="158"/>
      <c r="AG152" s="223"/>
      <c r="AH152" s="223"/>
      <c r="AI152" s="223"/>
      <c r="AJ152" s="223"/>
      <c r="AK152" s="223"/>
      <c r="AL152" s="223"/>
      <c r="AM152" s="223"/>
      <c r="AN152" s="223"/>
      <c r="AO152" s="223"/>
      <c r="AP152" s="223"/>
      <c r="AQ152" s="223"/>
      <c r="AR152" s="223"/>
      <c r="AS152" s="223"/>
      <c r="AT152" s="223"/>
      <c r="AU152" s="223"/>
      <c r="AV152" s="223"/>
      <c r="AW152" s="223"/>
      <c r="AX152" s="223"/>
      <c r="AY152" s="223"/>
      <c r="AZ152" s="223"/>
      <c r="BA152" s="223"/>
      <c r="BB152" s="223"/>
      <c r="BC152" s="223"/>
      <c r="BD152" s="223"/>
      <c r="BE152" s="223"/>
      <c r="BF152" s="230" t="str">
        <f>IF(ISERROR(MATCH(N152,#REF!, 0)), "",  INDEX(#REF!, MATCH(N152,#REF!, 0)))</f>
        <v/>
      </c>
      <c r="BG152" s="223"/>
      <c r="BH152" s="223"/>
      <c r="BI152" s="223"/>
      <c r="BJ152" s="223"/>
      <c r="BK152" s="223"/>
      <c r="BL152" s="223"/>
      <c r="BM152" s="223"/>
      <c r="BN152" s="223"/>
      <c r="BO152" s="223"/>
      <c r="BP152" s="223"/>
      <c r="BQ152" s="167" t="s">
        <v>636</v>
      </c>
    </row>
    <row r="153" spans="1:69" s="167" customFormat="1" x14ac:dyDescent="0.35">
      <c r="A153" s="240" t="s">
        <v>583</v>
      </c>
      <c r="B153" s="274" t="s">
        <v>676</v>
      </c>
      <c r="C153" s="274" t="str">
        <f t="shared" si="18"/>
        <v>Tech RD&amp;T and RC Panel Debrief (closed session)</v>
      </c>
      <c r="D153" s="171">
        <v>60</v>
      </c>
      <c r="E153" s="171">
        <v>0</v>
      </c>
      <c r="F153" s="174">
        <f>G152</f>
        <v>0.38541666666666669</v>
      </c>
      <c r="G153" s="173">
        <f t="shared" si="17"/>
        <v>0.42708333333333337</v>
      </c>
      <c r="H153" s="104">
        <v>42783</v>
      </c>
      <c r="I153" s="169" t="s">
        <v>653</v>
      </c>
      <c r="J153" s="275" t="s">
        <v>657</v>
      </c>
      <c r="K153" s="275" t="s">
        <v>560</v>
      </c>
      <c r="L153" s="275" t="s">
        <v>560</v>
      </c>
      <c r="M153" s="275" t="s">
        <v>572</v>
      </c>
      <c r="N153" s="275" t="s">
        <v>587</v>
      </c>
      <c r="O153" s="276" t="e">
        <f>INDEX(#REF!, MATCH($N153,#REF!, 0))</f>
        <v>#REF!</v>
      </c>
      <c r="P153" s="275" t="str">
        <f t="shared" si="19"/>
        <v>Sandy Butterfield</v>
      </c>
      <c r="Q153" s="223" t="e">
        <f t="shared" si="20"/>
        <v>#REF!</v>
      </c>
      <c r="R153" s="223" t="str">
        <f t="shared" si="21"/>
        <v>Chair</v>
      </c>
      <c r="S153" s="235"/>
      <c r="T153" s="235"/>
      <c r="U153" s="223"/>
      <c r="V153" s="223"/>
      <c r="W153" s="235"/>
      <c r="X153" s="223"/>
      <c r="Y153" s="235"/>
      <c r="Z153" s="223"/>
      <c r="AA153" s="223"/>
      <c r="AB153" s="158"/>
      <c r="AC153" s="158"/>
      <c r="AD153" s="158"/>
      <c r="AE153" s="158"/>
      <c r="AF153" s="158"/>
      <c r="AG153" s="223"/>
      <c r="AH153" s="223"/>
      <c r="AI153" s="223"/>
      <c r="AJ153" s="223"/>
      <c r="AK153" s="223"/>
      <c r="AL153" s="223"/>
      <c r="AM153" s="223"/>
      <c r="AN153" s="223"/>
      <c r="AO153" s="223"/>
      <c r="AP153" s="223"/>
      <c r="AQ153" s="223"/>
      <c r="AR153" s="223"/>
      <c r="AS153" s="223"/>
      <c r="AT153" s="223"/>
      <c r="AU153" s="223"/>
      <c r="AV153" s="223"/>
      <c r="AW153" s="223"/>
      <c r="AX153" s="223"/>
      <c r="AY153" s="223"/>
      <c r="AZ153" s="223"/>
      <c r="BA153" s="223"/>
      <c r="BB153" s="223"/>
      <c r="BC153" s="223"/>
      <c r="BD153" s="223"/>
      <c r="BE153" s="223"/>
      <c r="BF153" s="230" t="str">
        <f>IF(ISERROR(MATCH(N153,#REF!, 0)), "",  INDEX(#REF!, MATCH(N153,#REF!, 0)))</f>
        <v/>
      </c>
      <c r="BG153" s="223"/>
      <c r="BH153" s="223"/>
      <c r="BI153" s="223"/>
      <c r="BJ153" s="223"/>
      <c r="BK153" s="223"/>
      <c r="BL153" s="223"/>
      <c r="BM153" s="223"/>
      <c r="BN153" s="223"/>
      <c r="BO153" s="223"/>
      <c r="BP153" s="223"/>
      <c r="BQ153" s="167" t="s">
        <v>636</v>
      </c>
    </row>
    <row r="154" spans="1:69" s="167" customFormat="1" x14ac:dyDescent="0.35">
      <c r="A154" s="240" t="s">
        <v>583</v>
      </c>
      <c r="B154" s="130" t="s">
        <v>520</v>
      </c>
      <c r="C154" s="130" t="str">
        <f t="shared" si="18"/>
        <v>BREAK</v>
      </c>
      <c r="D154" s="181">
        <v>15</v>
      </c>
      <c r="E154" s="181">
        <v>0</v>
      </c>
      <c r="F154" s="206">
        <f>G153</f>
        <v>0.42708333333333337</v>
      </c>
      <c r="G154" s="207">
        <f t="shared" si="17"/>
        <v>0.43750000000000006</v>
      </c>
      <c r="H154" s="104">
        <v>42783</v>
      </c>
      <c r="I154" s="169" t="s">
        <v>580</v>
      </c>
      <c r="J154" s="208" t="s">
        <v>657</v>
      </c>
      <c r="K154" s="130" t="s">
        <v>560</v>
      </c>
      <c r="L154" s="130" t="s">
        <v>560</v>
      </c>
      <c r="M154" s="208" t="s">
        <v>560</v>
      </c>
      <c r="N154" s="208" t="s">
        <v>560</v>
      </c>
      <c r="O154" s="208" t="e">
        <f>INDEX(#REF!, MATCH($N154,#REF!, 0))</f>
        <v>#REF!</v>
      </c>
      <c r="P154" s="232" t="str">
        <f t="shared" si="19"/>
        <v>NULL</v>
      </c>
      <c r="Q154" s="223" t="e">
        <f t="shared" si="20"/>
        <v>#REF!</v>
      </c>
      <c r="R154" s="223" t="str">
        <f t="shared" si="21"/>
        <v>NULL</v>
      </c>
      <c r="S154" s="235"/>
      <c r="T154" s="235"/>
      <c r="U154" s="223"/>
      <c r="V154" s="223"/>
      <c r="W154" s="235"/>
      <c r="X154" s="223"/>
      <c r="Y154" s="235"/>
      <c r="Z154" s="223"/>
      <c r="AA154" s="223"/>
      <c r="AB154" s="158"/>
      <c r="AC154" s="158"/>
      <c r="AD154" s="158"/>
      <c r="AE154" s="158"/>
      <c r="AF154" s="158"/>
      <c r="AG154" s="223"/>
      <c r="AH154" s="223"/>
      <c r="AI154" s="223"/>
      <c r="AJ154" s="223"/>
      <c r="AK154" s="223"/>
      <c r="AL154" s="223"/>
      <c r="AM154" s="223"/>
      <c r="AN154" s="223"/>
      <c r="AO154" s="223"/>
      <c r="AP154" s="223"/>
      <c r="AQ154" s="223"/>
      <c r="AR154" s="223"/>
      <c r="AS154" s="223"/>
      <c r="AT154" s="223"/>
      <c r="AU154" s="223"/>
      <c r="AV154" s="223"/>
      <c r="AW154" s="223"/>
      <c r="AX154" s="223"/>
      <c r="AY154" s="223"/>
      <c r="AZ154" s="223"/>
      <c r="BA154" s="223"/>
      <c r="BB154" s="223"/>
      <c r="BC154" s="223"/>
      <c r="BD154" s="223"/>
      <c r="BE154" s="223"/>
      <c r="BF154" s="230" t="str">
        <f>IF(ISERROR(MATCH(N154,#REF!, 0)), "",  INDEX(#REF!, MATCH(N154,#REF!, 0)))</f>
        <v/>
      </c>
      <c r="BG154" s="223"/>
      <c r="BH154" s="223"/>
      <c r="BI154" s="223"/>
      <c r="BJ154" s="223"/>
      <c r="BK154" s="223"/>
      <c r="BL154" s="223"/>
      <c r="BM154" s="223"/>
      <c r="BN154" s="223"/>
      <c r="BO154" s="223"/>
      <c r="BP154" s="223"/>
      <c r="BQ154" s="167" t="s">
        <v>636</v>
      </c>
    </row>
    <row r="155" spans="1:69" s="167" customFormat="1" x14ac:dyDescent="0.35">
      <c r="A155" s="240" t="s">
        <v>583</v>
      </c>
      <c r="B155" s="277" t="s">
        <v>677</v>
      </c>
      <c r="C155" s="277" t="str">
        <f t="shared" si="18"/>
        <v>Tech R&amp;T / DOE Debrief</v>
      </c>
      <c r="D155" s="171">
        <v>60</v>
      </c>
      <c r="E155" s="171">
        <v>0</v>
      </c>
      <c r="F155" s="174">
        <f>G154</f>
        <v>0.43750000000000006</v>
      </c>
      <c r="G155" s="173">
        <f t="shared" si="17"/>
        <v>0.47916666666666674</v>
      </c>
      <c r="H155" s="104">
        <v>42783</v>
      </c>
      <c r="I155" s="169" t="s">
        <v>581</v>
      </c>
      <c r="J155" s="132" t="s">
        <v>657</v>
      </c>
      <c r="K155" s="278" t="s">
        <v>560</v>
      </c>
      <c r="L155" s="278" t="s">
        <v>560</v>
      </c>
      <c r="M155" s="132" t="s">
        <v>572</v>
      </c>
      <c r="N155" s="132" t="s">
        <v>587</v>
      </c>
      <c r="O155" s="214" t="e">
        <f>INDEX(#REF!, MATCH($N155,#REF!, 0))</f>
        <v>#REF!</v>
      </c>
      <c r="P155" s="275" t="str">
        <f t="shared" si="19"/>
        <v>Sandy Butterfield</v>
      </c>
      <c r="Q155" s="223" t="e">
        <f t="shared" si="20"/>
        <v>#REF!</v>
      </c>
      <c r="R155" s="223" t="str">
        <f t="shared" si="21"/>
        <v>Chair</v>
      </c>
      <c r="S155" s="235"/>
      <c r="T155" s="235"/>
      <c r="U155" s="223"/>
      <c r="V155" s="223"/>
      <c r="W155" s="235"/>
      <c r="X155" s="223"/>
      <c r="Y155" s="235"/>
      <c r="Z155" s="223"/>
      <c r="AA155" s="223"/>
      <c r="AB155" s="158"/>
      <c r="AC155" s="158"/>
      <c r="AD155" s="158"/>
      <c r="AE155" s="158"/>
      <c r="AF155" s="158"/>
      <c r="AG155" s="223"/>
      <c r="AH155" s="223"/>
      <c r="AI155" s="223"/>
      <c r="AJ155" s="223"/>
      <c r="AK155" s="223"/>
      <c r="AL155" s="223"/>
      <c r="AM155" s="223"/>
      <c r="AN155" s="223"/>
      <c r="AO155" s="223"/>
      <c r="AP155" s="223"/>
      <c r="AQ155" s="223"/>
      <c r="AR155" s="223"/>
      <c r="AS155" s="223"/>
      <c r="AT155" s="223"/>
      <c r="AU155" s="223"/>
      <c r="AV155" s="223"/>
      <c r="AW155" s="223"/>
      <c r="AX155" s="223"/>
      <c r="AY155" s="223"/>
      <c r="AZ155" s="223"/>
      <c r="BA155" s="223"/>
      <c r="BB155" s="223"/>
      <c r="BC155" s="223"/>
      <c r="BD155" s="223"/>
      <c r="BE155" s="223"/>
      <c r="BF155" s="230" t="str">
        <f>IF(ISERROR(MATCH(N155,#REF!, 0)), "",  INDEX(#REF!, MATCH(N155,#REF!, 0)))</f>
        <v/>
      </c>
      <c r="BG155" s="223"/>
      <c r="BH155" s="223"/>
      <c r="BI155" s="223"/>
      <c r="BJ155" s="223"/>
      <c r="BK155" s="223"/>
      <c r="BL155" s="223"/>
      <c r="BM155" s="223"/>
      <c r="BN155" s="223"/>
      <c r="BO155" s="223"/>
      <c r="BP155" s="223"/>
      <c r="BQ155" s="167" t="s">
        <v>636</v>
      </c>
    </row>
    <row r="156" spans="1:69" s="167" customFormat="1" ht="15" thickBot="1" x14ac:dyDescent="0.4">
      <c r="A156" s="240" t="s">
        <v>583</v>
      </c>
      <c r="B156" s="245" t="s">
        <v>578</v>
      </c>
      <c r="C156" s="215" t="str">
        <f t="shared" si="18"/>
        <v>All Panels Debrief with ALL DOE (working lunch)</v>
      </c>
      <c r="D156" s="202">
        <v>60</v>
      </c>
      <c r="E156" s="171">
        <v>0</v>
      </c>
      <c r="F156" s="216">
        <f>G155</f>
        <v>0.47916666666666674</v>
      </c>
      <c r="G156" s="217">
        <f t="shared" si="17"/>
        <v>0.52083333333333337</v>
      </c>
      <c r="H156" s="104">
        <v>42783</v>
      </c>
      <c r="I156" s="169" t="s">
        <v>581</v>
      </c>
      <c r="J156" s="218" t="s">
        <v>657</v>
      </c>
      <c r="K156" s="219" t="s">
        <v>560</v>
      </c>
      <c r="L156" s="219" t="s">
        <v>560</v>
      </c>
      <c r="M156" s="218" t="s">
        <v>655</v>
      </c>
      <c r="N156" s="218" t="s">
        <v>656</v>
      </c>
      <c r="O156" s="220" t="e">
        <f>INDEX(#REF!, MATCH($N156,#REF!, 0))</f>
        <v>#REF!</v>
      </c>
      <c r="P156" s="233" t="str">
        <f t="shared" si="19"/>
        <v>Sandy Butterfield and Stu Webster</v>
      </c>
      <c r="Q156" s="223" t="e">
        <f t="shared" si="20"/>
        <v>#REF!</v>
      </c>
      <c r="R156" s="223" t="str">
        <f t="shared" si="21"/>
        <v>Chairs</v>
      </c>
      <c r="S156" s="235"/>
      <c r="T156" s="235"/>
      <c r="U156" s="223"/>
      <c r="V156" s="223"/>
      <c r="W156" s="235"/>
      <c r="X156" s="223"/>
      <c r="Y156" s="235"/>
      <c r="Z156" s="223"/>
      <c r="AA156" s="223"/>
      <c r="AB156" s="158"/>
      <c r="AC156" s="158"/>
      <c r="AD156" s="158"/>
      <c r="AE156" s="158"/>
      <c r="AF156" s="158"/>
      <c r="AG156" s="223"/>
      <c r="AH156" s="223"/>
      <c r="AI156" s="223"/>
      <c r="AJ156" s="223"/>
      <c r="AK156" s="223"/>
      <c r="AL156" s="223"/>
      <c r="AM156" s="223"/>
      <c r="AN156" s="223"/>
      <c r="AO156" s="223"/>
      <c r="AP156" s="223"/>
      <c r="AQ156" s="223"/>
      <c r="AR156" s="223"/>
      <c r="AS156" s="223"/>
      <c r="AT156" s="223"/>
      <c r="AU156" s="223"/>
      <c r="AV156" s="223"/>
      <c r="AW156" s="223"/>
      <c r="AX156" s="223"/>
      <c r="AY156" s="223"/>
      <c r="AZ156" s="223"/>
      <c r="BA156" s="223"/>
      <c r="BB156" s="223"/>
      <c r="BC156" s="223"/>
      <c r="BD156" s="223"/>
      <c r="BE156" s="223"/>
      <c r="BF156" s="230" t="str">
        <f>IF(ISERROR(MATCH(N156,#REF!, 0)), "",  INDEX(#REF!, MATCH(N156,#REF!, 0)))</f>
        <v/>
      </c>
      <c r="BG156" s="223"/>
      <c r="BH156" s="223"/>
      <c r="BI156" s="223"/>
      <c r="BJ156" s="223"/>
      <c r="BK156" s="223"/>
      <c r="BL156" s="223"/>
      <c r="BM156" s="223"/>
      <c r="BN156" s="223"/>
      <c r="BO156" s="223"/>
      <c r="BP156" s="223"/>
      <c r="BQ156" s="167" t="s">
        <v>636</v>
      </c>
    </row>
    <row r="157" spans="1:69" ht="15" thickTop="1" x14ac:dyDescent="0.35"/>
  </sheetData>
  <sheetProtection formatCells="0" formatColumns="0" formatRows="0" autoFilter="0"/>
  <autoFilter ref="A1:BQ156"/>
  <conditionalFormatting sqref="H30:I30">
    <cfRule type="containsText" dxfId="147" priority="1" operator="containsText" text="Sun">
      <formula>NOT(ISERROR(SEARCH("Sun",H30)))</formula>
    </cfRule>
    <cfRule type="containsText" dxfId="146" priority="2" operator="containsText" text="Sat">
      <formula>NOT(ISERROR(SEARCH("Sat",H30)))</formula>
    </cfRule>
    <cfRule type="cellIs" dxfId="145" priority="3" operator="equal">
      <formula>42783</formula>
    </cfRule>
    <cfRule type="cellIs" dxfId="144" priority="4" operator="equal">
      <formula>42782</formula>
    </cfRule>
    <cfRule type="cellIs" dxfId="143" priority="5" operator="equal">
      <formula>42781</formula>
    </cfRule>
    <cfRule type="cellIs" dxfId="142" priority="6" operator="equal">
      <formula>42780</formula>
    </cfRule>
    <cfRule type="cellIs" dxfId="141" priority="7" operator="equal">
      <formula>42779</formula>
    </cfRule>
  </conditionalFormatting>
  <conditionalFormatting sqref="H2:H156">
    <cfRule type="containsText" dxfId="140" priority="8" operator="containsText" text="Sun">
      <formula>NOT(ISERROR(SEARCH("Sun",H2)))</formula>
    </cfRule>
    <cfRule type="containsText" dxfId="139" priority="9" operator="containsText" text="Sat">
      <formula>NOT(ISERROR(SEARCH("Sat",H2)))</formula>
    </cfRule>
    <cfRule type="cellIs" dxfId="138" priority="10" operator="equal">
      <formula>42783</formula>
    </cfRule>
    <cfRule type="cellIs" dxfId="137" priority="11" operator="equal">
      <formula>42782</formula>
    </cfRule>
    <cfRule type="cellIs" dxfId="136" priority="12" operator="equal">
      <formula>42781</formula>
    </cfRule>
    <cfRule type="cellIs" dxfId="135" priority="13" operator="equal">
      <formula>42780</formula>
    </cfRule>
    <cfRule type="cellIs" dxfId="134" priority="14" operator="equal">
      <formula>42779</formula>
    </cfRule>
  </conditionalFormatting>
  <hyperlinks>
    <hyperlink ref="M74" r:id="rId1" display="kaos@ornl.gov"/>
    <hyperlink ref="M76" r:id="rId2" display="kaos@ornl.gov"/>
    <hyperlink ref="M84" r:id="rId3" display="smithbt@ornl.gov"/>
    <hyperlink ref="M87" r:id="rId4" display="smithbt@ornl.gov"/>
    <hyperlink ref="M88" r:id="rId5" display="simon.geerlofs@pnnl.gov"/>
    <hyperlink ref="M89" r:id="rId6" display="Koritarov@anl.gov"/>
    <hyperlink ref="M90" r:id="rId7" display="smithbt@ornl.gov"/>
    <hyperlink ref="M91" r:id="rId8" display="smithbt@ornl.gov"/>
    <hyperlink ref="M92" r:id="rId9" display="marshall.richmond@pnnl.gov"/>
    <hyperlink ref="M94" r:id="rId10" display="kaos@ornl.gov"/>
    <hyperlink ref="M95" r:id="rId11" display="sflake@smud.org"/>
    <hyperlink ref="M97" r:id="rId12" display="sda@percheronpower.com"/>
    <hyperlink ref="M98" r:id="rId13" display="naprasad@nmsu.edu"/>
    <hyperlink ref="M99" r:id="rId14" display="abe@natelenergy.com"/>
    <hyperlink ref="M100" r:id="rId15" display="abe@natelenergy.com"/>
    <hyperlink ref="M102" r:id="rId16" display="abe@natelenergy.com"/>
    <hyperlink ref="M103" r:id="rId17" display="henry@walkerwellington.com"/>
    <hyperlink ref="M104" r:id="rId18" display="csullivan@globalnearspace.com"/>
    <hyperlink ref="M106" r:id="rId19" display="wayne@hgenergy.com"/>
    <hyperlink ref="M107" r:id="rId20" display="softenergy@juno.com"/>
    <hyperlink ref="M108" r:id="rId21" display="zhangq1@ornl.gov"/>
    <hyperlink ref="M109" r:id="rId22" display="smithbt@ornl.gov"/>
    <hyperlink ref="M113" r:id="rId23" display="zhiqun.deng@pnnl.gov"/>
    <hyperlink ref="M114" r:id="rId24" display="gulli3@umn.edu"/>
    <hyperlink ref="M115" r:id="rId25" display="hadjeriouab@ornl.gov"/>
    <hyperlink ref="M118" r:id="rId26" display="bevelhimerms@ornl.gov"/>
    <hyperlink ref="M120" r:id="rId27" display="bevelhimerms@ornl.gov"/>
    <hyperlink ref="M124" r:id="rId28" display="uriamartiner@ornl.gov"/>
    <hyperlink ref="M126" r:id="rId29" display="Koritarov@anl.gov"/>
    <hyperlink ref="M127" r:id="rId30" display="eduard.muljadi@nrel.gov"/>
    <hyperlink ref="M129" r:id="rId31" display="sflake@smud.org"/>
    <hyperlink ref="M130" r:id="rId32" display="Koritarov@anl.gov"/>
    <hyperlink ref="M131" r:id="rId33" display="Erik.Ela@nrel.gov"/>
    <hyperlink ref="M119" r:id="rId34" display="simon.geerlofs@pnnl.gov"/>
    <hyperlink ref="O127" r:id="rId35" display="Erik.Ela@nrel.gov"/>
    <hyperlink ref="O5" r:id="rId36" display="Simon.Geerlofs@pnnl.gov"/>
    <hyperlink ref="O41" r:id="rId37" display="Simon.Geerlofs@pnnl.gov"/>
    <hyperlink ref="M80" r:id="rId38" display="mark.wigmosta@pnnl.gov"/>
    <hyperlink ref="M81" r:id="rId39" display="tslowry@sandia.gov"/>
    <hyperlink ref="BG12" r:id="rId40"/>
    <hyperlink ref="BH12" r:id="rId41"/>
    <hyperlink ref="BI12" r:id="rId42"/>
    <hyperlink ref="BJ12" r:id="rId43"/>
    <hyperlink ref="BK12" r:id="rId44"/>
    <hyperlink ref="BL12" r:id="rId45"/>
    <hyperlink ref="BO12" r:id="rId46"/>
    <hyperlink ref="BP12" r:id="rId47"/>
  </hyperlinks>
  <pageMargins left="0.25" right="0.25" top="0.27750000000000002" bottom="0.75" header="0.3" footer="0.3"/>
  <pageSetup paperSize="5" scale="15" fitToHeight="0" orientation="landscape" r:id="rId4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rgb="FFFFFF00"/>
  </sheetPr>
  <dimension ref="A1:V157"/>
  <sheetViews>
    <sheetView showGridLines="0" zoomScale="80" zoomScaleNormal="80" workbookViewId="0">
      <pane ySplit="2" topLeftCell="A73" activePane="bottomLeft" state="frozen"/>
      <selection activeCell="B5" sqref="B5"/>
      <selection pane="bottomLeft" activeCell="P89" sqref="P89"/>
    </sheetView>
  </sheetViews>
  <sheetFormatPr defaultColWidth="9.1796875" defaultRowHeight="14.5" x14ac:dyDescent="0.35"/>
  <cols>
    <col min="1" max="1" width="11.453125" style="57" customWidth="1"/>
    <col min="2" max="2" width="46.453125" style="61" customWidth="1"/>
    <col min="3" max="3" width="8.453125" style="301" hidden="1" customWidth="1"/>
    <col min="4" max="4" width="11" style="61" customWidth="1"/>
    <col min="5" max="5" width="13.453125" style="61" bestFit="1" customWidth="1"/>
    <col min="6" max="7" width="8.54296875" style="58" hidden="1" customWidth="1"/>
    <col min="8" max="8" width="12.7265625" style="58" hidden="1" customWidth="1"/>
    <col min="9" max="9" width="27.54296875" style="59" customWidth="1"/>
    <col min="10" max="12" width="7.7265625" style="58" customWidth="1"/>
    <col min="13" max="14" width="9.1796875" style="58" hidden="1" customWidth="1"/>
    <col min="15" max="15" width="37" style="307" customWidth="1"/>
    <col min="16" max="22" width="10.7265625" style="57" customWidth="1"/>
    <col min="23" max="16384" width="9.1796875" style="60"/>
  </cols>
  <sheetData>
    <row r="1" spans="1:22" s="402" customFormat="1" ht="18" x14ac:dyDescent="0.25">
      <c r="A1" s="403" t="s">
        <v>425</v>
      </c>
      <c r="B1" s="404" t="s">
        <v>791</v>
      </c>
      <c r="C1" s="394"/>
      <c r="D1" s="395"/>
      <c r="E1" s="395"/>
      <c r="F1" s="396"/>
      <c r="G1" s="396"/>
      <c r="H1" s="396"/>
      <c r="I1" s="397"/>
      <c r="J1" s="398" t="s">
        <v>347</v>
      </c>
      <c r="K1" s="399"/>
      <c r="L1" s="399"/>
      <c r="M1" s="399"/>
      <c r="N1" s="399"/>
      <c r="O1" s="400"/>
      <c r="P1" s="401"/>
      <c r="Q1" s="401"/>
      <c r="R1" s="401"/>
      <c r="S1" s="401"/>
      <c r="T1" s="401"/>
      <c r="U1" s="401"/>
      <c r="V1" s="401"/>
    </row>
    <row r="2" spans="1:22" s="402" customFormat="1" ht="15" x14ac:dyDescent="0.25">
      <c r="A2" s="405" t="s">
        <v>424</v>
      </c>
      <c r="B2" s="406" t="s">
        <v>345</v>
      </c>
      <c r="C2" s="407" t="s">
        <v>431</v>
      </c>
      <c r="D2" s="408" t="s">
        <v>437</v>
      </c>
      <c r="E2" s="406" t="s">
        <v>582</v>
      </c>
      <c r="F2" s="409" t="s">
        <v>349</v>
      </c>
      <c r="G2" s="409" t="s">
        <v>350</v>
      </c>
      <c r="H2" s="409" t="s">
        <v>348</v>
      </c>
      <c r="I2" s="410" t="s">
        <v>346</v>
      </c>
      <c r="J2" s="99" t="s">
        <v>774</v>
      </c>
      <c r="K2" s="411" t="s">
        <v>338</v>
      </c>
      <c r="L2" s="411" t="s">
        <v>339</v>
      </c>
      <c r="M2" s="411" t="s">
        <v>340</v>
      </c>
      <c r="N2" s="411" t="s">
        <v>341</v>
      </c>
      <c r="O2" s="412" t="s">
        <v>426</v>
      </c>
      <c r="P2" s="99" t="s">
        <v>766</v>
      </c>
      <c r="Q2" s="99" t="s">
        <v>767</v>
      </c>
      <c r="R2" s="99" t="s">
        <v>768</v>
      </c>
      <c r="S2" s="99" t="s">
        <v>769</v>
      </c>
      <c r="T2" s="99" t="s">
        <v>770</v>
      </c>
      <c r="U2" s="99" t="s">
        <v>771</v>
      </c>
      <c r="V2" s="99" t="s">
        <v>772</v>
      </c>
    </row>
    <row r="3" spans="1:22" s="59" customFormat="1" ht="15" hidden="1" customHeight="1" x14ac:dyDescent="0.25">
      <c r="A3" s="333" t="str">
        <f>ScheduleTBL!A2</f>
        <v>General</v>
      </c>
      <c r="B3" s="357" t="str">
        <f>ScheduleTBL!C2</f>
        <v>Travel and Check In</v>
      </c>
      <c r="C3" s="415">
        <f>ScheduleTBL!H2</f>
        <v>42779</v>
      </c>
      <c r="D3" s="358" t="str">
        <f>IF(ScheduleTBL!J2="NULL", "", ScheduleTBL!J2)</f>
        <v>MA&amp;D</v>
      </c>
      <c r="E3" s="359" t="str">
        <f>IF(ScheduleTBL!K2="NULL", "", ScheduleTBL!K2)</f>
        <v/>
      </c>
      <c r="F3" s="337">
        <f>ScheduleTBL!F2</f>
        <v>0.33333333333333331</v>
      </c>
      <c r="G3" s="295">
        <f>ScheduleTBL!G2</f>
        <v>0.70833333333333326</v>
      </c>
      <c r="H3" s="359" t="str">
        <f>IF(ScheduleTBL!I2="NULL", "", ScheduleTBL!I2)</f>
        <v/>
      </c>
      <c r="I3" s="360" t="str">
        <f>IF(ScheduleTBL!P2="NULL", "", ScheduleTBL!P2)&amp; IF(ScheduleTBL!R2="NULL", "", ", "&amp; ScheduleTBL!R2)</f>
        <v/>
      </c>
      <c r="J3" s="93" t="str">
        <f>IF(ISNUMBER(A3), HYPERLINK("#'"&amp; A3&amp; "'!C16", A3), "")</f>
        <v/>
      </c>
      <c r="K3" s="91" t="str">
        <f>IF(ScheduleTBL!AM2="","",HYPERLINK(ScheduleTBL!AM2,K$2))</f>
        <v/>
      </c>
      <c r="L3" s="91" t="str">
        <f>IF(ScheduleTBL!AN2="","",HYPERLINK(ScheduleTBL!AN2,L$2))</f>
        <v/>
      </c>
      <c r="M3" s="79"/>
      <c r="N3" s="79"/>
      <c r="O3" s="416"/>
      <c r="P3" s="317"/>
      <c r="Q3" s="317"/>
      <c r="R3" s="317"/>
      <c r="S3" s="317"/>
      <c r="T3" s="317"/>
      <c r="U3" s="317"/>
      <c r="V3" s="317"/>
    </row>
    <row r="4" spans="1:22" s="59" customFormat="1" ht="15.75" hidden="1" customHeight="1" thickBot="1" x14ac:dyDescent="0.3">
      <c r="A4" s="339" t="str">
        <f>ScheduleTBL!A3</f>
        <v>General</v>
      </c>
      <c r="B4" s="367" t="str">
        <f>ScheduleTBL!C3</f>
        <v>No-host Happy Hour at the Potomac Bar</v>
      </c>
      <c r="C4" s="414">
        <f>ScheduleTBL!H3</f>
        <v>42779</v>
      </c>
      <c r="D4" s="368" t="str">
        <f>IF(ScheduleTBL!J3="NULL", "", ScheduleTBL!J3)</f>
        <v>MA&amp;D</v>
      </c>
      <c r="E4" s="369" t="str">
        <f>IF(ScheduleTBL!K3="NULL", "", ScheduleTBL!K3)</f>
        <v/>
      </c>
      <c r="F4" s="352">
        <f>ScheduleTBL!F3</f>
        <v>0.70833333333333326</v>
      </c>
      <c r="G4" s="353">
        <f>ScheduleTBL!G3</f>
        <v>0.79166666666666663</v>
      </c>
      <c r="H4" s="369" t="str">
        <f>IF(ScheduleTBL!I3="NULL", "", ScheduleTBL!I3)</f>
        <v/>
      </c>
      <c r="I4" s="370" t="str">
        <f>IF(ScheduleTBL!P3="NULL", "", ScheduleTBL!P3)&amp; IF(ScheduleTBL!R3="NULL", "", ", "&amp; ScheduleTBL!R3)</f>
        <v/>
      </c>
      <c r="J4" s="345" t="str">
        <f>IF(ISNUMBER(A4), HYPERLINK("#'"&amp; A4&amp; "'!C16", A4), "")</f>
        <v/>
      </c>
      <c r="K4" s="345" t="str">
        <f>IF(ScheduleTBL!AM3="","",HYPERLINK(ScheduleTBL!AM3,K$2))</f>
        <v/>
      </c>
      <c r="L4" s="345" t="str">
        <f>IF(ScheduleTBL!AN3="","",HYPERLINK(ScheduleTBL!AN3,L$2))</f>
        <v/>
      </c>
      <c r="M4" s="78"/>
      <c r="N4" s="78"/>
      <c r="O4" s="306"/>
      <c r="P4" s="317"/>
      <c r="Q4" s="317"/>
      <c r="R4" s="317"/>
      <c r="S4" s="317"/>
      <c r="T4" s="317"/>
      <c r="U4" s="317"/>
      <c r="V4" s="317"/>
    </row>
    <row r="5" spans="1:22" s="59" customFormat="1" ht="15" hidden="1" customHeight="1" x14ac:dyDescent="0.25">
      <c r="A5" s="246" t="str">
        <f>ScheduleTBL!A4</f>
        <v>General</v>
      </c>
      <c r="B5" s="150" t="str">
        <f>ScheduleTBL!C4</f>
        <v>Joint Breakfast with Wind and Water Attendees</v>
      </c>
      <c r="C5" s="413">
        <f>ScheduleTBL!H4</f>
        <v>42780</v>
      </c>
      <c r="D5" s="324" t="str">
        <f>IF(ScheduleTBL!J4="NULL", "", ScheduleTBL!J4)</f>
        <v>MA&amp;D</v>
      </c>
      <c r="E5" s="150" t="str">
        <f>IF(ScheduleTBL!K4="NULL", "", ScheduleTBL!K4)</f>
        <v/>
      </c>
      <c r="F5" s="285">
        <f>ScheduleTBL!F4</f>
        <v>0.33333333333333331</v>
      </c>
      <c r="G5" s="286">
        <f>ScheduleTBL!G4</f>
        <v>0.36458333333333331</v>
      </c>
      <c r="H5" s="150" t="str">
        <f>IF(ScheduleTBL!I4="NULL", "", ScheduleTBL!I4)</f>
        <v>Commonwealth Ballroom</v>
      </c>
      <c r="I5" s="154" t="str">
        <f>IF(ScheduleTBL!P4="NULL", "", ScheduleTBL!P4)&amp; IF(ScheduleTBL!R4="NULL", "", ", "&amp; ScheduleTBL!R4)</f>
        <v/>
      </c>
      <c r="J5" s="78" t="str">
        <f t="shared" ref="J5:J12" si="0">IF(ISNUMBER(A5), HYPERLINK("#'"&amp; A5&amp; "'!C16", A5), "")</f>
        <v/>
      </c>
      <c r="K5" s="78" t="str">
        <f>IF(ScheduleTBL!AM4="","",HYPERLINK(ScheduleTBL!AM4,K$2))</f>
        <v/>
      </c>
      <c r="L5" s="78" t="str">
        <f>IF(ScheduleTBL!AN4="","",HYPERLINK(ScheduleTBL!AN4,L$2))</f>
        <v/>
      </c>
      <c r="M5" s="78"/>
      <c r="N5" s="78"/>
      <c r="O5" s="306"/>
      <c r="P5" s="304"/>
      <c r="Q5" s="58"/>
      <c r="R5" s="58"/>
      <c r="S5" s="58"/>
      <c r="T5" s="58"/>
      <c r="U5" s="58"/>
      <c r="V5" s="58"/>
    </row>
    <row r="6" spans="1:22" s="59" customFormat="1" ht="15" hidden="1" customHeight="1" x14ac:dyDescent="0.25">
      <c r="A6" s="240" t="str">
        <f>ScheduleTBL!A5</f>
        <v>General</v>
      </c>
      <c r="B6" s="142" t="str">
        <f>ScheduleTBL!C5</f>
        <v>Facilitator Welcome</v>
      </c>
      <c r="C6" s="413">
        <f>ScheduleTBL!H5</f>
        <v>42780</v>
      </c>
      <c r="D6" s="324" t="str">
        <f>IF(ScheduleTBL!J5="NULL", "", ScheduleTBL!J5)</f>
        <v>MA&amp;D</v>
      </c>
      <c r="E6" s="142" t="str">
        <f>IF(ScheduleTBL!K5="NULL", "", ScheduleTBL!K5)</f>
        <v/>
      </c>
      <c r="F6" s="287">
        <f>ScheduleTBL!F5</f>
        <v>0.36458333333333331</v>
      </c>
      <c r="G6" s="286">
        <f>ScheduleTBL!G5</f>
        <v>0.375</v>
      </c>
      <c r="H6" s="142" t="str">
        <f>IF(ScheduleTBL!I5="NULL", "", ScheduleTBL!I5)</f>
        <v>Commonwealth Ballroom</v>
      </c>
      <c r="I6" s="127" t="str">
        <f>IF(ScheduleTBL!P5="NULL", "", ScheduleTBL!P5)&amp; IF(ScheduleTBL!R5="NULL", "", ", "&amp; ScheduleTBL!R5)</f>
        <v>Alex Lemke, DOE</v>
      </c>
      <c r="J6" s="78" t="str">
        <f t="shared" si="0"/>
        <v/>
      </c>
      <c r="K6" s="78" t="str">
        <f>IF(ScheduleTBL!AM5="","",HYPERLINK(ScheduleTBL!AM5,K$2))</f>
        <v/>
      </c>
      <c r="L6" s="78" t="str">
        <f>IF(ScheduleTBL!AN5="","",HYPERLINK(ScheduleTBL!AN5,L$2))</f>
        <v/>
      </c>
      <c r="M6" s="78"/>
      <c r="N6" s="78"/>
      <c r="O6" s="306"/>
      <c r="P6" s="305"/>
      <c r="Q6" s="101"/>
      <c r="R6" s="101"/>
      <c r="S6" s="101"/>
      <c r="T6" s="101"/>
      <c r="U6" s="101"/>
      <c r="V6" s="101"/>
    </row>
    <row r="7" spans="1:22" s="59" customFormat="1" ht="15" hidden="1" customHeight="1" x14ac:dyDescent="0.25">
      <c r="A7" s="243" t="str">
        <f>ScheduleTBL!A6</f>
        <v>WPG16001</v>
      </c>
      <c r="B7" s="142" t="str">
        <f>ScheduleTBL!C6</f>
        <v>Wind Director Welcome</v>
      </c>
      <c r="C7" s="413">
        <f>ScheduleTBL!H6</f>
        <v>42780</v>
      </c>
      <c r="D7" s="324" t="str">
        <f>IF(ScheduleTBL!J6="NULL", "", ScheduleTBL!J6)</f>
        <v>MA&amp;D</v>
      </c>
      <c r="E7" s="142" t="str">
        <f>IF(ScheduleTBL!K6="NULL", "", ScheduleTBL!K6)</f>
        <v/>
      </c>
      <c r="F7" s="287">
        <f>ScheduleTBL!F6</f>
        <v>0.375</v>
      </c>
      <c r="G7" s="286">
        <f>ScheduleTBL!G6</f>
        <v>0.3923611111111111</v>
      </c>
      <c r="H7" s="142" t="str">
        <f>IF(ScheduleTBL!I6="NULL", "", ScheduleTBL!I6)</f>
        <v>Commonwealth Ballroom</v>
      </c>
      <c r="I7" s="127" t="str">
        <f>IF(ScheduleTBL!P6="NULL", "", ScheduleTBL!P6)&amp; IF(ScheduleTBL!R6="NULL", "", ", "&amp; ScheduleTBL!R6)</f>
        <v>Jose Zayas, DOE</v>
      </c>
      <c r="J7" s="78" t="str">
        <f t="shared" si="0"/>
        <v/>
      </c>
      <c r="K7" s="78" t="str">
        <f>IF(ScheduleTBL!AM6="","",HYPERLINK(ScheduleTBL!AM6,K$2))</f>
        <v/>
      </c>
      <c r="L7" s="78" t="str">
        <f>IF(ScheduleTBL!AN6="","",HYPERLINK(ScheduleTBL!AN6,L$2))</f>
        <v>Pres1</v>
      </c>
      <c r="M7" s="78"/>
      <c r="N7" s="78"/>
      <c r="O7" s="306"/>
      <c r="P7" s="55"/>
      <c r="Q7" s="55"/>
      <c r="R7" s="55"/>
      <c r="S7" s="55"/>
      <c r="T7" s="55"/>
      <c r="U7" s="55"/>
      <c r="V7" s="55"/>
    </row>
    <row r="8" spans="1:22" s="59" customFormat="1" ht="15" hidden="1" customHeight="1" x14ac:dyDescent="0.25">
      <c r="A8" s="243" t="str">
        <f>ScheduleTBL!A7</f>
        <v>HPG16001</v>
      </c>
      <c r="B8" s="142" t="str">
        <f>ScheduleTBL!C7</f>
        <v>Water Director Welcome</v>
      </c>
      <c r="C8" s="413">
        <f>ScheduleTBL!H7</f>
        <v>42780</v>
      </c>
      <c r="D8" s="324" t="str">
        <f>IF(ScheduleTBL!J7="NULL", "", ScheduleTBL!J7)</f>
        <v>MA&amp;D</v>
      </c>
      <c r="E8" s="142" t="str">
        <f>IF(ScheduleTBL!K7="NULL", "", ScheduleTBL!K7)</f>
        <v/>
      </c>
      <c r="F8" s="287">
        <f>ScheduleTBL!F7</f>
        <v>0.3923611111111111</v>
      </c>
      <c r="G8" s="286">
        <f>ScheduleTBL!G7</f>
        <v>0.40972222222222221</v>
      </c>
      <c r="H8" s="142" t="str">
        <f>IF(ScheduleTBL!I7="NULL", "", ScheduleTBL!I7)</f>
        <v>Commonwealth Ballroom</v>
      </c>
      <c r="I8" s="127" t="str">
        <f>IF(ScheduleTBL!P7="NULL", "", ScheduleTBL!P7)&amp; IF(ScheduleTBL!R7="NULL", "", ", "&amp; ScheduleTBL!R7)</f>
        <v>Alejandro Moreno, DOE</v>
      </c>
      <c r="J8" s="78" t="str">
        <f t="shared" si="0"/>
        <v/>
      </c>
      <c r="K8" s="78" t="str">
        <f>IF(ScheduleTBL!AM7="","",HYPERLINK(ScheduleTBL!AM7,K$2))</f>
        <v/>
      </c>
      <c r="L8" s="78" t="str">
        <f>IF(ScheduleTBL!AN7="","",HYPERLINK(ScheduleTBL!AN7,L$2))</f>
        <v>Pres1</v>
      </c>
      <c r="M8" s="78"/>
      <c r="N8" s="78"/>
      <c r="O8" s="306"/>
      <c r="P8" s="55"/>
      <c r="Q8" s="55"/>
      <c r="R8" s="55"/>
      <c r="S8" s="55"/>
      <c r="T8" s="55"/>
      <c r="U8" s="55"/>
      <c r="V8" s="55"/>
    </row>
    <row r="9" spans="1:22" s="59" customFormat="1" ht="15.75" hidden="1" customHeight="1" thickBot="1" x14ac:dyDescent="0.25">
      <c r="A9" s="240" t="str">
        <f>ScheduleTBL!A8</f>
        <v>General</v>
      </c>
      <c r="B9" s="117" t="str">
        <f>ScheduleTBL!C8</f>
        <v>TRANSITION</v>
      </c>
      <c r="C9" s="413">
        <f>ScheduleTBL!H8</f>
        <v>42780</v>
      </c>
      <c r="D9" s="117" t="str">
        <f>IF(ScheduleTBL!J8="NULL", "", ScheduleTBL!J8)</f>
        <v>MA&amp;D</v>
      </c>
      <c r="E9" s="117" t="str">
        <f>IF(ScheduleTBL!K8="NULL", "", ScheduleTBL!K8)</f>
        <v/>
      </c>
      <c r="F9" s="288">
        <f>ScheduleTBL!F8</f>
        <v>0.40972222222222221</v>
      </c>
      <c r="G9" s="289">
        <f>ScheduleTBL!G8</f>
        <v>0.41319444444444442</v>
      </c>
      <c r="H9" s="117" t="str">
        <f>IF(ScheduleTBL!I8="NULL", "", ScheduleTBL!I8)</f>
        <v/>
      </c>
      <c r="I9" s="117" t="str">
        <f>IF(ScheduleTBL!P8="NULL", "", ScheduleTBL!P8)&amp; IF(ScheduleTBL!R8="NULL", "", ", "&amp; ScheduleTBL!R8)</f>
        <v/>
      </c>
      <c r="J9" s="79" t="str">
        <f t="shared" si="0"/>
        <v/>
      </c>
      <c r="K9" s="78" t="str">
        <f>IF(ScheduleTBL!AM8="","",HYPERLINK(ScheduleTBL!AM8,K$2))</f>
        <v/>
      </c>
      <c r="L9" s="78" t="str">
        <f>IF(ScheduleTBL!AN8="","",HYPERLINK(ScheduleTBL!AN8,L$2))</f>
        <v/>
      </c>
      <c r="M9" s="79"/>
      <c r="N9" s="79"/>
      <c r="O9" s="416"/>
      <c r="P9" s="55"/>
      <c r="Q9" s="55"/>
      <c r="R9" s="55"/>
      <c r="S9" s="55"/>
      <c r="T9" s="55"/>
      <c r="U9" s="55"/>
      <c r="V9" s="55"/>
    </row>
    <row r="10" spans="1:22" s="59" customFormat="1" ht="16.5" hidden="1" customHeight="1" thickTop="1" thickBot="1" x14ac:dyDescent="0.3">
      <c r="A10" s="240" t="str">
        <f>ScheduleTBL!A9</f>
        <v>WPG16002</v>
      </c>
      <c r="B10" s="118" t="str">
        <f>ScheduleTBL!C9</f>
        <v>Program Lead Presentation</v>
      </c>
      <c r="C10" s="413">
        <f>ScheduleTBL!H9</f>
        <v>42780</v>
      </c>
      <c r="D10" s="118" t="str">
        <f>IF(ScheduleTBL!J9="NULL", "", ScheduleTBL!J9)</f>
        <v>MA&amp;D</v>
      </c>
      <c r="E10" s="118" t="str">
        <f>IF(ScheduleTBL!K9="NULL", "", ScheduleTBL!K9)</f>
        <v/>
      </c>
      <c r="F10" s="290">
        <f>ScheduleTBL!F9</f>
        <v>0.41319444444444442</v>
      </c>
      <c r="G10" s="291">
        <f>ScheduleTBL!G9</f>
        <v>0.4236111111111111</v>
      </c>
      <c r="H10" s="118" t="str">
        <f>IF(ScheduleTBL!I9="NULL", "", ScheduleTBL!I9)</f>
        <v>Cavalier C</v>
      </c>
      <c r="I10" s="118" t="str">
        <f>IF(ScheduleTBL!P9="NULL", "", ScheduleTBL!P9)&amp; IF(ScheduleTBL!R9="NULL", "", ", "&amp; ScheduleTBL!R9)</f>
        <v>Jocelyn Brown-Saracino, DOE</v>
      </c>
      <c r="J10" s="78" t="str">
        <f t="shared" si="0"/>
        <v/>
      </c>
      <c r="K10" s="78" t="str">
        <f>IF(ScheduleTBL!AM9="","",HYPERLINK(ScheduleTBL!AM9,K$2))</f>
        <v/>
      </c>
      <c r="L10" s="78" t="str">
        <f>IF(ScheduleTBL!AN9="","",HYPERLINK(ScheduleTBL!AN9,L$2))</f>
        <v>Pres1</v>
      </c>
      <c r="M10" s="78"/>
      <c r="N10" s="78"/>
      <c r="O10" s="306"/>
      <c r="P10" s="55"/>
      <c r="Q10" s="55"/>
      <c r="R10" s="55"/>
      <c r="S10" s="55"/>
      <c r="T10" s="55"/>
      <c r="U10" s="55"/>
      <c r="V10" s="55"/>
    </row>
    <row r="11" spans="1:22" s="59" customFormat="1" ht="16.5" hidden="1" customHeight="1" thickTop="1" thickBot="1" x14ac:dyDescent="0.25">
      <c r="A11" s="239" t="str">
        <f>ScheduleTBL!A10</f>
        <v>General</v>
      </c>
      <c r="B11" s="152" t="str">
        <f>ScheduleTBL!C10</f>
        <v>Chairperson Welcome and Intro to Panel</v>
      </c>
      <c r="C11" s="413">
        <f>ScheduleTBL!H10</f>
        <v>42780</v>
      </c>
      <c r="D11" s="323" t="str">
        <f>IF(ScheduleTBL!J10="NULL", "", ScheduleTBL!J10)</f>
        <v>MA&amp;D</v>
      </c>
      <c r="E11" s="152" t="str">
        <f>IF(ScheduleTBL!K10="NULL", "", ScheduleTBL!K10)</f>
        <v/>
      </c>
      <c r="F11" s="287">
        <f>ScheduleTBL!F10</f>
        <v>0.4236111111111111</v>
      </c>
      <c r="G11" s="286">
        <f>ScheduleTBL!G10</f>
        <v>0.43402777777777779</v>
      </c>
      <c r="H11" s="152" t="str">
        <f>IF(ScheduleTBL!I10="NULL", "", ScheduleTBL!I10)</f>
        <v>Cavalier C</v>
      </c>
      <c r="I11" s="149" t="str">
        <f>IF(ScheduleTBL!P10="NULL", "", ScheduleTBL!P10)&amp; IF(ScheduleTBL!R10="NULL", "", ", "&amp; ScheduleTBL!R10)</f>
        <v>Stu Webster, Chair</v>
      </c>
      <c r="J11" s="78" t="str">
        <f t="shared" si="0"/>
        <v/>
      </c>
      <c r="K11" s="78" t="str">
        <f>IF(ScheduleTBL!AM10="","",HYPERLINK(ScheduleTBL!AM10,K$2))</f>
        <v/>
      </c>
      <c r="L11" s="78" t="str">
        <f>IF(ScheduleTBL!AN10="","",HYPERLINK(ScheduleTBL!AN10,L$2))</f>
        <v/>
      </c>
      <c r="M11" s="78"/>
      <c r="N11" s="78"/>
      <c r="O11" s="306"/>
      <c r="P11" s="55"/>
      <c r="Q11" s="55"/>
      <c r="R11" s="55"/>
      <c r="S11" s="55"/>
      <c r="T11" s="55"/>
      <c r="U11" s="55"/>
      <c r="V11" s="55"/>
    </row>
    <row r="12" spans="1:22" s="59" customFormat="1" ht="16.5" hidden="1" customHeight="1" thickTop="1" thickBot="1" x14ac:dyDescent="0.3">
      <c r="A12" s="240" t="str">
        <f>ScheduleTBL!A11</f>
        <v>WPG16004</v>
      </c>
      <c r="B12" s="138" t="str">
        <f>ScheduleTBL!C11</f>
        <v>Overview of Analysis and Modeling</v>
      </c>
      <c r="C12" s="413">
        <f>ScheduleTBL!H11</f>
        <v>42780</v>
      </c>
      <c r="D12" s="143" t="str">
        <f>IF(ScheduleTBL!J11="NULL", "", ScheduleTBL!J11)</f>
        <v>MA&amp;D</v>
      </c>
      <c r="E12" s="143" t="str">
        <f>IF(ScheduleTBL!K11="NULL", "", ScheduleTBL!K11)</f>
        <v>Analysis</v>
      </c>
      <c r="F12" s="287">
        <f>ScheduleTBL!F11</f>
        <v>0.43402777777777779</v>
      </c>
      <c r="G12" s="286">
        <f>ScheduleTBL!G11</f>
        <v>0.44444444444444442</v>
      </c>
      <c r="H12" s="143" t="str">
        <f>IF(ScheduleTBL!I11="NULL", "", ScheduleTBL!I11)</f>
        <v>Cavalier C</v>
      </c>
      <c r="I12" s="123" t="str">
        <f>IF(ScheduleTBL!P11="NULL", "", ScheduleTBL!P11)&amp; IF(ScheduleTBL!R11="NULL", "", ", "&amp; ScheduleTBL!R11)</f>
        <v>Patrick Gilman, DOE</v>
      </c>
      <c r="J12" s="79" t="str">
        <f t="shared" si="0"/>
        <v/>
      </c>
      <c r="K12" s="78" t="str">
        <f>IF(ScheduleTBL!AM11="","",HYPERLINK(ScheduleTBL!AM11,K$2))</f>
        <v/>
      </c>
      <c r="L12" s="78" t="str">
        <f>IF(ScheduleTBL!AN11="","",HYPERLINK(ScheduleTBL!AN11,L$2))</f>
        <v>Pres1</v>
      </c>
      <c r="M12" s="79"/>
      <c r="N12" s="79"/>
      <c r="O12" s="416"/>
      <c r="P12" s="383" t="e">
        <f ca="1">AVERAGE(P13)</f>
        <v>#DIV/0!</v>
      </c>
      <c r="Q12" s="383" t="e">
        <f t="shared" ref="Q12:V12" ca="1" si="1">AVERAGE(Q13)</f>
        <v>#DIV/0!</v>
      </c>
      <c r="R12" s="383" t="e">
        <f t="shared" ca="1" si="1"/>
        <v>#DIV/0!</v>
      </c>
      <c r="S12" s="383" t="e">
        <f t="shared" ca="1" si="1"/>
        <v>#DIV/0!</v>
      </c>
      <c r="T12" s="383" t="e">
        <f t="shared" ca="1" si="1"/>
        <v>#DIV/0!</v>
      </c>
      <c r="U12" s="383" t="e">
        <f t="shared" ca="1" si="1"/>
        <v>#DIV/0!</v>
      </c>
      <c r="V12" s="383" t="e">
        <f t="shared" si="1"/>
        <v>#DIV/0!</v>
      </c>
    </row>
    <row r="13" spans="1:22" s="59" customFormat="1" ht="15" hidden="1" x14ac:dyDescent="0.25">
      <c r="A13" s="240">
        <f>ScheduleTBL!A12</f>
        <v>126</v>
      </c>
      <c r="B13" s="142" t="str">
        <f>ScheduleTBL!C12</f>
        <v>Cost of Energy, Policy Impact Analysis, and Market Report</v>
      </c>
      <c r="C13" s="413">
        <f>ScheduleTBL!H12</f>
        <v>42780</v>
      </c>
      <c r="D13" s="324" t="str">
        <f>IF(ScheduleTBL!J12="NULL", "", ScheduleTBL!J12)</f>
        <v>MA&amp;D</v>
      </c>
      <c r="E13" s="142" t="str">
        <f>IF(ScheduleTBL!K12="NULL", "", ScheduleTBL!K12)</f>
        <v>Analysis</v>
      </c>
      <c r="F13" s="287">
        <f>ScheduleTBL!F12</f>
        <v>0.44444444444444442</v>
      </c>
      <c r="G13" s="286">
        <f>ScheduleTBL!G12</f>
        <v>0.46180555555555552</v>
      </c>
      <c r="H13" s="142" t="str">
        <f>IF(ScheduleTBL!I12="NULL", "", ScheduleTBL!I12)</f>
        <v>Cavalier C</v>
      </c>
      <c r="I13" s="127" t="str">
        <f>IF(ScheduleTBL!P12="NULL", "", ScheduleTBL!P12)&amp; IF(ScheduleTBL!R12="NULL", "", ", "&amp; ScheduleTBL!R12)</f>
        <v>Ryan Wiser, LBNL</v>
      </c>
      <c r="J13" s="78">
        <f>IF(ISNUMBER(A13), HYPERLINK("#'"&amp; A13&amp; "'!C16", A13), "")</f>
        <v>126</v>
      </c>
      <c r="K13" s="78" t="str">
        <f>IF(ScheduleTBL!AM12="","",HYPERLINK(ScheduleTBL!AM12,K$2))</f>
        <v>Sum1</v>
      </c>
      <c r="L13" s="78" t="str">
        <f>IF(ScheduleTBL!AN12="","",HYPERLINK(ScheduleTBL!AN12,L$2))</f>
        <v>Pres1</v>
      </c>
      <c r="M13" s="78"/>
      <c r="N13" s="78"/>
      <c r="O13" s="306"/>
      <c r="P13" s="384" t="str">
        <f ca="1">IF(NOT(ISNUMBER($A13)), "", IF(ISERROR(INDEX(EvalDB!$I:$I, MATCH($A13, ScheduleTBL!$A:$A, 0))), "", INDEX(EvalDB!$I:$I, MATCH($A13, ScheduleTBL!$A:$A, 0))))</f>
        <v/>
      </c>
      <c r="Q13" s="235" t="str">
        <f ca="1">IF(NOT(ISNUMBER($A13)), "", IF(ISERROR(INDEX(EvalDB!$AB:$AB, MATCH($A13, ScheduleTBL!$A:$A, 0))), "", INDEX(EvalDB!$AB:$AB, MATCH($A13, ScheduleTBL!$A:$A, 0))))</f>
        <v/>
      </c>
      <c r="R13" s="235" t="str">
        <f ca="1">IF(NOT(ISNUMBER($A13)), "", IF(ISERROR(INDEX(EvalDB!$AU:$AU, MATCH($A13, ScheduleTBL!$A:$A, 0))), "", INDEX(EvalDB!$AU:$AU, MATCH($A13, ScheduleTBL!$A:$A, 0))))</f>
        <v/>
      </c>
      <c r="S13" s="235" t="str">
        <f ca="1">IF(NOT(ISNUMBER($A13)), "", IF(ISERROR(INDEX(EvalDB!$BN:$BN, MATCH($A13, ScheduleTBL!$A:$A, 0))), "", INDEX(EvalDB!$BN:$BN, MATCH($A13, ScheduleTBL!$A:$A, 0))))</f>
        <v/>
      </c>
      <c r="T13" s="235" t="str">
        <f ca="1">IF(NOT(ISNUMBER($A13)), "", IF(ISERROR(INDEX(EvalDB!$CG:$CG, MATCH($A13, ScheduleTBL!$A:$A, 0))), "", INDEX(EvalDB!$CG:$CG, MATCH($A13, ScheduleTBL!$A:$A, 0))))</f>
        <v/>
      </c>
      <c r="U13" s="235" t="str">
        <f ca="1">IF(NOT(ISNUMBER($A13)), "", IF(ISERROR(INDEX(EvalDB!$CZ:$CZ, MATCH($A13, ScheduleTBL!$A:$A, 0))), "", INDEX(EvalDB!$CZ:$CZ, MATCH($A13, ScheduleTBL!$A:$A, 0))))</f>
        <v/>
      </c>
      <c r="V13" s="235" t="str">
        <f>IF(NOT(ISNUMBER($A14)), "", AVERAGE(P13:U13))</f>
        <v/>
      </c>
    </row>
    <row r="14" spans="1:22" s="59" customFormat="1" ht="16.5" hidden="1" customHeight="1" thickTop="1" thickBot="1" x14ac:dyDescent="0.3">
      <c r="A14" s="240" t="str">
        <f>ScheduleTBL!A13</f>
        <v>WPG16005</v>
      </c>
      <c r="B14" s="138" t="str">
        <f>ScheduleTBL!C13</f>
        <v>Overview of Stakeholder Engagement</v>
      </c>
      <c r="C14" s="413">
        <f>ScheduleTBL!H13</f>
        <v>42780</v>
      </c>
      <c r="D14" s="143" t="str">
        <f>IF(ScheduleTBL!J13="NULL", "", ScheduleTBL!J13)</f>
        <v>MA&amp;D</v>
      </c>
      <c r="E14" s="143" t="str">
        <f>IF(ScheduleTBL!K13="NULL", "", ScheduleTBL!K13)</f>
        <v>Stakeholders</v>
      </c>
      <c r="F14" s="287">
        <f>ScheduleTBL!F13</f>
        <v>0.46180555555555552</v>
      </c>
      <c r="G14" s="326">
        <f>ScheduleTBL!G13</f>
        <v>0.47222222222222215</v>
      </c>
      <c r="H14" s="143" t="str">
        <f>IF(ScheduleTBL!I13="NULL", "", ScheduleTBL!I13)</f>
        <v>Cavalier C</v>
      </c>
      <c r="I14" s="123" t="str">
        <f>IF(ScheduleTBL!P13="NULL", "", ScheduleTBL!P13)&amp; IF(ScheduleTBL!R13="NULL", "", ", "&amp; ScheduleTBL!R13)</f>
        <v>Jocelyn Brown-Saracino, DOE</v>
      </c>
      <c r="J14" s="78" t="str">
        <f t="shared" ref="J14:J77" si="2">IF(ISNUMBER(A14), HYPERLINK("#'"&amp; A14&amp; "'!C16", A14), "")</f>
        <v/>
      </c>
      <c r="K14" s="78" t="str">
        <f>IF(ScheduleTBL!AM13="","",HYPERLINK(ScheduleTBL!AM13,K$2))</f>
        <v/>
      </c>
      <c r="L14" s="78" t="str">
        <f>IF(ScheduleTBL!AN13="","",HYPERLINK(ScheduleTBL!AN13,L$2))</f>
        <v>Pres1</v>
      </c>
      <c r="M14" s="78"/>
      <c r="N14" s="78"/>
      <c r="O14" s="306"/>
      <c r="P14" s="383" t="e">
        <f ca="1">AVERAGE(P15:P21)</f>
        <v>#DIV/0!</v>
      </c>
      <c r="Q14" s="383" t="e">
        <f t="shared" ref="Q14:V14" ca="1" si="3">AVERAGE(Q15:Q21)</f>
        <v>#DIV/0!</v>
      </c>
      <c r="R14" s="383" t="e">
        <f t="shared" ca="1" si="3"/>
        <v>#DIV/0!</v>
      </c>
      <c r="S14" s="383" t="e">
        <f t="shared" ca="1" si="3"/>
        <v>#DIV/0!</v>
      </c>
      <c r="T14" s="383" t="e">
        <f t="shared" ca="1" si="3"/>
        <v>#DIV/0!</v>
      </c>
      <c r="U14" s="383" t="e">
        <f t="shared" ca="1" si="3"/>
        <v>#DIV/0!</v>
      </c>
      <c r="V14" s="383" t="e">
        <f t="shared" ca="1" si="3"/>
        <v>#DIV/0!</v>
      </c>
    </row>
    <row r="15" spans="1:22" s="59" customFormat="1" ht="15" hidden="1" x14ac:dyDescent="0.25">
      <c r="A15" s="240">
        <f>ScheduleTBL!A14</f>
        <v>127</v>
      </c>
      <c r="B15" s="142" t="str">
        <f>ScheduleTBL!C14</f>
        <v>Public Acceptance Baseline Analysis</v>
      </c>
      <c r="C15" s="413">
        <f>ScheduleTBL!H14</f>
        <v>42780</v>
      </c>
      <c r="D15" s="324" t="str">
        <f>IF(ScheduleTBL!J14="NULL", "", ScheduleTBL!J14)</f>
        <v>MA&amp;D</v>
      </c>
      <c r="E15" s="142" t="str">
        <f>IF(ScheduleTBL!K14="NULL", "", ScheduleTBL!K14)</f>
        <v>Stakeholders</v>
      </c>
      <c r="F15" s="287">
        <f>ScheduleTBL!F14</f>
        <v>0.47222222222222215</v>
      </c>
      <c r="G15" s="286">
        <f>ScheduleTBL!G14</f>
        <v>0.48958333333333326</v>
      </c>
      <c r="H15" s="142" t="str">
        <f>IF(ScheduleTBL!I14="NULL", "", ScheduleTBL!I14)</f>
        <v>Cavalier C</v>
      </c>
      <c r="I15" s="127" t="str">
        <f>IF(ScheduleTBL!P14="NULL", "", ScheduleTBL!P14)&amp; IF(ScheduleTBL!R14="NULL", "", ", "&amp; ScheduleTBL!R14)</f>
        <v>Ben Hoen, LBNL</v>
      </c>
      <c r="J15" s="78">
        <f t="shared" si="2"/>
        <v>127</v>
      </c>
      <c r="K15" s="78" t="str">
        <f>IF(ScheduleTBL!AM14="","",HYPERLINK(ScheduleTBL!AM14,K$2))</f>
        <v>Sum1</v>
      </c>
      <c r="L15" s="78" t="str">
        <f>IF(ScheduleTBL!AN14="","",HYPERLINK(ScheduleTBL!AN14,L$2))</f>
        <v>Pres1</v>
      </c>
      <c r="M15" s="78"/>
      <c r="N15" s="78"/>
      <c r="O15" s="306"/>
      <c r="P15" s="384" t="str">
        <f ca="1">IF(NOT(ISNUMBER($A15)), "", IF(ISERROR(INDEX(EvalDB!$I:$I, MATCH($A15, ScheduleTBL!$A:$A, 0))), "", INDEX(EvalDB!$I:$I, MATCH($A15, ScheduleTBL!$A:$A, 0))))</f>
        <v/>
      </c>
      <c r="Q15" s="235" t="str">
        <f ca="1">IF(NOT(ISNUMBER($A15)), "", IF(ISERROR(INDEX(EvalDB!$AB:$AB, MATCH($A15, ScheduleTBL!$A:$A, 0))), "", INDEX(EvalDB!$AB:$AB, MATCH($A15, ScheduleTBL!$A:$A, 0))))</f>
        <v/>
      </c>
      <c r="R15" s="235" t="str">
        <f ca="1">IF(NOT(ISNUMBER($A15)), "", IF(ISERROR(INDEX(EvalDB!$AU:$AU, MATCH($A15, ScheduleTBL!$A:$A, 0))), "", INDEX(EvalDB!$AU:$AU, MATCH($A15, ScheduleTBL!$A:$A, 0))))</f>
        <v/>
      </c>
      <c r="S15" s="235" t="str">
        <f ca="1">IF(NOT(ISNUMBER($A15)), "", IF(ISERROR(INDEX(EvalDB!$BN:$BN, MATCH($A15, ScheduleTBL!$A:$A, 0))), "", INDEX(EvalDB!$BN:$BN, MATCH($A15, ScheduleTBL!$A:$A, 0))))</f>
        <v/>
      </c>
      <c r="T15" s="235" t="str">
        <f ca="1">IF(NOT(ISNUMBER($A15)), "", IF(ISERROR(INDEX(EvalDB!$CG:$CG, MATCH($A15, ScheduleTBL!$A:$A, 0))), "", INDEX(EvalDB!$CG:$CG, MATCH($A15, ScheduleTBL!$A:$A, 0))))</f>
        <v/>
      </c>
      <c r="U15" s="235" t="str">
        <f ca="1">IF(NOT(ISNUMBER($A15)), "", IF(ISERROR(INDEX(EvalDB!$CZ:$CZ, MATCH($A15, ScheduleTBL!$A:$A, 0))), "", INDEX(EvalDB!$CZ:$CZ, MATCH($A15, ScheduleTBL!$A:$A, 0))))</f>
        <v/>
      </c>
      <c r="V15" s="235" t="e">
        <f t="shared" ref="V15:V57" ca="1" si="4">IF(NOT(ISNUMBER($A16)), "", AVERAGE(P15:U15))</f>
        <v>#DIV/0!</v>
      </c>
    </row>
    <row r="16" spans="1:22" s="59" customFormat="1" ht="15" hidden="1" x14ac:dyDescent="0.25">
      <c r="A16" s="240">
        <f>ScheduleTBL!A15</f>
        <v>138</v>
      </c>
      <c r="B16" s="142" t="str">
        <f>ScheduleTBL!C15</f>
        <v>WindExchange and Regional Resource Centers</v>
      </c>
      <c r="C16" s="413">
        <f>ScheduleTBL!H15</f>
        <v>42780</v>
      </c>
      <c r="D16" s="324" t="str">
        <f>IF(ScheduleTBL!J15="NULL", "", ScheduleTBL!J15)</f>
        <v>MA&amp;D</v>
      </c>
      <c r="E16" s="142" t="str">
        <f>IF(ScheduleTBL!K15="NULL", "", ScheduleTBL!K15)</f>
        <v>Stakeholders</v>
      </c>
      <c r="F16" s="287">
        <f>ScheduleTBL!F15</f>
        <v>0.48958333333333326</v>
      </c>
      <c r="G16" s="286">
        <f>ScheduleTBL!G15</f>
        <v>0.51041666666666652</v>
      </c>
      <c r="H16" s="142" t="str">
        <f>IF(ScheduleTBL!I15="NULL", "", ScheduleTBL!I15)</f>
        <v>Cavalier C</v>
      </c>
      <c r="I16" s="127" t="str">
        <f>IF(ScheduleTBL!P15="NULL", "", ScheduleTBL!P15)&amp; IF(ScheduleTBL!R15="NULL", "", ", "&amp; ScheduleTBL!R15)</f>
        <v>Ian Baring-Gould, NREL</v>
      </c>
      <c r="J16" s="78">
        <f t="shared" si="2"/>
        <v>138</v>
      </c>
      <c r="K16" s="78" t="str">
        <f>IF(ScheduleTBL!AM15="","",HYPERLINK(ScheduleTBL!AM15,K$2))</f>
        <v>Sum1</v>
      </c>
      <c r="L16" s="78" t="str">
        <f>IF(ScheduleTBL!AN15="","",HYPERLINK(ScheduleTBL!AN15,L$2))</f>
        <v>Pres1</v>
      </c>
      <c r="M16" s="78"/>
      <c r="N16" s="78"/>
      <c r="O16" s="306"/>
      <c r="P16" s="384" t="str">
        <f ca="1">IF(NOT(ISNUMBER($A16)), "", IF(ISERROR(INDEX(EvalDB!$I:$I, MATCH($A16, ScheduleTBL!$A:$A, 0))), "", INDEX(EvalDB!$I:$I, MATCH($A16, ScheduleTBL!$A:$A, 0))))</f>
        <v/>
      </c>
      <c r="Q16" s="235" t="str">
        <f ca="1">IF(NOT(ISNUMBER($A16)), "", IF(ISERROR(INDEX(EvalDB!$AB:$AB, MATCH($A16, ScheduleTBL!$A:$A, 0))), "", INDEX(EvalDB!$AB:$AB, MATCH($A16, ScheduleTBL!$A:$A, 0))))</f>
        <v/>
      </c>
      <c r="R16" s="235" t="str">
        <f ca="1">IF(NOT(ISNUMBER($A16)), "", IF(ISERROR(INDEX(EvalDB!$AU:$AU, MATCH($A16, ScheduleTBL!$A:$A, 0))), "", INDEX(EvalDB!$AU:$AU, MATCH($A16, ScheduleTBL!$A:$A, 0))))</f>
        <v/>
      </c>
      <c r="S16" s="235" t="str">
        <f ca="1">IF(NOT(ISNUMBER($A16)), "", IF(ISERROR(INDEX(EvalDB!$BN:$BN, MATCH($A16, ScheduleTBL!$A:$A, 0))), "", INDEX(EvalDB!$BN:$BN, MATCH($A16, ScheduleTBL!$A:$A, 0))))</f>
        <v/>
      </c>
      <c r="T16" s="235" t="str">
        <f ca="1">IF(NOT(ISNUMBER($A16)), "", IF(ISERROR(INDEX(EvalDB!$CG:$CG, MATCH($A16, ScheduleTBL!$A:$A, 0))), "", INDEX(EvalDB!$CG:$CG, MATCH($A16, ScheduleTBL!$A:$A, 0))))</f>
        <v/>
      </c>
      <c r="U16" s="235" t="str">
        <f ca="1">IF(NOT(ISNUMBER($A16)), "", IF(ISERROR(INDEX(EvalDB!$CZ:$CZ, MATCH($A16, ScheduleTBL!$A:$A, 0))), "", INDEX(EvalDB!$CZ:$CZ, MATCH($A16, ScheduleTBL!$A:$A, 0))))</f>
        <v/>
      </c>
      <c r="V16" s="235" t="str">
        <f t="shared" si="4"/>
        <v/>
      </c>
    </row>
    <row r="17" spans="1:22" s="59" customFormat="1" ht="15.75" hidden="1" customHeight="1" thickBot="1" x14ac:dyDescent="0.25">
      <c r="A17" s="240" t="str">
        <f>ScheduleTBL!A16</f>
        <v>General</v>
      </c>
      <c r="B17" s="232" t="str">
        <f>ScheduleTBL!C16</f>
        <v>Reviewer Note Taking Time</v>
      </c>
      <c r="C17" s="413">
        <f>ScheduleTBL!H16</f>
        <v>42780</v>
      </c>
      <c r="D17" s="232" t="str">
        <f>IF(ScheduleTBL!J16="NULL", "", ScheduleTBL!J16)</f>
        <v>MA&amp;D</v>
      </c>
      <c r="E17" s="232" t="str">
        <f>IF(ScheduleTBL!K16="NULL", "", ScheduleTBL!K16)</f>
        <v>Stakeholders</v>
      </c>
      <c r="F17" s="292">
        <f>ScheduleTBL!F16</f>
        <v>0.51041666666666652</v>
      </c>
      <c r="G17" s="293">
        <f>ScheduleTBL!G16</f>
        <v>0.52083333333333315</v>
      </c>
      <c r="H17" s="232" t="str">
        <f>IF(ScheduleTBL!I16="NULL", "", ScheduleTBL!I16)</f>
        <v/>
      </c>
      <c r="I17" s="232" t="str">
        <f>IF(ScheduleTBL!P16="NULL", "", ScheduleTBL!P16)&amp; IF(ScheduleTBL!R16="NULL", "", ", "&amp; ScheduleTBL!R16)</f>
        <v/>
      </c>
      <c r="J17" s="78" t="str">
        <f t="shared" si="2"/>
        <v/>
      </c>
      <c r="K17" s="78" t="str">
        <f>IF(ScheduleTBL!AM16="","",HYPERLINK(ScheduleTBL!AM16,K$2))</f>
        <v/>
      </c>
      <c r="L17" s="78" t="str">
        <f>IF(ScheduleTBL!AN16="","",HYPERLINK(ScheduleTBL!AN16,L$2))</f>
        <v/>
      </c>
      <c r="M17" s="78"/>
      <c r="N17" s="78"/>
      <c r="O17" s="306"/>
      <c r="P17" s="318"/>
      <c r="Q17" s="318"/>
      <c r="R17" s="318"/>
      <c r="S17" s="318"/>
      <c r="T17" s="318"/>
      <c r="U17" s="318"/>
      <c r="V17" s="318"/>
    </row>
    <row r="18" spans="1:22" s="59" customFormat="1" ht="16.5" hidden="1" customHeight="1" thickTop="1" thickBot="1" x14ac:dyDescent="0.3">
      <c r="A18" s="239" t="str">
        <f>ScheduleTBL!A17</f>
        <v>General</v>
      </c>
      <c r="B18" s="376" t="str">
        <f>ScheduleTBL!C17</f>
        <v>LUNCH</v>
      </c>
      <c r="C18" s="413">
        <f>ScheduleTBL!H17</f>
        <v>42780</v>
      </c>
      <c r="D18" s="376" t="str">
        <f>IF(ScheduleTBL!J17="NULL", "", ScheduleTBL!J17)</f>
        <v>MA&amp;D</v>
      </c>
      <c r="E18" s="376" t="str">
        <f>IF(ScheduleTBL!K17="NULL", "", ScheduleTBL!K17)</f>
        <v>Stakeholders</v>
      </c>
      <c r="F18" s="377">
        <f>ScheduleTBL!F17</f>
        <v>0.52083333333333315</v>
      </c>
      <c r="G18" s="378">
        <f>ScheduleTBL!G17</f>
        <v>0.56249999999999978</v>
      </c>
      <c r="H18" s="376" t="str">
        <f>IF(ScheduleTBL!I17="NULL", "", ScheduleTBL!I17)</f>
        <v>Commonwealth Ballroom</v>
      </c>
      <c r="I18" s="376" t="str">
        <f>IF(ScheduleTBL!P17="NULL", "", ScheduleTBL!P17)&amp; IF(ScheduleTBL!R17="NULL", "", ", "&amp; ScheduleTBL!R17)</f>
        <v>Kristina Johnson, tbd</v>
      </c>
      <c r="J18" s="78" t="str">
        <f t="shared" si="2"/>
        <v/>
      </c>
      <c r="K18" s="78" t="str">
        <f>IF(ScheduleTBL!AM17="","",HYPERLINK(ScheduleTBL!AM17,K$2))</f>
        <v/>
      </c>
      <c r="L18" s="78" t="str">
        <f>IF(ScheduleTBL!AN17="","",HYPERLINK(ScheduleTBL!AN17,L$2))</f>
        <v/>
      </c>
      <c r="M18" s="78"/>
      <c r="N18" s="78"/>
      <c r="O18" s="306"/>
      <c r="P18" s="317"/>
      <c r="Q18" s="317"/>
      <c r="R18" s="317"/>
      <c r="S18" s="317"/>
      <c r="T18" s="317"/>
      <c r="U18" s="317"/>
      <c r="V18" s="317"/>
    </row>
    <row r="19" spans="1:22" s="59" customFormat="1" ht="16.5" hidden="1" customHeight="1" thickTop="1" thickBot="1" x14ac:dyDescent="0.3">
      <c r="A19" s="240" t="str">
        <f>ScheduleTBL!A18</f>
        <v>Recap</v>
      </c>
      <c r="B19" s="192" t="str">
        <f>ScheduleTBL!C18</f>
        <v>Recap – Stakeholder Engagement</v>
      </c>
      <c r="C19" s="413">
        <f>ScheduleTBL!H18</f>
        <v>42780</v>
      </c>
      <c r="D19" s="196" t="str">
        <f>IF(ScheduleTBL!J18="NULL", "", ScheduleTBL!J18)</f>
        <v>MA&amp;D</v>
      </c>
      <c r="E19" s="196" t="str">
        <f>IF(ScheduleTBL!K18="NULL", "", ScheduleTBL!K18)</f>
        <v>Stakeholders</v>
      </c>
      <c r="F19" s="294">
        <f>ScheduleTBL!F18</f>
        <v>0.56249999999999978</v>
      </c>
      <c r="G19" s="295">
        <f>ScheduleTBL!G18</f>
        <v>0.56597222222222199</v>
      </c>
      <c r="H19" s="196" t="str">
        <f>IF(ScheduleTBL!I18="NULL", "", ScheduleTBL!I18)</f>
        <v>Cavalier C</v>
      </c>
      <c r="I19" s="197" t="str">
        <f>IF(ScheduleTBL!P18="NULL", "", ScheduleTBL!P18)&amp; IF(ScheduleTBL!R18="NULL", "", ", "&amp; ScheduleTBL!R18)</f>
        <v>Jocelyn Brown-Saracino, DOE</v>
      </c>
      <c r="J19" s="78" t="str">
        <f t="shared" si="2"/>
        <v/>
      </c>
      <c r="K19" s="78" t="str">
        <f>IF(ScheduleTBL!AM18="","",HYPERLINK(ScheduleTBL!AM18,K$2))</f>
        <v/>
      </c>
      <c r="L19" s="78" t="str">
        <f>IF(ScheduleTBL!AN18="","",HYPERLINK(ScheduleTBL!AN18,L$2))</f>
        <v/>
      </c>
      <c r="M19" s="78"/>
      <c r="N19" s="78"/>
      <c r="O19" s="306"/>
      <c r="P19" s="330"/>
      <c r="Q19" s="330"/>
      <c r="R19" s="330"/>
      <c r="S19" s="330"/>
      <c r="T19" s="330"/>
      <c r="U19" s="330"/>
      <c r="V19" s="330"/>
    </row>
    <row r="20" spans="1:22" s="59" customFormat="1" ht="15" hidden="1" x14ac:dyDescent="0.25">
      <c r="A20" s="240">
        <f>ScheduleTBL!A19</f>
        <v>139</v>
      </c>
      <c r="B20" s="142" t="str">
        <f>ScheduleTBL!C19</f>
        <v>Collegiate Wind Competition (CWC)</v>
      </c>
      <c r="C20" s="413">
        <f>ScheduleTBL!H19</f>
        <v>42780</v>
      </c>
      <c r="D20" s="324" t="str">
        <f>IF(ScheduleTBL!J19="NULL", "", ScheduleTBL!J19)</f>
        <v>MA&amp;D</v>
      </c>
      <c r="E20" s="142" t="str">
        <f>IF(ScheduleTBL!K19="NULL", "", ScheduleTBL!K19)</f>
        <v>Stakeholders</v>
      </c>
      <c r="F20" s="287">
        <f>ScheduleTBL!F19</f>
        <v>0.56597222222222199</v>
      </c>
      <c r="G20" s="286">
        <f>ScheduleTBL!G19</f>
        <v>0.58333333333333304</v>
      </c>
      <c r="H20" s="142" t="str">
        <f>IF(ScheduleTBL!I19="NULL", "", ScheduleTBL!I19)</f>
        <v>Cavalier C</v>
      </c>
      <c r="I20" s="127" t="str">
        <f>IF(ScheduleTBL!P19="NULL", "", ScheduleTBL!P19)&amp; IF(ScheduleTBL!R19="NULL", "", ", "&amp; ScheduleTBL!R19)</f>
        <v>Suzanne Tegen, NREL</v>
      </c>
      <c r="J20" s="78">
        <f t="shared" si="2"/>
        <v>139</v>
      </c>
      <c r="K20" s="78" t="str">
        <f>IF(ScheduleTBL!AM19="","",HYPERLINK(ScheduleTBL!AM19,K$2))</f>
        <v>Sum1</v>
      </c>
      <c r="L20" s="78" t="str">
        <f>IF(ScheduleTBL!AN19="","",HYPERLINK(ScheduleTBL!AN19,L$2))</f>
        <v>Pres1</v>
      </c>
      <c r="M20" s="78"/>
      <c r="N20" s="78"/>
      <c r="O20" s="306"/>
      <c r="P20" s="385" t="str">
        <f ca="1">IF(NOT(ISNUMBER($A20)), "", IF(ISERROR(INDEX(EvalDB!$I:$I, MATCH($A20, ScheduleTBL!$A:$A, 0))), "", INDEX(EvalDB!$I:$I, MATCH($A20, ScheduleTBL!$A:$A, 0))))</f>
        <v/>
      </c>
      <c r="Q20" s="320" t="str">
        <f ca="1">IF(NOT(ISNUMBER($A20)), "", IF(ISERROR(INDEX(EvalDB!$AB:$AB, MATCH($A20, ScheduleTBL!$A:$A, 0))), "", INDEX(EvalDB!$AB:$AB, MATCH($A20, ScheduleTBL!$A:$A, 0))))</f>
        <v/>
      </c>
      <c r="R20" s="320" t="str">
        <f ca="1">IF(NOT(ISNUMBER($A20)), "", IF(ISERROR(INDEX(EvalDB!$AU:$AU, MATCH($A20, ScheduleTBL!$A:$A, 0))), "", INDEX(EvalDB!$AU:$AU, MATCH($A20, ScheduleTBL!$A:$A, 0))))</f>
        <v/>
      </c>
      <c r="S20" s="320" t="str">
        <f ca="1">IF(NOT(ISNUMBER($A20)), "", IF(ISERROR(INDEX(EvalDB!$BN:$BN, MATCH($A20, ScheduleTBL!$A:$A, 0))), "", INDEX(EvalDB!$BN:$BN, MATCH($A20, ScheduleTBL!$A:$A, 0))))</f>
        <v/>
      </c>
      <c r="T20" s="320" t="str">
        <f ca="1">IF(NOT(ISNUMBER($A20)), "", IF(ISERROR(INDEX(EvalDB!$CG:$CG, MATCH($A20, ScheduleTBL!$A:$A, 0))), "", INDEX(EvalDB!$CG:$CG, MATCH($A20, ScheduleTBL!$A:$A, 0))))</f>
        <v/>
      </c>
      <c r="U20" s="320" t="str">
        <f ca="1">IF(NOT(ISNUMBER($A20)), "", IF(ISERROR(INDEX(EvalDB!$CZ:$CZ, MATCH($A20, ScheduleTBL!$A:$A, 0))), "", INDEX(EvalDB!$CZ:$CZ, MATCH($A20, ScheduleTBL!$A:$A, 0))))</f>
        <v/>
      </c>
      <c r="V20" s="320" t="e">
        <f t="shared" ca="1" si="4"/>
        <v>#DIV/0!</v>
      </c>
    </row>
    <row r="21" spans="1:22" s="59" customFormat="1" ht="15" hidden="1" x14ac:dyDescent="0.25">
      <c r="A21" s="240">
        <f>ScheduleTBL!A20</f>
        <v>140</v>
      </c>
      <c r="B21" s="142" t="str">
        <f>ScheduleTBL!C20</f>
        <v>Wind for Schools</v>
      </c>
      <c r="C21" s="413">
        <f>ScheduleTBL!H20</f>
        <v>42780</v>
      </c>
      <c r="D21" s="324" t="str">
        <f>IF(ScheduleTBL!J20="NULL", "", ScheduleTBL!J20)</f>
        <v>MA&amp;D</v>
      </c>
      <c r="E21" s="142" t="str">
        <f>IF(ScheduleTBL!K20="NULL", "", ScheduleTBL!K20)</f>
        <v>Stakeholders</v>
      </c>
      <c r="F21" s="287">
        <f>ScheduleTBL!F20</f>
        <v>0.58333333333333304</v>
      </c>
      <c r="G21" s="286">
        <f>ScheduleTBL!G20</f>
        <v>0.60069444444444409</v>
      </c>
      <c r="H21" s="142" t="str">
        <f>IF(ScheduleTBL!I20="NULL", "", ScheduleTBL!I20)</f>
        <v>Cavalier C</v>
      </c>
      <c r="I21" s="127" t="str">
        <f>IF(ScheduleTBL!P20="NULL", "", ScheduleTBL!P20)&amp; IF(ScheduleTBL!R20="NULL", "", ", "&amp; ScheduleTBL!R20)</f>
        <v>Mark Jacobson, NREL</v>
      </c>
      <c r="J21" s="78">
        <f t="shared" si="2"/>
        <v>140</v>
      </c>
      <c r="K21" s="78" t="str">
        <f>IF(ScheduleTBL!AM20="","",HYPERLINK(ScheduleTBL!AM20,K$2))</f>
        <v>Sum1</v>
      </c>
      <c r="L21" s="78" t="str">
        <f>IF(ScheduleTBL!AN20="","",HYPERLINK(ScheduleTBL!AN20,L$2))</f>
        <v>Pres1</v>
      </c>
      <c r="M21" s="79"/>
      <c r="N21" s="79"/>
      <c r="O21" s="416"/>
      <c r="P21" s="384" t="str">
        <f ca="1">IF(NOT(ISNUMBER($A21)), "", IF(ISERROR(INDEX(EvalDB!$I:$I, MATCH($A21, ScheduleTBL!$A:$A, 0))), "", INDEX(EvalDB!$I:$I, MATCH($A21, ScheduleTBL!$A:$A, 0))))</f>
        <v/>
      </c>
      <c r="Q21" s="235" t="str">
        <f ca="1">IF(NOT(ISNUMBER($A21)), "", IF(ISERROR(INDEX(EvalDB!$AB:$AB, MATCH($A21, ScheduleTBL!$A:$A, 0))), "", INDEX(EvalDB!$AB:$AB, MATCH($A21, ScheduleTBL!$A:$A, 0))))</f>
        <v/>
      </c>
      <c r="R21" s="235" t="str">
        <f ca="1">IF(NOT(ISNUMBER($A21)), "", IF(ISERROR(INDEX(EvalDB!$AU:$AU, MATCH($A21, ScheduleTBL!$A:$A, 0))), "", INDEX(EvalDB!$AU:$AU, MATCH($A21, ScheduleTBL!$A:$A, 0))))</f>
        <v/>
      </c>
      <c r="S21" s="235" t="str">
        <f ca="1">IF(NOT(ISNUMBER($A21)), "", IF(ISERROR(INDEX(EvalDB!$BN:$BN, MATCH($A21, ScheduleTBL!$A:$A, 0))), "", INDEX(EvalDB!$BN:$BN, MATCH($A21, ScheduleTBL!$A:$A, 0))))</f>
        <v/>
      </c>
      <c r="T21" s="235" t="str">
        <f ca="1">IF(NOT(ISNUMBER($A21)), "", IF(ISERROR(INDEX(EvalDB!$CG:$CG, MATCH($A21, ScheduleTBL!$A:$A, 0))), "", INDEX(EvalDB!$CG:$CG, MATCH($A21, ScheduleTBL!$A:$A, 0))))</f>
        <v/>
      </c>
      <c r="U21" s="235" t="str">
        <f ca="1">IF(NOT(ISNUMBER($A21)), "", IF(ISERROR(INDEX(EvalDB!$CZ:$CZ, MATCH($A21, ScheduleTBL!$A:$A, 0))), "", INDEX(EvalDB!$CZ:$CZ, MATCH($A21, ScheduleTBL!$A:$A, 0))))</f>
        <v/>
      </c>
      <c r="V21" s="235" t="str">
        <f t="shared" si="4"/>
        <v/>
      </c>
    </row>
    <row r="22" spans="1:22" s="59" customFormat="1" ht="16.5" hidden="1" customHeight="1" thickTop="1" thickBot="1" x14ac:dyDescent="0.3">
      <c r="A22" s="240" t="str">
        <f>ScheduleTBL!A21</f>
        <v>WPG16006</v>
      </c>
      <c r="B22" s="138" t="str">
        <f>ScheduleTBL!C21</f>
        <v>Overview of Grid Systems Planning and Operation</v>
      </c>
      <c r="C22" s="413">
        <f>ScheduleTBL!H21</f>
        <v>42780</v>
      </c>
      <c r="D22" s="143" t="str">
        <f>IF(ScheduleTBL!J21="NULL", "", ScheduleTBL!J21)</f>
        <v>MA&amp;D</v>
      </c>
      <c r="E22" s="143" t="str">
        <f>IF(ScheduleTBL!K21="NULL", "", ScheduleTBL!K21)</f>
        <v>Grid</v>
      </c>
      <c r="F22" s="287">
        <f>ScheduleTBL!F21</f>
        <v>0.60069444444444409</v>
      </c>
      <c r="G22" s="286">
        <f>ScheduleTBL!G21</f>
        <v>0.61111111111111072</v>
      </c>
      <c r="H22" s="143" t="str">
        <f>IF(ScheduleTBL!I21="NULL", "", ScheduleTBL!I21)</f>
        <v>Cavalier C</v>
      </c>
      <c r="I22" s="123" t="str">
        <f>IF(ScheduleTBL!P21="NULL", "", ScheduleTBL!P21)&amp; IF(ScheduleTBL!R21="NULL", "", ", "&amp; ScheduleTBL!R21)</f>
        <v>Charlton Clark, DOE</v>
      </c>
      <c r="J22" s="79" t="str">
        <f t="shared" si="2"/>
        <v/>
      </c>
      <c r="K22" s="78" t="str">
        <f>IF(ScheduleTBL!AM21="","",HYPERLINK(ScheduleTBL!AM21,K$2))</f>
        <v/>
      </c>
      <c r="L22" s="78" t="str">
        <f>IF(ScheduleTBL!AN21="","",HYPERLINK(ScheduleTBL!AN21,L$2))</f>
        <v>Pres1</v>
      </c>
      <c r="M22" s="79"/>
      <c r="N22" s="79"/>
      <c r="O22" s="416"/>
      <c r="P22" s="383">
        <f ca="1">AVERAGE(P23:P39)</f>
        <v>4</v>
      </c>
      <c r="Q22" s="383">
        <f t="shared" ref="Q22:V22" ca="1" si="5">AVERAGE(Q23:Q39)</f>
        <v>4.333333333333333</v>
      </c>
      <c r="R22" s="383">
        <f t="shared" ca="1" si="5"/>
        <v>4.166666666666667</v>
      </c>
      <c r="S22" s="383">
        <f t="shared" ca="1" si="5"/>
        <v>3.6666666666666665</v>
      </c>
      <c r="T22" s="383">
        <f t="shared" ca="1" si="5"/>
        <v>4.166666666666667</v>
      </c>
      <c r="U22" s="383">
        <f t="shared" ca="1" si="5"/>
        <v>3.6</v>
      </c>
      <c r="V22" s="383" t="e">
        <f t="shared" ca="1" si="5"/>
        <v>#DIV/0!</v>
      </c>
    </row>
    <row r="23" spans="1:22" s="59" customFormat="1" ht="15" hidden="1" x14ac:dyDescent="0.25">
      <c r="A23" s="240">
        <f>ScheduleTBL!A22</f>
        <v>131</v>
      </c>
      <c r="B23" s="142" t="str">
        <f>ScheduleTBL!C22</f>
        <v>Wind Integration Studies (ERGIS and WWSIS 3)</v>
      </c>
      <c r="C23" s="413">
        <f>ScheduleTBL!H22</f>
        <v>42780</v>
      </c>
      <c r="D23" s="324" t="str">
        <f>IF(ScheduleTBL!J22="NULL", "", ScheduleTBL!J22)</f>
        <v>MA&amp;D</v>
      </c>
      <c r="E23" s="142" t="str">
        <f>IF(ScheduleTBL!K22="NULL", "", ScheduleTBL!K22)</f>
        <v>Grid</v>
      </c>
      <c r="F23" s="287">
        <f>ScheduleTBL!F22</f>
        <v>0.61111111111111072</v>
      </c>
      <c r="G23" s="286">
        <f>ScheduleTBL!G22</f>
        <v>0.63888888888888851</v>
      </c>
      <c r="H23" s="142" t="str">
        <f>IF(ScheduleTBL!I22="NULL", "", ScheduleTBL!I22)</f>
        <v>Cavalier C</v>
      </c>
      <c r="I23" s="127" t="str">
        <f>IF(ScheduleTBL!P22="NULL", "", ScheduleTBL!P22)&amp; IF(ScheduleTBL!R22="NULL", "", ", "&amp; ScheduleTBL!R22)</f>
        <v>Aaron Bloom, NREL</v>
      </c>
      <c r="J23" s="78">
        <f t="shared" si="2"/>
        <v>131</v>
      </c>
      <c r="K23" s="78" t="str">
        <f>IF(ScheduleTBL!AM22="","",HYPERLINK(ScheduleTBL!AM22,K$2))</f>
        <v>Sum1</v>
      </c>
      <c r="L23" s="78" t="str">
        <f>IF(ScheduleTBL!AN22="","",HYPERLINK(ScheduleTBL!AN22,L$2))</f>
        <v>Pres1</v>
      </c>
      <c r="M23" s="78"/>
      <c r="N23" s="78"/>
      <c r="O23" s="306"/>
      <c r="P23" s="384" t="str">
        <f ca="1">IF(NOT(ISNUMBER($A23)), "", IF(ISERROR(INDEX(EvalDB!$I:$I, MATCH($A23, ScheduleTBL!$A:$A, 0))), "", INDEX(EvalDB!$I:$I, MATCH($A23, ScheduleTBL!$A:$A, 0))))</f>
        <v/>
      </c>
      <c r="Q23" s="235" t="str">
        <f ca="1">IF(NOT(ISNUMBER($A23)), "", IF(ISERROR(INDEX(EvalDB!$AB:$AB, MATCH($A23, ScheduleTBL!$A:$A, 0))), "", INDEX(EvalDB!$AB:$AB, MATCH($A23, ScheduleTBL!$A:$A, 0))))</f>
        <v/>
      </c>
      <c r="R23" s="235" t="str">
        <f ca="1">IF(NOT(ISNUMBER($A23)), "", IF(ISERROR(INDEX(EvalDB!$AU:$AU, MATCH($A23, ScheduleTBL!$A:$A, 0))), "", INDEX(EvalDB!$AU:$AU, MATCH($A23, ScheduleTBL!$A:$A, 0))))</f>
        <v/>
      </c>
      <c r="S23" s="235" t="str">
        <f ca="1">IF(NOT(ISNUMBER($A23)), "", IF(ISERROR(INDEX(EvalDB!$BN:$BN, MATCH($A23, ScheduleTBL!$A:$A, 0))), "", INDEX(EvalDB!$BN:$BN, MATCH($A23, ScheduleTBL!$A:$A, 0))))</f>
        <v/>
      </c>
      <c r="T23" s="235" t="str">
        <f ca="1">IF(NOT(ISNUMBER($A23)), "", IF(ISERROR(INDEX(EvalDB!$CG:$CG, MATCH($A23, ScheduleTBL!$A:$A, 0))), "", INDEX(EvalDB!$CG:$CG, MATCH($A23, ScheduleTBL!$A:$A, 0))))</f>
        <v/>
      </c>
      <c r="U23" s="235" t="str">
        <f ca="1">IF(NOT(ISNUMBER($A23)), "", IF(ISERROR(INDEX(EvalDB!$CZ:$CZ, MATCH($A23, ScheduleTBL!$A:$A, 0))), "", INDEX(EvalDB!$CZ:$CZ, MATCH($A23, ScheduleTBL!$A:$A, 0))))</f>
        <v/>
      </c>
      <c r="V23" s="235" t="e">
        <f t="shared" ca="1" si="4"/>
        <v>#DIV/0!</v>
      </c>
    </row>
    <row r="24" spans="1:22" s="59" customFormat="1" ht="15" hidden="1" x14ac:dyDescent="0.25">
      <c r="A24" s="240">
        <f>ScheduleTBL!A23</f>
        <v>144</v>
      </c>
      <c r="B24" s="142" t="str">
        <f>ScheduleTBL!C23</f>
        <v>Wind Generator Modeling</v>
      </c>
      <c r="C24" s="413">
        <f>ScheduleTBL!H23</f>
        <v>42780</v>
      </c>
      <c r="D24" s="324" t="str">
        <f>IF(ScheduleTBL!J23="NULL", "", ScheduleTBL!J23)</f>
        <v>MA&amp;D</v>
      </c>
      <c r="E24" s="142" t="str">
        <f>IF(ScheduleTBL!K23="NULL", "", ScheduleTBL!K23)</f>
        <v>Grid</v>
      </c>
      <c r="F24" s="287">
        <f>ScheduleTBL!F23</f>
        <v>0.63888888888888851</v>
      </c>
      <c r="G24" s="286">
        <f>ScheduleTBL!G23</f>
        <v>0.65277777777777735</v>
      </c>
      <c r="H24" s="142" t="str">
        <f>IF(ScheduleTBL!I23="NULL", "", ScheduleTBL!I23)</f>
        <v>Cavalier C</v>
      </c>
      <c r="I24" s="127" t="str">
        <f>IF(ScheduleTBL!P23="NULL", "", ScheduleTBL!P23)&amp; IF(ScheduleTBL!R23="NULL", "", ", "&amp; ScheduleTBL!R23)</f>
        <v>Ben Karlson, SNL</v>
      </c>
      <c r="J24" s="78">
        <f t="shared" si="2"/>
        <v>144</v>
      </c>
      <c r="K24" s="78" t="str">
        <f>IF(ScheduleTBL!AM23="","",HYPERLINK(ScheduleTBL!AM23,K$2))</f>
        <v>Sum1</v>
      </c>
      <c r="L24" s="78" t="str">
        <f>IF(ScheduleTBL!AN23="","",HYPERLINK(ScheduleTBL!AN23,L$2))</f>
        <v>Pres1</v>
      </c>
      <c r="M24" s="78"/>
      <c r="N24" s="78"/>
      <c r="O24" s="306"/>
      <c r="P24" s="384" t="str">
        <f ca="1">IF(NOT(ISNUMBER($A24)), "", IF(ISERROR(INDEX(EvalDB!$I:$I, MATCH($A24, ScheduleTBL!$A:$A, 0))), "", INDEX(EvalDB!$I:$I, MATCH($A24, ScheduleTBL!$A:$A, 0))))</f>
        <v/>
      </c>
      <c r="Q24" s="235" t="str">
        <f ca="1">IF(NOT(ISNUMBER($A24)), "", IF(ISERROR(INDEX(EvalDB!$AB:$AB, MATCH($A24, ScheduleTBL!$A:$A, 0))), "", INDEX(EvalDB!$AB:$AB, MATCH($A24, ScheduleTBL!$A:$A, 0))))</f>
        <v/>
      </c>
      <c r="R24" s="235" t="str">
        <f ca="1">IF(NOT(ISNUMBER($A24)), "", IF(ISERROR(INDEX(EvalDB!$AU:$AU, MATCH($A24, ScheduleTBL!$A:$A, 0))), "", INDEX(EvalDB!$AU:$AU, MATCH($A24, ScheduleTBL!$A:$A, 0))))</f>
        <v/>
      </c>
      <c r="S24" s="235" t="str">
        <f ca="1">IF(NOT(ISNUMBER($A24)), "", IF(ISERROR(INDEX(EvalDB!$BN:$BN, MATCH($A24, ScheduleTBL!$A:$A, 0))), "", INDEX(EvalDB!$BN:$BN, MATCH($A24, ScheduleTBL!$A:$A, 0))))</f>
        <v/>
      </c>
      <c r="T24" s="235" t="str">
        <f ca="1">IF(NOT(ISNUMBER($A24)), "", IF(ISERROR(INDEX(EvalDB!$CG:$CG, MATCH($A24, ScheduleTBL!$A:$A, 0))), "", INDEX(EvalDB!$CG:$CG, MATCH($A24, ScheduleTBL!$A:$A, 0))))</f>
        <v/>
      </c>
      <c r="U24" s="235" t="str">
        <f ca="1">IF(NOT(ISNUMBER($A24)), "", IF(ISERROR(INDEX(EvalDB!$CZ:$CZ, MATCH($A24, ScheduleTBL!$A:$A, 0))), "", INDEX(EvalDB!$CZ:$CZ, MATCH($A24, ScheduleTBL!$A:$A, 0))))</f>
        <v/>
      </c>
      <c r="V24" s="235" t="e">
        <f t="shared" ca="1" si="4"/>
        <v>#DIV/0!</v>
      </c>
    </row>
    <row r="25" spans="1:22" s="59" customFormat="1" ht="15" hidden="1" x14ac:dyDescent="0.25">
      <c r="A25" s="240">
        <f>ScheduleTBL!A24</f>
        <v>124</v>
      </c>
      <c r="B25" s="142" t="str">
        <f>ScheduleTBL!C24</f>
        <v>Stochastic Tool Evaluation</v>
      </c>
      <c r="C25" s="413">
        <f>ScheduleTBL!H24</f>
        <v>42780</v>
      </c>
      <c r="D25" s="324" t="str">
        <f>IF(ScheduleTBL!J24="NULL", "", ScheduleTBL!J24)</f>
        <v>MA&amp;D</v>
      </c>
      <c r="E25" s="142" t="str">
        <f>IF(ScheduleTBL!K24="NULL", "", ScheduleTBL!K24)</f>
        <v>Grid</v>
      </c>
      <c r="F25" s="287">
        <f>ScheduleTBL!F24</f>
        <v>0.65277777777777735</v>
      </c>
      <c r="G25" s="286">
        <f>ScheduleTBL!G24</f>
        <v>0.66666666666666619</v>
      </c>
      <c r="H25" s="142" t="str">
        <f>IF(ScheduleTBL!I24="NULL", "", ScheduleTBL!I24)</f>
        <v>Cavalier C</v>
      </c>
      <c r="I25" s="127" t="str">
        <f>IF(ScheduleTBL!P24="NULL", "", ScheduleTBL!P24)&amp; IF(ScheduleTBL!R24="NULL", "", ", "&amp; ScheduleTBL!R24)</f>
        <v>Audun Botterud, ANL</v>
      </c>
      <c r="J25" s="78">
        <f t="shared" si="2"/>
        <v>124</v>
      </c>
      <c r="K25" s="78" t="str">
        <f>IF(ScheduleTBL!AM24="","",HYPERLINK(ScheduleTBL!AM24,K$2))</f>
        <v>Sum1</v>
      </c>
      <c r="L25" s="78" t="str">
        <f>IF(ScheduleTBL!AN24="","",HYPERLINK(ScheduleTBL!AN24,L$2))</f>
        <v>Pres1</v>
      </c>
      <c r="M25" s="78"/>
      <c r="N25" s="78"/>
      <c r="O25" s="306"/>
      <c r="P25" s="384" t="str">
        <f ca="1">IF(NOT(ISNUMBER($A25)), "", IF(ISERROR(INDEX(EvalDB!$I:$I, MATCH($A25, ScheduleTBL!$A:$A, 0))), "", INDEX(EvalDB!$I:$I, MATCH($A25, ScheduleTBL!$A:$A, 0))))</f>
        <v/>
      </c>
      <c r="Q25" s="235" t="str">
        <f ca="1">IF(NOT(ISNUMBER($A25)), "", IF(ISERROR(INDEX(EvalDB!$AB:$AB, MATCH($A25, ScheduleTBL!$A:$A, 0))), "", INDEX(EvalDB!$AB:$AB, MATCH($A25, ScheduleTBL!$A:$A, 0))))</f>
        <v/>
      </c>
      <c r="R25" s="235" t="str">
        <f ca="1">IF(NOT(ISNUMBER($A25)), "", IF(ISERROR(INDEX(EvalDB!$AU:$AU, MATCH($A25, ScheduleTBL!$A:$A, 0))), "", INDEX(EvalDB!$AU:$AU, MATCH($A25, ScheduleTBL!$A:$A, 0))))</f>
        <v/>
      </c>
      <c r="S25" s="235" t="str">
        <f ca="1">IF(NOT(ISNUMBER($A25)), "", IF(ISERROR(INDEX(EvalDB!$BN:$BN, MATCH($A25, ScheduleTBL!$A:$A, 0))), "", INDEX(EvalDB!$BN:$BN, MATCH($A25, ScheduleTBL!$A:$A, 0))))</f>
        <v/>
      </c>
      <c r="T25" s="235" t="str">
        <f ca="1">IF(NOT(ISNUMBER($A25)), "", IF(ISERROR(INDEX(EvalDB!$CG:$CG, MATCH($A25, ScheduleTBL!$A:$A, 0))), "", INDEX(EvalDB!$CG:$CG, MATCH($A25, ScheduleTBL!$A:$A, 0))))</f>
        <v/>
      </c>
      <c r="U25" s="235" t="str">
        <f ca="1">IF(NOT(ISNUMBER($A25)), "", IF(ISERROR(INDEX(EvalDB!$CZ:$CZ, MATCH($A25, ScheduleTBL!$A:$A, 0))), "", INDEX(EvalDB!$CZ:$CZ, MATCH($A25, ScheduleTBL!$A:$A, 0))))</f>
        <v/>
      </c>
      <c r="V25" s="235" t="str">
        <f t="shared" si="4"/>
        <v/>
      </c>
    </row>
    <row r="26" spans="1:22" s="59" customFormat="1" ht="15.75" hidden="1" customHeight="1" thickBot="1" x14ac:dyDescent="0.25">
      <c r="A26" s="240" t="str">
        <f>ScheduleTBL!A25</f>
        <v>General</v>
      </c>
      <c r="B26" s="198" t="str">
        <f>ScheduleTBL!C25</f>
        <v>BREAK</v>
      </c>
      <c r="C26" s="413">
        <f>ScheduleTBL!H25</f>
        <v>42780</v>
      </c>
      <c r="D26" s="198" t="str">
        <f>IF(ScheduleTBL!J25="NULL", "", ScheduleTBL!J25)</f>
        <v>MA&amp;D</v>
      </c>
      <c r="E26" s="198" t="str">
        <f>IF(ScheduleTBL!K25="NULL", "", ScheduleTBL!K25)</f>
        <v>Grid</v>
      </c>
      <c r="F26" s="296">
        <f>ScheduleTBL!F25</f>
        <v>0.66666666666666619</v>
      </c>
      <c r="G26" s="297">
        <f>ScheduleTBL!G25</f>
        <v>0.67708333333333282</v>
      </c>
      <c r="H26" s="198" t="str">
        <f>IF(ScheduleTBL!I25="NULL", "", ScheduleTBL!I25)</f>
        <v>Foyer</v>
      </c>
      <c r="I26" s="130" t="str">
        <f>IF(ScheduleTBL!P25="NULL", "", ScheduleTBL!P25)&amp; IF(ScheduleTBL!R25="NULL", "", ", "&amp; ScheduleTBL!R25)</f>
        <v/>
      </c>
      <c r="J26" s="78" t="str">
        <f t="shared" si="2"/>
        <v/>
      </c>
      <c r="K26" s="78" t="str">
        <f>IF(ScheduleTBL!AM25="","",HYPERLINK(ScheduleTBL!AM25,K$2))</f>
        <v/>
      </c>
      <c r="L26" s="78" t="str">
        <f>IF(ScheduleTBL!AN25="","",HYPERLINK(ScheduleTBL!AN25,L$2))</f>
        <v/>
      </c>
      <c r="M26" s="78"/>
      <c r="N26" s="78"/>
      <c r="O26" s="306"/>
      <c r="P26" s="317"/>
      <c r="Q26" s="317"/>
      <c r="R26" s="317"/>
      <c r="S26" s="317"/>
      <c r="T26" s="317"/>
      <c r="U26" s="317"/>
      <c r="V26" s="317"/>
    </row>
    <row r="27" spans="1:22" s="59" customFormat="1" ht="16.5" hidden="1" customHeight="1" thickTop="1" thickBot="1" x14ac:dyDescent="0.3">
      <c r="A27" s="240" t="str">
        <f>ScheduleTBL!A26</f>
        <v>Recap</v>
      </c>
      <c r="B27" s="138" t="str">
        <f>ScheduleTBL!C26</f>
        <v>Recap – Grid Systems Planning and Operation</v>
      </c>
      <c r="C27" s="413">
        <f>ScheduleTBL!H26</f>
        <v>42780</v>
      </c>
      <c r="D27" s="143" t="str">
        <f>IF(ScheduleTBL!J26="NULL", "", ScheduleTBL!J26)</f>
        <v>MA&amp;D</v>
      </c>
      <c r="E27" s="143" t="str">
        <f>IF(ScheduleTBL!K26="NULL", "", ScheduleTBL!K26)</f>
        <v>Grid</v>
      </c>
      <c r="F27" s="287">
        <f>ScheduleTBL!F26</f>
        <v>0.67708333333333282</v>
      </c>
      <c r="G27" s="286">
        <f>ScheduleTBL!G26</f>
        <v>0.68055555555555503</v>
      </c>
      <c r="H27" s="143" t="str">
        <f>IF(ScheduleTBL!I26="NULL", "", ScheduleTBL!I26)</f>
        <v>Cavalier C</v>
      </c>
      <c r="I27" s="123" t="str">
        <f>IF(ScheduleTBL!P26="NULL", "", ScheduleTBL!P26)&amp; IF(ScheduleTBL!R26="NULL", "", ", "&amp; ScheduleTBL!R26)</f>
        <v>Charlton Clark, DOE</v>
      </c>
      <c r="J27" s="78" t="str">
        <f t="shared" si="2"/>
        <v/>
      </c>
      <c r="K27" s="78" t="str">
        <f>IF(ScheduleTBL!AM26="","",HYPERLINK(ScheduleTBL!AM26,K$2))</f>
        <v/>
      </c>
      <c r="L27" s="78" t="str">
        <f>IF(ScheduleTBL!AN26="","",HYPERLINK(ScheduleTBL!AN26,L$2))</f>
        <v/>
      </c>
      <c r="M27" s="78"/>
      <c r="N27" s="78"/>
      <c r="O27" s="306"/>
      <c r="P27" s="317"/>
      <c r="Q27" s="317"/>
      <c r="R27" s="317"/>
      <c r="S27" s="317"/>
      <c r="T27" s="317"/>
      <c r="U27" s="317"/>
      <c r="V27" s="317"/>
    </row>
    <row r="28" spans="1:22" s="59" customFormat="1" ht="15" hidden="1" x14ac:dyDescent="0.25">
      <c r="A28" s="240">
        <f>ScheduleTBL!A27</f>
        <v>133</v>
      </c>
      <c r="B28" s="142" t="str">
        <f>ScheduleTBL!C27</f>
        <v>Distributed Wind Integration</v>
      </c>
      <c r="C28" s="413">
        <f>ScheduleTBL!H27</f>
        <v>42780</v>
      </c>
      <c r="D28" s="324" t="str">
        <f>IF(ScheduleTBL!J27="NULL", "", ScheduleTBL!J27)</f>
        <v>MA&amp;D</v>
      </c>
      <c r="E28" s="142" t="str">
        <f>IF(ScheduleTBL!K27="NULL", "", ScheduleTBL!K27)</f>
        <v>Grid</v>
      </c>
      <c r="F28" s="287">
        <f>ScheduleTBL!F27</f>
        <v>0.68055555555555503</v>
      </c>
      <c r="G28" s="286">
        <f>ScheduleTBL!G27</f>
        <v>0.69444444444444386</v>
      </c>
      <c r="H28" s="142" t="str">
        <f>IF(ScheduleTBL!I27="NULL", "", ScheduleTBL!I27)</f>
        <v>Cavalier C</v>
      </c>
      <c r="I28" s="127" t="str">
        <f>IF(ScheduleTBL!P27="NULL", "", ScheduleTBL!P27)&amp; IF(ScheduleTBL!R27="NULL", "", ", "&amp; ScheduleTBL!R27)</f>
        <v>Bri-Mathias Hodge, NREL</v>
      </c>
      <c r="J28" s="78">
        <f t="shared" si="2"/>
        <v>133</v>
      </c>
      <c r="K28" s="78" t="str">
        <f>IF(ScheduleTBL!AM27="","",HYPERLINK(ScheduleTBL!AM27,K$2))</f>
        <v>Sum1</v>
      </c>
      <c r="L28" s="78" t="str">
        <f>IF(ScheduleTBL!AN27="","",HYPERLINK(ScheduleTBL!AN27,L$2))</f>
        <v>Pres1</v>
      </c>
      <c r="M28" s="78"/>
      <c r="N28" s="78"/>
      <c r="O28" s="306"/>
      <c r="P28" s="384">
        <f ca="1">IF(NOT(ISNUMBER($A28)), "", IF(ISERROR(INDEX(EvalDB!$I:$I, MATCH($A28, ScheduleTBL!$A:$A, 0))), "", INDEX(EvalDB!$I:$I, MATCH($A28, ScheduleTBL!$A:$A, 0))))</f>
        <v>4.5</v>
      </c>
      <c r="Q28" s="235">
        <f ca="1">IF(NOT(ISNUMBER($A28)), "", IF(ISERROR(INDEX(EvalDB!$AB:$AB, MATCH($A28, ScheduleTBL!$A:$A, 0))), "", INDEX(EvalDB!$AB:$AB, MATCH($A28, ScheduleTBL!$A:$A, 0))))</f>
        <v>4.7</v>
      </c>
      <c r="R28" s="235">
        <f ca="1">IF(NOT(ISNUMBER($A28)), "", IF(ISERROR(INDEX(EvalDB!$AU:$AU, MATCH($A28, ScheduleTBL!$A:$A, 0))), "", INDEX(EvalDB!$AU:$AU, MATCH($A28, ScheduleTBL!$A:$A, 0))))</f>
        <v>4.5</v>
      </c>
      <c r="S28" s="235">
        <f ca="1">IF(NOT(ISNUMBER($A28)), "", IF(ISERROR(INDEX(EvalDB!$BN:$BN, MATCH($A28, ScheduleTBL!$A:$A, 0))), "", INDEX(EvalDB!$BN:$BN, MATCH($A28, ScheduleTBL!$A:$A, 0))))</f>
        <v>4</v>
      </c>
      <c r="T28" s="235">
        <f ca="1">IF(NOT(ISNUMBER($A28)), "", IF(ISERROR(INDEX(EvalDB!$CG:$CG, MATCH($A28, ScheduleTBL!$A:$A, 0))), "", INDEX(EvalDB!$CG:$CG, MATCH($A28, ScheduleTBL!$A:$A, 0))))</f>
        <v>4.5</v>
      </c>
      <c r="U28" s="235">
        <f ca="1">IF(NOT(ISNUMBER($A28)), "", IF(ISERROR(INDEX(EvalDB!$CZ:$CZ, MATCH($A28, ScheduleTBL!$A:$A, 0))), "", INDEX(EvalDB!$CZ:$CZ, MATCH($A28, ScheduleTBL!$A:$A, 0))))</f>
        <v>4.8</v>
      </c>
      <c r="V28" s="235">
        <f t="shared" ca="1" si="4"/>
        <v>4.5</v>
      </c>
    </row>
    <row r="29" spans="1:22" s="59" customFormat="1" ht="15" hidden="1" x14ac:dyDescent="0.25">
      <c r="A29" s="240">
        <f>ScheduleTBL!A28</f>
        <v>132</v>
      </c>
      <c r="B29" s="142" t="str">
        <f>ScheduleTBL!C28</f>
        <v>Grid Integration Support, UVIG, IEEE, NERC, IEA Task 25</v>
      </c>
      <c r="C29" s="413">
        <f>ScheduleTBL!H28</f>
        <v>42780</v>
      </c>
      <c r="D29" s="324" t="str">
        <f>IF(ScheduleTBL!J28="NULL", "", ScheduleTBL!J28)</f>
        <v>MA&amp;D</v>
      </c>
      <c r="E29" s="142" t="str">
        <f>IF(ScheduleTBL!K28="NULL", "", ScheduleTBL!K28)</f>
        <v>Grid</v>
      </c>
      <c r="F29" s="287">
        <f>ScheduleTBL!F28</f>
        <v>0.69444444444444386</v>
      </c>
      <c r="G29" s="286">
        <f>ScheduleTBL!G28</f>
        <v>0.7083333333333327</v>
      </c>
      <c r="H29" s="142" t="str">
        <f>IF(ScheduleTBL!I28="NULL", "", ScheduleTBL!I28)</f>
        <v>Cavalier C</v>
      </c>
      <c r="I29" s="127" t="str">
        <f>IF(ScheduleTBL!P28="NULL", "", ScheduleTBL!P28)&amp; IF(ScheduleTBL!R28="NULL", "", ", "&amp; ScheduleTBL!R28)</f>
        <v>Dave Corbus, NREL</v>
      </c>
      <c r="J29" s="78">
        <f t="shared" si="2"/>
        <v>132</v>
      </c>
      <c r="K29" s="78" t="str">
        <f>IF(ScheduleTBL!AM28="","",HYPERLINK(ScheduleTBL!AM28,K$2))</f>
        <v>Sum1</v>
      </c>
      <c r="L29" s="78" t="str">
        <f>IF(ScheduleTBL!AN28="","",HYPERLINK(ScheduleTBL!AN28,L$2))</f>
        <v>Pres1</v>
      </c>
      <c r="M29" s="78"/>
      <c r="N29" s="78"/>
      <c r="O29" s="306"/>
      <c r="P29" s="384">
        <f ca="1">IF(NOT(ISNUMBER($A29)), "", IF(ISERROR(INDEX(EvalDB!$I:$I, MATCH($A29, ScheduleTBL!$A:$A, 0))), "", INDEX(EvalDB!$I:$I, MATCH($A29, ScheduleTBL!$A:$A, 0))))</f>
        <v>4.5</v>
      </c>
      <c r="Q29" s="235">
        <f ca="1">IF(NOT(ISNUMBER($A29)), "", IF(ISERROR(INDEX(EvalDB!$AB:$AB, MATCH($A29, ScheduleTBL!$A:$A, 0))), "", INDEX(EvalDB!$AB:$AB, MATCH($A29, ScheduleTBL!$A:$A, 0))))</f>
        <v>4.8</v>
      </c>
      <c r="R29" s="235">
        <f ca="1">IF(NOT(ISNUMBER($A29)), "", IF(ISERROR(INDEX(EvalDB!$AU:$AU, MATCH($A29, ScheduleTBL!$A:$A, 0))), "", INDEX(EvalDB!$AU:$AU, MATCH($A29, ScheduleTBL!$A:$A, 0))))</f>
        <v>4</v>
      </c>
      <c r="S29" s="235">
        <f ca="1">IF(NOT(ISNUMBER($A29)), "", IF(ISERROR(INDEX(EvalDB!$BN:$BN, MATCH($A29, ScheduleTBL!$A:$A, 0))), "", INDEX(EvalDB!$BN:$BN, MATCH($A29, ScheduleTBL!$A:$A, 0))))</f>
        <v>4</v>
      </c>
      <c r="T29" s="235">
        <f ca="1">IF(NOT(ISNUMBER($A29)), "", IF(ISERROR(INDEX(EvalDB!$CG:$CG, MATCH($A29, ScheduleTBL!$A:$A, 0))), "", INDEX(EvalDB!$CG:$CG, MATCH($A29, ScheduleTBL!$A:$A, 0))))</f>
        <v>4</v>
      </c>
      <c r="U29" s="235">
        <f ca="1">IF(NOT(ISNUMBER($A29)), "", IF(ISERROR(INDEX(EvalDB!$CZ:$CZ, MATCH($A29, ScheduleTBL!$A:$A, 0))), "", INDEX(EvalDB!$CZ:$CZ, MATCH($A29, ScheduleTBL!$A:$A, 0))))</f>
        <v>5</v>
      </c>
      <c r="V29" s="235">
        <f t="shared" ca="1" si="4"/>
        <v>4.3833333333333337</v>
      </c>
    </row>
    <row r="30" spans="1:22" s="59" customFormat="1" ht="15" hidden="1" x14ac:dyDescent="0.25">
      <c r="A30" s="240">
        <f>ScheduleTBL!A29</f>
        <v>125</v>
      </c>
      <c r="B30" s="142" t="str">
        <f>ScheduleTBL!C29</f>
        <v>Concurrent Cooling</v>
      </c>
      <c r="C30" s="413">
        <f>ScheduleTBL!H29</f>
        <v>42780</v>
      </c>
      <c r="D30" s="324" t="str">
        <f>IF(ScheduleTBL!J29="NULL", "", ScheduleTBL!J29)</f>
        <v>MA&amp;D</v>
      </c>
      <c r="E30" s="142" t="str">
        <f>IF(ScheduleTBL!K29="NULL", "", ScheduleTBL!K29)</f>
        <v>Grid</v>
      </c>
      <c r="F30" s="287">
        <f>ScheduleTBL!F29</f>
        <v>0.7083333333333327</v>
      </c>
      <c r="G30" s="286">
        <f>ScheduleTBL!G29</f>
        <v>0.72222222222222154</v>
      </c>
      <c r="H30" s="142" t="str">
        <f>IF(ScheduleTBL!I29="NULL", "", ScheduleTBL!I29)</f>
        <v>Cavalier C</v>
      </c>
      <c r="I30" s="127" t="str">
        <f>IF(ScheduleTBL!P29="NULL", "", ScheduleTBL!P29)&amp; IF(ScheduleTBL!R29="NULL", "", ", "&amp; ScheduleTBL!R29)</f>
        <v>Jake Gentle, INL</v>
      </c>
      <c r="J30" s="78">
        <f t="shared" si="2"/>
        <v>125</v>
      </c>
      <c r="K30" s="78" t="str">
        <f>IF(ScheduleTBL!AM29="","",HYPERLINK(ScheduleTBL!AM29,K$2))</f>
        <v>Sum1</v>
      </c>
      <c r="L30" s="78" t="str">
        <f>IF(ScheduleTBL!AN29="","",HYPERLINK(ScheduleTBL!AN29,L$2))</f>
        <v>Pres1</v>
      </c>
      <c r="M30" s="78"/>
      <c r="N30" s="78"/>
      <c r="O30" s="306"/>
      <c r="P30" s="384">
        <f ca="1">IF(NOT(ISNUMBER($A30)), "", IF(ISERROR(INDEX(EvalDB!$I:$I, MATCH($A30, ScheduleTBL!$A:$A, 0))), "", INDEX(EvalDB!$I:$I, MATCH($A30, ScheduleTBL!$A:$A, 0))))</f>
        <v>3</v>
      </c>
      <c r="Q30" s="235">
        <f ca="1">IF(NOT(ISNUMBER($A30)), "", IF(ISERROR(INDEX(EvalDB!$AB:$AB, MATCH($A30, ScheduleTBL!$A:$A, 0))), "", INDEX(EvalDB!$AB:$AB, MATCH($A30, ScheduleTBL!$A:$A, 0))))</f>
        <v>3.5</v>
      </c>
      <c r="R30" s="235">
        <f ca="1">IF(NOT(ISNUMBER($A30)), "", IF(ISERROR(INDEX(EvalDB!$AU:$AU, MATCH($A30, ScheduleTBL!$A:$A, 0))), "", INDEX(EvalDB!$AU:$AU, MATCH($A30, ScheduleTBL!$A:$A, 0))))</f>
        <v>4</v>
      </c>
      <c r="S30" s="235">
        <f ca="1">IF(NOT(ISNUMBER($A30)), "", IF(ISERROR(INDEX(EvalDB!$BN:$BN, MATCH($A30, ScheduleTBL!$A:$A, 0))), "", INDEX(EvalDB!$BN:$BN, MATCH($A30, ScheduleTBL!$A:$A, 0))))</f>
        <v>3</v>
      </c>
      <c r="T30" s="235">
        <f ca="1">IF(NOT(ISNUMBER($A30)), "", IF(ISERROR(INDEX(EvalDB!$CG:$CG, MATCH($A30, ScheduleTBL!$A:$A, 0))), "", INDEX(EvalDB!$CG:$CG, MATCH($A30, ScheduleTBL!$A:$A, 0))))</f>
        <v>4</v>
      </c>
      <c r="U30" s="235">
        <f ca="1">IF(NOT(ISNUMBER($A30)), "", IF(ISERROR(INDEX(EvalDB!$CZ:$CZ, MATCH($A30, ScheduleTBL!$A:$A, 0))), "", INDEX(EvalDB!$CZ:$CZ, MATCH($A30, ScheduleTBL!$A:$A, 0))))</f>
        <v>1</v>
      </c>
      <c r="V30" s="235" t="str">
        <f t="shared" si="4"/>
        <v/>
      </c>
    </row>
    <row r="31" spans="1:22" s="59" customFormat="1" ht="15" hidden="1" customHeight="1" x14ac:dyDescent="0.25">
      <c r="A31" s="240" t="str">
        <f>ScheduleTBL!A30</f>
        <v>General</v>
      </c>
      <c r="B31" s="198" t="str">
        <f>ScheduleTBL!C30</f>
        <v>BREAK</v>
      </c>
      <c r="C31" s="413">
        <f>ScheduleTBL!H30</f>
        <v>42780</v>
      </c>
      <c r="D31" s="198" t="str">
        <f>IF(ScheduleTBL!J30="NULL", "", ScheduleTBL!J30)</f>
        <v>MA&amp;D</v>
      </c>
      <c r="E31" s="198" t="str">
        <f>IF(ScheduleTBL!K30="NULL", "", ScheduleTBL!K30)</f>
        <v>Grid</v>
      </c>
      <c r="F31" s="296">
        <f>ScheduleTBL!F30</f>
        <v>0.72222222222222154</v>
      </c>
      <c r="G31" s="297">
        <f>ScheduleTBL!G30</f>
        <v>0.72916666666666596</v>
      </c>
      <c r="H31" s="198" t="str">
        <f>IF(ScheduleTBL!I30="NULL", "", ScheduleTBL!I30)</f>
        <v>Foyer</v>
      </c>
      <c r="I31" s="130" t="str">
        <f>IF(ScheduleTBL!P30="NULL", "", ScheduleTBL!P30)&amp; IF(ScheduleTBL!R30="NULL", "", ", "&amp; ScheduleTBL!R30)</f>
        <v/>
      </c>
      <c r="J31" s="302" t="str">
        <f t="shared" si="2"/>
        <v/>
      </c>
      <c r="K31" s="78" t="str">
        <f>IF(ScheduleTBL!AM30="","",HYPERLINK(ScheduleTBL!AM30,K$2))</f>
        <v/>
      </c>
      <c r="L31" s="78" t="str">
        <f>IF(ScheduleTBL!AN30="","",HYPERLINK(ScheduleTBL!AN30,L$2))</f>
        <v/>
      </c>
      <c r="M31" s="79"/>
      <c r="N31" s="79"/>
      <c r="O31" s="416"/>
      <c r="P31" s="386" t="str">
        <f>IF(NOT(ISNUMBER($A31)), "", IF(ISERROR(INDEX(EvalDB!$I:$I, MATCH($A31, ScheduleTBL!$A:$A, 0))), "", INDEX(EvalDB!$I:$I, MATCH($A31, ScheduleTBL!$A:$A, 0))))</f>
        <v/>
      </c>
      <c r="Q31" s="311" t="str">
        <f>IF(NOT(ISNUMBER($A31)), "", IF(ISERROR(INDEX(EvalDB!$AB:$AB, MATCH($A31, ScheduleTBL!$A:$A, 0))), "", INDEX(EvalDB!$AB:$AB, MATCH($A31, ScheduleTBL!$A:$A, 0))))</f>
        <v/>
      </c>
      <c r="R31" s="311" t="str">
        <f>IF(NOT(ISNUMBER($A31)), "", IF(ISERROR(INDEX(EvalDB!$AU:$AU, MATCH($A31, ScheduleTBL!$A:$A, 0))), "", INDEX(EvalDB!$AU:$AU, MATCH($A31, ScheduleTBL!$A:$A, 0))))</f>
        <v/>
      </c>
      <c r="S31" s="311" t="str">
        <f>IF(NOT(ISNUMBER($A31)), "", IF(ISERROR(INDEX(EvalDB!$BN:$BN, MATCH($A31, ScheduleTBL!$A:$A, 0))), "", INDEX(EvalDB!$BN:$BN, MATCH($A31, ScheduleTBL!$A:$A, 0))))</f>
        <v/>
      </c>
      <c r="T31" s="311" t="str">
        <f>IF(NOT(ISNUMBER($A31)), "", IF(ISERROR(INDEX(EvalDB!$CG:$CG, MATCH($A31, ScheduleTBL!$A:$A, 0))), "", INDEX(EvalDB!$CG:$CG, MATCH($A31, ScheduleTBL!$A:$A, 0))))</f>
        <v/>
      </c>
      <c r="U31" s="311" t="str">
        <f>IF(NOT(ISNUMBER($A31)), "", IF(ISERROR(INDEX(EvalDB!$CZ:$CZ, MATCH($A31, ScheduleTBL!$A:$A, 0))), "", INDEX(EvalDB!$CZ:$CZ, MATCH($A31, ScheduleTBL!$A:$A, 0))))</f>
        <v/>
      </c>
      <c r="V31" s="311" t="str">
        <f t="shared" si="4"/>
        <v/>
      </c>
    </row>
    <row r="32" spans="1:22" s="59" customFormat="1" ht="15.75" hidden="1" customHeight="1" thickBot="1" x14ac:dyDescent="0.3">
      <c r="A32" s="339" t="str">
        <f>ScheduleTBL!A31</f>
        <v>General</v>
      </c>
      <c r="B32" s="340" t="str">
        <f>ScheduleTBL!C31</f>
        <v>POSTER SESSION - Hotel Breezeway</v>
      </c>
      <c r="C32" s="414">
        <f>ScheduleTBL!H31</f>
        <v>42780</v>
      </c>
      <c r="D32" s="341" t="str">
        <f>IF(ScheduleTBL!J31="NULL", "", ScheduleTBL!J31)</f>
        <v>MA&amp;D</v>
      </c>
      <c r="E32" s="341" t="str">
        <f>IF(ScheduleTBL!K31="NULL", "", ScheduleTBL!K31)</f>
        <v>Grid</v>
      </c>
      <c r="F32" s="342">
        <f>ScheduleTBL!F31</f>
        <v>0.72916666666666596</v>
      </c>
      <c r="G32" s="343">
        <f>ScheduleTBL!G31</f>
        <v>0.81249999999999933</v>
      </c>
      <c r="H32" s="341" t="str">
        <f>IF(ScheduleTBL!I31="NULL", "", ScheduleTBL!I31)</f>
        <v>Foyer</v>
      </c>
      <c r="I32" s="344" t="str">
        <f>IF(ScheduleTBL!P31="NULL", "", ScheduleTBL!P31)&amp; IF(ScheduleTBL!R31="NULL", "", ", "&amp; ScheduleTBL!R31)</f>
        <v/>
      </c>
      <c r="J32" s="345" t="str">
        <f t="shared" si="2"/>
        <v/>
      </c>
      <c r="K32" s="345" t="str">
        <f>IF(ScheduleTBL!AM31="","",HYPERLINK(ScheduleTBL!AM31,K$2))</f>
        <v/>
      </c>
      <c r="L32" s="345" t="str">
        <f>IF(ScheduleTBL!AN31="","",HYPERLINK(ScheduleTBL!AN31,L$2))</f>
        <v/>
      </c>
      <c r="M32" s="78"/>
      <c r="N32" s="78"/>
      <c r="O32" s="306"/>
      <c r="P32" s="331"/>
      <c r="Q32" s="331"/>
      <c r="R32" s="331"/>
      <c r="S32" s="331"/>
      <c r="T32" s="331"/>
      <c r="U32" s="331"/>
      <c r="V32" s="331"/>
    </row>
    <row r="33" spans="1:22" s="59" customFormat="1" ht="15" hidden="1" customHeight="1" x14ac:dyDescent="0.25">
      <c r="A33" s="333" t="str">
        <f>ScheduleTBL!A32</f>
        <v>General</v>
      </c>
      <c r="B33" s="334" t="str">
        <f>ScheduleTBL!C32</f>
        <v>Breakfast</v>
      </c>
      <c r="C33" s="415">
        <f>ScheduleTBL!H32</f>
        <v>42781</v>
      </c>
      <c r="D33" s="335" t="str">
        <f>IF(ScheduleTBL!J32="NULL", "", ScheduleTBL!J32)</f>
        <v>MA&amp;D</v>
      </c>
      <c r="E33" s="336" t="str">
        <f>IF(ScheduleTBL!K32="NULL", "", ScheduleTBL!K32)</f>
        <v/>
      </c>
      <c r="F33" s="337">
        <f>ScheduleTBL!F32</f>
        <v>0.33333333333333331</v>
      </c>
      <c r="G33" s="295">
        <f>ScheduleTBL!G32</f>
        <v>0.36458333333333331</v>
      </c>
      <c r="H33" s="336" t="str">
        <f>IF(ScheduleTBL!I32="NULL", "", ScheduleTBL!I32)</f>
        <v>Commonwealth Ballroom</v>
      </c>
      <c r="I33" s="338" t="str">
        <f>IF(ScheduleTBL!P32="NULL", "", ScheduleTBL!P32)&amp; IF(ScheduleTBL!R32="NULL", "", ", "&amp; ScheduleTBL!R32)</f>
        <v/>
      </c>
      <c r="J33" s="91" t="str">
        <f t="shared" si="2"/>
        <v/>
      </c>
      <c r="K33" s="91" t="str">
        <f>IF(ScheduleTBL!AM32="","",HYPERLINK(ScheduleTBL!AM32,K$2))</f>
        <v/>
      </c>
      <c r="L33" s="91" t="str">
        <f>IF(ScheduleTBL!AN32="","",HYPERLINK(ScheduleTBL!AN32,L$2))</f>
        <v/>
      </c>
      <c r="M33" s="78"/>
      <c r="N33" s="78"/>
      <c r="O33" s="306"/>
      <c r="P33" s="317"/>
      <c r="Q33" s="317"/>
      <c r="R33" s="317"/>
      <c r="S33" s="317"/>
      <c r="T33" s="317"/>
      <c r="U33" s="317"/>
      <c r="V33" s="317"/>
    </row>
    <row r="34" spans="1:22" s="59" customFormat="1" ht="15" hidden="1" customHeight="1" x14ac:dyDescent="0.25">
      <c r="A34" s="240" t="str">
        <f>ScheduleTBL!A33</f>
        <v>General</v>
      </c>
      <c r="B34" s="205" t="str">
        <f>ScheduleTBL!C33</f>
        <v>Daily Recap</v>
      </c>
      <c r="C34" s="413">
        <f>ScheduleTBL!H33</f>
        <v>42781</v>
      </c>
      <c r="D34" s="324" t="str">
        <f>IF(ScheduleTBL!J33="NULL", "", ScheduleTBL!J33)</f>
        <v>MA&amp;D</v>
      </c>
      <c r="E34" s="142" t="str">
        <f>IF(ScheduleTBL!K33="NULL", "", ScheduleTBL!K33)</f>
        <v/>
      </c>
      <c r="F34" s="287">
        <f>ScheduleTBL!F33</f>
        <v>0.36458333333333331</v>
      </c>
      <c r="G34" s="286">
        <f>ScheduleTBL!G33</f>
        <v>0.375</v>
      </c>
      <c r="H34" s="142" t="str">
        <f>IF(ScheduleTBL!I33="NULL", "", ScheduleTBL!I33)</f>
        <v>Commonwealth Ballroom</v>
      </c>
      <c r="I34" s="127" t="str">
        <f>IF(ScheduleTBL!P33="NULL", "", ScheduleTBL!P33)&amp; IF(ScheduleTBL!R33="NULL", "", ", "&amp; ScheduleTBL!R33)</f>
        <v>Alex Lemke, DOE</v>
      </c>
      <c r="J34" s="79" t="str">
        <f t="shared" si="2"/>
        <v/>
      </c>
      <c r="K34" s="78" t="str">
        <f>IF(ScheduleTBL!AM33="","",HYPERLINK(ScheduleTBL!AM33,K$2))</f>
        <v/>
      </c>
      <c r="L34" s="78" t="str">
        <f>IF(ScheduleTBL!AN33="","",HYPERLINK(ScheduleTBL!AN33,L$2))</f>
        <v/>
      </c>
      <c r="M34" s="79"/>
      <c r="N34" s="79"/>
      <c r="O34" s="416"/>
      <c r="P34" s="317"/>
      <c r="Q34" s="317"/>
      <c r="R34" s="317"/>
      <c r="S34" s="317"/>
      <c r="T34" s="317"/>
      <c r="U34" s="317"/>
      <c r="V34" s="317"/>
    </row>
    <row r="35" spans="1:22" s="59" customFormat="1" ht="15.75" hidden="1" customHeight="1" thickBot="1" x14ac:dyDescent="0.25">
      <c r="A35" s="240" t="str">
        <f>ScheduleTBL!A34</f>
        <v>General</v>
      </c>
      <c r="B35" s="117" t="str">
        <f>ScheduleTBL!C34</f>
        <v>TRANSITION</v>
      </c>
      <c r="C35" s="413">
        <f>ScheduleTBL!H34</f>
        <v>42781</v>
      </c>
      <c r="D35" s="117" t="str">
        <f>IF(ScheduleTBL!J34="NULL", "", ScheduleTBL!J34)</f>
        <v>MA&amp;D</v>
      </c>
      <c r="E35" s="117" t="str">
        <f>IF(ScheduleTBL!K34="NULL", "", ScheduleTBL!K34)</f>
        <v/>
      </c>
      <c r="F35" s="288">
        <f>ScheduleTBL!F34</f>
        <v>0.375</v>
      </c>
      <c r="G35" s="289">
        <f>ScheduleTBL!G34</f>
        <v>0.37847222222222221</v>
      </c>
      <c r="H35" s="117" t="str">
        <f>IF(ScheduleTBL!I34="NULL", "", ScheduleTBL!I34)</f>
        <v/>
      </c>
      <c r="I35" s="117" t="str">
        <f>IF(ScheduleTBL!P34="NULL", "", ScheduleTBL!P34)&amp; IF(ScheduleTBL!R34="NULL", "", ", "&amp; ScheduleTBL!R34)</f>
        <v/>
      </c>
      <c r="J35" s="79" t="str">
        <f t="shared" si="2"/>
        <v/>
      </c>
      <c r="K35" s="78" t="str">
        <f>IF(ScheduleTBL!AM34="","",HYPERLINK(ScheduleTBL!AM34,K$2))</f>
        <v/>
      </c>
      <c r="L35" s="78" t="str">
        <f>IF(ScheduleTBL!AN34="","",HYPERLINK(ScheduleTBL!AN34,L$2))</f>
        <v/>
      </c>
      <c r="M35" s="79"/>
      <c r="N35" s="79"/>
      <c r="O35" s="416"/>
      <c r="P35" s="317"/>
      <c r="Q35" s="317"/>
      <c r="R35" s="317"/>
      <c r="S35" s="317"/>
      <c r="T35" s="317"/>
      <c r="U35" s="317"/>
      <c r="V35" s="317"/>
    </row>
    <row r="36" spans="1:22" s="59" customFormat="1" ht="16.5" hidden="1" customHeight="1" thickTop="1" thickBot="1" x14ac:dyDescent="0.3">
      <c r="A36" s="240" t="str">
        <f>ScheduleTBL!A35</f>
        <v>Recap</v>
      </c>
      <c r="B36" s="138" t="str">
        <f>ScheduleTBL!C35</f>
        <v>Recap – Grid Systems Planning and Operation</v>
      </c>
      <c r="C36" s="413">
        <f>ScheduleTBL!H35</f>
        <v>42781</v>
      </c>
      <c r="D36" s="143" t="str">
        <f>IF(ScheduleTBL!J35="NULL", "", ScheduleTBL!J35)</f>
        <v>MA&amp;D</v>
      </c>
      <c r="E36" s="143" t="str">
        <f>IF(ScheduleTBL!K35="NULL", "", ScheduleTBL!K35)</f>
        <v>Grid</v>
      </c>
      <c r="F36" s="287">
        <f>ScheduleTBL!F35</f>
        <v>0.37847222222222221</v>
      </c>
      <c r="G36" s="286">
        <f>ScheduleTBL!G35</f>
        <v>0.38194444444444442</v>
      </c>
      <c r="H36" s="143" t="str">
        <f>IF(ScheduleTBL!I35="NULL", "", ScheduleTBL!I35)</f>
        <v>Cavalier C</v>
      </c>
      <c r="I36" s="123" t="str">
        <f>IF(ScheduleTBL!P35="NULL", "", ScheduleTBL!P35)&amp; IF(ScheduleTBL!R35="NULL", "", ", "&amp; ScheduleTBL!R35)</f>
        <v>Charlton Clark, DOE</v>
      </c>
      <c r="J36" s="79" t="str">
        <f t="shared" si="2"/>
        <v/>
      </c>
      <c r="K36" s="78" t="str">
        <f>IF(ScheduleTBL!AM35="","",HYPERLINK(ScheduleTBL!AM35,K$2))</f>
        <v/>
      </c>
      <c r="L36" s="78" t="str">
        <f>IF(ScheduleTBL!AN35="","",HYPERLINK(ScheduleTBL!AN35,L$2))</f>
        <v/>
      </c>
      <c r="M36" s="79"/>
      <c r="N36" s="79"/>
      <c r="O36" s="416"/>
      <c r="P36" s="309"/>
      <c r="Q36" s="309"/>
      <c r="R36" s="309"/>
      <c r="S36" s="309"/>
      <c r="T36" s="309"/>
      <c r="U36" s="309"/>
      <c r="V36" s="309"/>
    </row>
    <row r="37" spans="1:22" s="59" customFormat="1" ht="15" hidden="1" x14ac:dyDescent="0.25">
      <c r="A37" s="240">
        <f>ScheduleTBL!A36</f>
        <v>134</v>
      </c>
      <c r="B37" s="142" t="str">
        <f>ScheduleTBL!C36</f>
        <v>Connecting the National Wind Test Center to the Energy Systems Integration Facility</v>
      </c>
      <c r="C37" s="413">
        <f>ScheduleTBL!H36</f>
        <v>42781</v>
      </c>
      <c r="D37" s="324" t="str">
        <f>IF(ScheduleTBL!J36="NULL", "", ScheduleTBL!J36)</f>
        <v>MA&amp;D</v>
      </c>
      <c r="E37" s="142" t="str">
        <f>IF(ScheduleTBL!K36="NULL", "", ScheduleTBL!K36)</f>
        <v>Grid</v>
      </c>
      <c r="F37" s="287">
        <f>ScheduleTBL!F36</f>
        <v>0.38194444444444442</v>
      </c>
      <c r="G37" s="286">
        <f>ScheduleTBL!G36</f>
        <v>0.39930555555555552</v>
      </c>
      <c r="H37" s="142" t="str">
        <f>IF(ScheduleTBL!I36="NULL", "", ScheduleTBL!I36)</f>
        <v>Cavalier C</v>
      </c>
      <c r="I37" s="127" t="str">
        <f>IF(ScheduleTBL!P36="NULL", "", ScheduleTBL!P36)&amp; IF(ScheduleTBL!R36="NULL", "", ", "&amp; ScheduleTBL!R36)</f>
        <v>Dave Corbus, NREL</v>
      </c>
      <c r="J37" s="78">
        <f t="shared" si="2"/>
        <v>134</v>
      </c>
      <c r="K37" s="78" t="str">
        <f>IF(ScheduleTBL!AM36="","",HYPERLINK(ScheduleTBL!AM36,K$2))</f>
        <v>Sum1</v>
      </c>
      <c r="L37" s="78" t="str">
        <f>IF(ScheduleTBL!AN36="","",HYPERLINK(ScheduleTBL!AN36,L$2))</f>
        <v>Pres1</v>
      </c>
      <c r="M37" s="78"/>
      <c r="N37" s="78"/>
      <c r="O37" s="306"/>
      <c r="P37" s="384" t="str">
        <f ca="1">IF(NOT(ISNUMBER($A37)), "", IF(ISERROR(INDEX(EvalDB!$I:$I, MATCH($A37, ScheduleTBL!$A:$A, 0))), "", INDEX(EvalDB!$I:$I, MATCH($A37, ScheduleTBL!$A:$A, 0))))</f>
        <v/>
      </c>
      <c r="Q37" s="235" t="str">
        <f ca="1">IF(NOT(ISNUMBER($A37)), "", IF(ISERROR(INDEX(EvalDB!$AB:$AB, MATCH($A37, ScheduleTBL!$A:$A, 0))), "", INDEX(EvalDB!$AB:$AB, MATCH($A37, ScheduleTBL!$A:$A, 0))))</f>
        <v/>
      </c>
      <c r="R37" s="235" t="str">
        <f ca="1">IF(NOT(ISNUMBER($A37)), "", IF(ISERROR(INDEX(EvalDB!$AU:$AU, MATCH($A37, ScheduleTBL!$A:$A, 0))), "", INDEX(EvalDB!$AU:$AU, MATCH($A37, ScheduleTBL!$A:$A, 0))))</f>
        <v/>
      </c>
      <c r="S37" s="235" t="str">
        <f ca="1">IF(NOT(ISNUMBER($A37)), "", IF(ISERROR(INDEX(EvalDB!$BN:$BN, MATCH($A37, ScheduleTBL!$A:$A, 0))), "", INDEX(EvalDB!$BN:$BN, MATCH($A37, ScheduleTBL!$A:$A, 0))))</f>
        <v/>
      </c>
      <c r="T37" s="235" t="str">
        <f ca="1">IF(NOT(ISNUMBER($A37)), "", IF(ISERROR(INDEX(EvalDB!$CG:$CG, MATCH($A37, ScheduleTBL!$A:$A, 0))), "", INDEX(EvalDB!$CG:$CG, MATCH($A37, ScheduleTBL!$A:$A, 0))))</f>
        <v/>
      </c>
      <c r="U37" s="235" t="str">
        <f ca="1">IF(NOT(ISNUMBER($A37)), "", IF(ISERROR(INDEX(EvalDB!$CZ:$CZ, MATCH($A37, ScheduleTBL!$A:$A, 0))), "", INDEX(EvalDB!$CZ:$CZ, MATCH($A37, ScheduleTBL!$A:$A, 0))))</f>
        <v/>
      </c>
      <c r="V37" s="235" t="e">
        <f t="shared" ca="1" si="4"/>
        <v>#DIV/0!</v>
      </c>
    </row>
    <row r="38" spans="1:22" s="59" customFormat="1" ht="15" hidden="1" x14ac:dyDescent="0.25">
      <c r="A38" s="240">
        <f>ScheduleTBL!A37</f>
        <v>135</v>
      </c>
      <c r="B38" s="142" t="str">
        <f>ScheduleTBL!C37</f>
        <v>Analysis Using PMU Data and Dynamic analysis</v>
      </c>
      <c r="C38" s="413">
        <f>ScheduleTBL!H37</f>
        <v>42781</v>
      </c>
      <c r="D38" s="324" t="str">
        <f>IF(ScheduleTBL!J37="NULL", "", ScheduleTBL!J37)</f>
        <v>MA&amp;D</v>
      </c>
      <c r="E38" s="142" t="str">
        <f>IF(ScheduleTBL!K37="NULL", "", ScheduleTBL!K37)</f>
        <v>Grid</v>
      </c>
      <c r="F38" s="287">
        <f>ScheduleTBL!F37</f>
        <v>0.39930555555555552</v>
      </c>
      <c r="G38" s="286">
        <f>ScheduleTBL!G37</f>
        <v>0.41666666666666663</v>
      </c>
      <c r="H38" s="142" t="str">
        <f>IF(ScheduleTBL!I37="NULL", "", ScheduleTBL!I37)</f>
        <v>Cavalier C</v>
      </c>
      <c r="I38" s="127" t="str">
        <f>IF(ScheduleTBL!P37="NULL", "", ScheduleTBL!P37)&amp; IF(ScheduleTBL!R37="NULL", "", ", "&amp; ScheduleTBL!R37)</f>
        <v>Edward Muljadi, NREL</v>
      </c>
      <c r="J38" s="78">
        <f t="shared" si="2"/>
        <v>135</v>
      </c>
      <c r="K38" s="78" t="str">
        <f>IF(ScheduleTBL!AM37="","",HYPERLINK(ScheduleTBL!AM37,K$2))</f>
        <v>Sum1</v>
      </c>
      <c r="L38" s="78" t="str">
        <f>IF(ScheduleTBL!AN37="","",HYPERLINK(ScheduleTBL!AN37,L$2))</f>
        <v>Pres1</v>
      </c>
      <c r="M38" s="78"/>
      <c r="N38" s="78"/>
      <c r="O38" s="306"/>
      <c r="P38" s="384" t="str">
        <f ca="1">IF(NOT(ISNUMBER($A38)), "", IF(ISERROR(INDEX(EvalDB!$I:$I, MATCH($A38, ScheduleTBL!$A:$A, 0))), "", INDEX(EvalDB!$I:$I, MATCH($A38, ScheduleTBL!$A:$A, 0))))</f>
        <v/>
      </c>
      <c r="Q38" s="235" t="str">
        <f ca="1">IF(NOT(ISNUMBER($A38)), "", IF(ISERROR(INDEX(EvalDB!$AB:$AB, MATCH($A38, ScheduleTBL!$A:$A, 0))), "", INDEX(EvalDB!$AB:$AB, MATCH($A38, ScheduleTBL!$A:$A, 0))))</f>
        <v/>
      </c>
      <c r="R38" s="235" t="str">
        <f ca="1">IF(NOT(ISNUMBER($A38)), "", IF(ISERROR(INDEX(EvalDB!$AU:$AU, MATCH($A38, ScheduleTBL!$A:$A, 0))), "", INDEX(EvalDB!$AU:$AU, MATCH($A38, ScheduleTBL!$A:$A, 0))))</f>
        <v/>
      </c>
      <c r="S38" s="235" t="str">
        <f ca="1">IF(NOT(ISNUMBER($A38)), "", IF(ISERROR(INDEX(EvalDB!$BN:$BN, MATCH($A38, ScheduleTBL!$A:$A, 0))), "", INDEX(EvalDB!$BN:$BN, MATCH($A38, ScheduleTBL!$A:$A, 0))))</f>
        <v/>
      </c>
      <c r="T38" s="235" t="str">
        <f ca="1">IF(NOT(ISNUMBER($A38)), "", IF(ISERROR(INDEX(EvalDB!$CG:$CG, MATCH($A38, ScheduleTBL!$A:$A, 0))), "", INDEX(EvalDB!$CG:$CG, MATCH($A38, ScheduleTBL!$A:$A, 0))))</f>
        <v/>
      </c>
      <c r="U38" s="235" t="str">
        <f ca="1">IF(NOT(ISNUMBER($A38)), "", IF(ISERROR(INDEX(EvalDB!$CZ:$CZ, MATCH($A38, ScheduleTBL!$A:$A, 0))), "", INDEX(EvalDB!$CZ:$CZ, MATCH($A38, ScheduleTBL!$A:$A, 0))))</f>
        <v/>
      </c>
      <c r="V38" s="235" t="e">
        <f t="shared" ca="1" si="4"/>
        <v>#DIV/0!</v>
      </c>
    </row>
    <row r="39" spans="1:22" s="59" customFormat="1" ht="15" hidden="1" x14ac:dyDescent="0.25">
      <c r="A39" s="240">
        <f>ScheduleTBL!A38</f>
        <v>136</v>
      </c>
      <c r="B39" s="142" t="str">
        <f>ScheduleTBL!C38</f>
        <v>Active Power Controls</v>
      </c>
      <c r="C39" s="413">
        <f>ScheduleTBL!H38</f>
        <v>42781</v>
      </c>
      <c r="D39" s="324" t="str">
        <f>IF(ScheduleTBL!J38="NULL", "", ScheduleTBL!J38)</f>
        <v>MA&amp;D</v>
      </c>
      <c r="E39" s="142" t="str">
        <f>IF(ScheduleTBL!K38="NULL", "", ScheduleTBL!K38)</f>
        <v>Grid</v>
      </c>
      <c r="F39" s="287">
        <f>ScheduleTBL!F38</f>
        <v>0.41666666666666663</v>
      </c>
      <c r="G39" s="286">
        <f>ScheduleTBL!G38</f>
        <v>0.43402777777777773</v>
      </c>
      <c r="H39" s="142" t="str">
        <f>IF(ScheduleTBL!I38="NULL", "", ScheduleTBL!I38)</f>
        <v>Cavalier C</v>
      </c>
      <c r="I39" s="127" t="str">
        <f>IF(ScheduleTBL!P38="NULL", "", ScheduleTBL!P38)&amp; IF(ScheduleTBL!R38="NULL", "", ", "&amp; ScheduleTBL!R38)</f>
        <v>Yingchen Zhang, NREL</v>
      </c>
      <c r="J39" s="78">
        <f t="shared" si="2"/>
        <v>136</v>
      </c>
      <c r="K39" s="78" t="str">
        <f>IF(ScheduleTBL!AM38="","",HYPERLINK(ScheduleTBL!AM38,K$2))</f>
        <v>Sum1</v>
      </c>
      <c r="L39" s="78" t="str">
        <f>IF(ScheduleTBL!AN38="","",HYPERLINK(ScheduleTBL!AN38,L$2))</f>
        <v>Pres1</v>
      </c>
      <c r="M39" s="78"/>
      <c r="N39" s="78"/>
      <c r="O39" s="306"/>
      <c r="P39" s="384" t="str">
        <f ca="1">IF(NOT(ISNUMBER($A39)), "", IF(ISERROR(INDEX(EvalDB!$I:$I, MATCH($A39, ScheduleTBL!$A:$A, 0))), "", INDEX(EvalDB!$I:$I, MATCH($A39, ScheduleTBL!$A:$A, 0))))</f>
        <v/>
      </c>
      <c r="Q39" s="235" t="str">
        <f ca="1">IF(NOT(ISNUMBER($A39)), "", IF(ISERROR(INDEX(EvalDB!$AB:$AB, MATCH($A39, ScheduleTBL!$A:$A, 0))), "", INDEX(EvalDB!$AB:$AB, MATCH($A39, ScheduleTBL!$A:$A, 0))))</f>
        <v/>
      </c>
      <c r="R39" s="235" t="str">
        <f ca="1">IF(NOT(ISNUMBER($A39)), "", IF(ISERROR(INDEX(EvalDB!$AU:$AU, MATCH($A39, ScheduleTBL!$A:$A, 0))), "", INDEX(EvalDB!$AU:$AU, MATCH($A39, ScheduleTBL!$A:$A, 0))))</f>
        <v/>
      </c>
      <c r="S39" s="235" t="str">
        <f ca="1">IF(NOT(ISNUMBER($A39)), "", IF(ISERROR(INDEX(EvalDB!$BN:$BN, MATCH($A39, ScheduleTBL!$A:$A, 0))), "", INDEX(EvalDB!$BN:$BN, MATCH($A39, ScheduleTBL!$A:$A, 0))))</f>
        <v/>
      </c>
      <c r="T39" s="235" t="str">
        <f ca="1">IF(NOT(ISNUMBER($A39)), "", IF(ISERROR(INDEX(EvalDB!$CG:$CG, MATCH($A39, ScheduleTBL!$A:$A, 0))), "", INDEX(EvalDB!$CG:$CG, MATCH($A39, ScheduleTBL!$A:$A, 0))))</f>
        <v/>
      </c>
      <c r="U39" s="235" t="str">
        <f ca="1">IF(NOT(ISNUMBER($A39)), "", IF(ISERROR(INDEX(EvalDB!$CZ:$CZ, MATCH($A39, ScheduleTBL!$A:$A, 0))), "", INDEX(EvalDB!$CZ:$CZ, MATCH($A39, ScheduleTBL!$A:$A, 0))))</f>
        <v/>
      </c>
      <c r="V39" s="235" t="str">
        <f t="shared" si="4"/>
        <v/>
      </c>
    </row>
    <row r="40" spans="1:22" s="59" customFormat="1" ht="15.75" hidden="1" customHeight="1" thickBot="1" x14ac:dyDescent="0.25">
      <c r="A40" s="240" t="str">
        <f>ScheduleTBL!A39</f>
        <v>General</v>
      </c>
      <c r="B40" s="130" t="str">
        <f>ScheduleTBL!C39</f>
        <v>BREAK</v>
      </c>
      <c r="C40" s="413">
        <f>ScheduleTBL!H39</f>
        <v>42781</v>
      </c>
      <c r="D40" s="130" t="str">
        <f>IF(ScheduleTBL!J39="NULL", "", ScheduleTBL!J39)</f>
        <v>MA&amp;D</v>
      </c>
      <c r="E40" s="130" t="str">
        <f>IF(ScheduleTBL!K39="NULL", "", ScheduleTBL!K39)</f>
        <v/>
      </c>
      <c r="F40" s="298">
        <f>ScheduleTBL!F39</f>
        <v>0.43402777777777773</v>
      </c>
      <c r="G40" s="299">
        <f>ScheduleTBL!G39</f>
        <v>0.44444444444444442</v>
      </c>
      <c r="H40" s="130" t="str">
        <f>IF(ScheduleTBL!I39="NULL", "", ScheduleTBL!I39)</f>
        <v>Foyer</v>
      </c>
      <c r="I40" s="130" t="str">
        <f>IF(ScheduleTBL!P39="NULL", "", ScheduleTBL!P39)&amp; IF(ScheduleTBL!R39="NULL", "", ", "&amp; ScheduleTBL!R39)</f>
        <v/>
      </c>
      <c r="J40" s="78" t="str">
        <f t="shared" si="2"/>
        <v/>
      </c>
      <c r="K40" s="78" t="str">
        <f>IF(ScheduleTBL!AM39="","",HYPERLINK(ScheduleTBL!AM39,K$2))</f>
        <v/>
      </c>
      <c r="L40" s="78" t="str">
        <f>IF(ScheduleTBL!AN39="","",HYPERLINK(ScheduleTBL!AN39,L$2))</f>
        <v/>
      </c>
      <c r="M40" s="78"/>
      <c r="N40" s="78"/>
      <c r="O40" s="306"/>
      <c r="P40" s="309"/>
      <c r="Q40" s="309"/>
      <c r="R40" s="309"/>
      <c r="S40" s="309"/>
      <c r="T40" s="309"/>
      <c r="U40" s="309"/>
      <c r="V40" s="309"/>
    </row>
    <row r="41" spans="1:22" s="59" customFormat="1" ht="16.5" hidden="1" customHeight="1" thickTop="1" thickBot="1" x14ac:dyDescent="0.3">
      <c r="A41" s="240" t="str">
        <f>ScheduleTBL!A40</f>
        <v>WPG16007</v>
      </c>
      <c r="B41" s="138" t="str">
        <f>ScheduleTBL!C40</f>
        <v>Overview of Siting, Radar, and Environmental</v>
      </c>
      <c r="C41" s="413">
        <f>ScheduleTBL!H40</f>
        <v>42781</v>
      </c>
      <c r="D41" s="143" t="str">
        <f>IF(ScheduleTBL!J40="NULL", "", ScheduleTBL!J40)</f>
        <v>MA&amp;D</v>
      </c>
      <c r="E41" s="143" t="str">
        <f>IF(ScheduleTBL!K40="NULL", "", ScheduleTBL!K40)</f>
        <v>Siting</v>
      </c>
      <c r="F41" s="287">
        <f>ScheduleTBL!F40</f>
        <v>0.44444444444444442</v>
      </c>
      <c r="G41" s="286">
        <f>ScheduleTBL!G40</f>
        <v>0.45486111111111105</v>
      </c>
      <c r="H41" s="143" t="str">
        <f>IF(ScheduleTBL!I40="NULL", "", ScheduleTBL!I40)</f>
        <v>Cavalier C</v>
      </c>
      <c r="I41" s="123" t="str">
        <f>IF(ScheduleTBL!P40="NULL", "", ScheduleTBL!P40)&amp; IF(ScheduleTBL!R40="NULL", "", ", "&amp; ScheduleTBL!R40)</f>
        <v>Jocelyn Brown-Saracino, DOE</v>
      </c>
      <c r="J41" s="79" t="str">
        <f t="shared" si="2"/>
        <v/>
      </c>
      <c r="K41" s="78" t="str">
        <f>IF(ScheduleTBL!AM40="","",HYPERLINK(ScheduleTBL!AM40,K$2))</f>
        <v/>
      </c>
      <c r="L41" s="78" t="str">
        <f>IF(ScheduleTBL!AN40="","",HYPERLINK(ScheduleTBL!AN40,L$2))</f>
        <v>Pres1</v>
      </c>
      <c r="M41" s="79"/>
      <c r="N41" s="79"/>
      <c r="O41" s="416"/>
      <c r="P41" s="383" t="e">
        <f ca="1">AVERAGE(P42:P57)</f>
        <v>#DIV/0!</v>
      </c>
      <c r="Q41" s="383" t="e">
        <f t="shared" ref="Q41:V41" ca="1" si="6">AVERAGE(Q42:Q57)</f>
        <v>#DIV/0!</v>
      </c>
      <c r="R41" s="383" t="e">
        <f t="shared" ca="1" si="6"/>
        <v>#DIV/0!</v>
      </c>
      <c r="S41" s="383" t="e">
        <f t="shared" ca="1" si="6"/>
        <v>#DIV/0!</v>
      </c>
      <c r="T41" s="383" t="e">
        <f t="shared" ca="1" si="6"/>
        <v>#DIV/0!</v>
      </c>
      <c r="U41" s="383" t="e">
        <f t="shared" ca="1" si="6"/>
        <v>#DIV/0!</v>
      </c>
      <c r="V41" s="383" t="e">
        <f t="shared" ca="1" si="6"/>
        <v>#DIV/0!</v>
      </c>
    </row>
    <row r="42" spans="1:22" s="59" customFormat="1" ht="15" hidden="1" x14ac:dyDescent="0.25">
      <c r="A42" s="240">
        <f>ScheduleTBL!A41</f>
        <v>145</v>
      </c>
      <c r="B42" s="142" t="str">
        <f>ScheduleTBL!C41</f>
        <v>SNL Wind-Turbine RCS Mitigation</v>
      </c>
      <c r="C42" s="413">
        <f>ScheduleTBL!H41</f>
        <v>42781</v>
      </c>
      <c r="D42" s="324" t="str">
        <f>IF(ScheduleTBL!J41="NULL", "", ScheduleTBL!J41)</f>
        <v>MA&amp;D</v>
      </c>
      <c r="E42" s="142" t="str">
        <f>IF(ScheduleTBL!K41="NULL", "", ScheduleTBL!K41)</f>
        <v>Siting</v>
      </c>
      <c r="F42" s="287">
        <f>ScheduleTBL!F41</f>
        <v>0.45486111111111105</v>
      </c>
      <c r="G42" s="286">
        <f>ScheduleTBL!G41</f>
        <v>0.47222222222222215</v>
      </c>
      <c r="H42" s="142" t="str">
        <f>IF(ScheduleTBL!I41="NULL", "", ScheduleTBL!I41)</f>
        <v>Cavalier C</v>
      </c>
      <c r="I42" s="127" t="str">
        <f>IF(ScheduleTBL!P41="NULL", "", ScheduleTBL!P41)&amp; IF(ScheduleTBL!R41="NULL", "", ", "&amp; ScheduleTBL!R41)</f>
        <v>Ben Karlson, SNL</v>
      </c>
      <c r="J42" s="79">
        <f t="shared" si="2"/>
        <v>145</v>
      </c>
      <c r="K42" s="78" t="str">
        <f>IF(ScheduleTBL!AM41="","",HYPERLINK(ScheduleTBL!AM41,K$2))</f>
        <v>Sum1</v>
      </c>
      <c r="L42" s="78" t="str">
        <f>IF(ScheduleTBL!AN41="","",HYPERLINK(ScheduleTBL!AN41,L$2))</f>
        <v>Pres1</v>
      </c>
      <c r="M42" s="79"/>
      <c r="N42" s="79"/>
      <c r="O42" s="416"/>
      <c r="P42" s="384" t="str">
        <f ca="1">IF(NOT(ISNUMBER($A42)), "", IF(ISERROR(INDEX(EvalDB!$I:$I, MATCH($A42, ScheduleTBL!$A:$A, 0))), "", INDEX(EvalDB!$I:$I, MATCH($A42, ScheduleTBL!$A:$A, 0))))</f>
        <v/>
      </c>
      <c r="Q42" s="235" t="str">
        <f ca="1">IF(NOT(ISNUMBER($A42)), "", IF(ISERROR(INDEX(EvalDB!$AB:$AB, MATCH($A42, ScheduleTBL!$A:$A, 0))), "", INDEX(EvalDB!$AB:$AB, MATCH($A42, ScheduleTBL!$A:$A, 0))))</f>
        <v/>
      </c>
      <c r="R42" s="235" t="str">
        <f ca="1">IF(NOT(ISNUMBER($A42)), "", IF(ISERROR(INDEX(EvalDB!$AU:$AU, MATCH($A42, ScheduleTBL!$A:$A, 0))), "", INDEX(EvalDB!$AU:$AU, MATCH($A42, ScheduleTBL!$A:$A, 0))))</f>
        <v/>
      </c>
      <c r="S42" s="235" t="str">
        <f ca="1">IF(NOT(ISNUMBER($A42)), "", IF(ISERROR(INDEX(EvalDB!$BN:$BN, MATCH($A42, ScheduleTBL!$A:$A, 0))), "", INDEX(EvalDB!$BN:$BN, MATCH($A42, ScheduleTBL!$A:$A, 0))))</f>
        <v/>
      </c>
      <c r="T42" s="235" t="str">
        <f ca="1">IF(NOT(ISNUMBER($A42)), "", IF(ISERROR(INDEX(EvalDB!$CG:$CG, MATCH($A42, ScheduleTBL!$A:$A, 0))), "", INDEX(EvalDB!$CG:$CG, MATCH($A42, ScheduleTBL!$A:$A, 0))))</f>
        <v/>
      </c>
      <c r="U42" s="235" t="str">
        <f ca="1">IF(NOT(ISNUMBER($A42)), "", IF(ISERROR(INDEX(EvalDB!$CZ:$CZ, MATCH($A42, ScheduleTBL!$A:$A, 0))), "", INDEX(EvalDB!$CZ:$CZ, MATCH($A42, ScheduleTBL!$A:$A, 0))))</f>
        <v/>
      </c>
      <c r="V42" s="235" t="e">
        <f t="shared" ca="1" si="4"/>
        <v>#DIV/0!</v>
      </c>
    </row>
    <row r="43" spans="1:22" s="59" customFormat="1" ht="15" hidden="1" x14ac:dyDescent="0.25">
      <c r="A43" s="240">
        <f>ScheduleTBL!A42</f>
        <v>128</v>
      </c>
      <c r="B43" s="142" t="str">
        <f>ScheduleTBL!C42</f>
        <v>MIT Lincoln Labs Radar Mitigation R&amp;D</v>
      </c>
      <c r="C43" s="413">
        <f>ScheduleTBL!H42</f>
        <v>42781</v>
      </c>
      <c r="D43" s="324" t="str">
        <f>IF(ScheduleTBL!J42="NULL", "", ScheduleTBL!J42)</f>
        <v>MA&amp;D</v>
      </c>
      <c r="E43" s="142" t="str">
        <f>IF(ScheduleTBL!K42="NULL", "", ScheduleTBL!K42)</f>
        <v>Siting</v>
      </c>
      <c r="F43" s="287">
        <f>ScheduleTBL!F42</f>
        <v>0.47222222222222215</v>
      </c>
      <c r="G43" s="286">
        <f>ScheduleTBL!G42</f>
        <v>0.48958333333333326</v>
      </c>
      <c r="H43" s="142" t="str">
        <f>IF(ScheduleTBL!I42="NULL", "", ScheduleTBL!I42)</f>
        <v>Cavalier C</v>
      </c>
      <c r="I43" s="127" t="str">
        <f>IF(ScheduleTBL!P42="NULL", "", ScheduleTBL!P42)&amp; IF(ScheduleTBL!R42="NULL", "", ", "&amp; ScheduleTBL!R42)</f>
        <v>Jason Biddle, MIT LL</v>
      </c>
      <c r="J43" s="79">
        <f t="shared" si="2"/>
        <v>128</v>
      </c>
      <c r="K43" s="78" t="str">
        <f>IF(ScheduleTBL!AM42="","",HYPERLINK(ScheduleTBL!AM42,K$2))</f>
        <v>Sum1</v>
      </c>
      <c r="L43" s="78" t="str">
        <f>IF(ScheduleTBL!AN42="","",HYPERLINK(ScheduleTBL!AN42,L$2))</f>
        <v>Pres1</v>
      </c>
      <c r="M43" s="79"/>
      <c r="N43" s="79"/>
      <c r="O43" s="416"/>
      <c r="P43" s="384" t="str">
        <f ca="1">IF(NOT(ISNUMBER($A43)), "", IF(ISERROR(INDEX(EvalDB!$I:$I, MATCH($A43, ScheduleTBL!$A:$A, 0))), "", INDEX(EvalDB!$I:$I, MATCH($A43, ScheduleTBL!$A:$A, 0))))</f>
        <v/>
      </c>
      <c r="Q43" s="235" t="str">
        <f ca="1">IF(NOT(ISNUMBER($A43)), "", IF(ISERROR(INDEX(EvalDB!$AB:$AB, MATCH($A43, ScheduleTBL!$A:$A, 0))), "", INDEX(EvalDB!$AB:$AB, MATCH($A43, ScheduleTBL!$A:$A, 0))))</f>
        <v/>
      </c>
      <c r="R43" s="235" t="str">
        <f ca="1">IF(NOT(ISNUMBER($A43)), "", IF(ISERROR(INDEX(EvalDB!$AU:$AU, MATCH($A43, ScheduleTBL!$A:$A, 0))), "", INDEX(EvalDB!$AU:$AU, MATCH($A43, ScheduleTBL!$A:$A, 0))))</f>
        <v/>
      </c>
      <c r="S43" s="235" t="str">
        <f ca="1">IF(NOT(ISNUMBER($A43)), "", IF(ISERROR(INDEX(EvalDB!$BN:$BN, MATCH($A43, ScheduleTBL!$A:$A, 0))), "", INDEX(EvalDB!$BN:$BN, MATCH($A43, ScheduleTBL!$A:$A, 0))))</f>
        <v/>
      </c>
      <c r="T43" s="235" t="str">
        <f ca="1">IF(NOT(ISNUMBER($A43)), "", IF(ISERROR(INDEX(EvalDB!$CG:$CG, MATCH($A43, ScheduleTBL!$A:$A, 0))), "", INDEX(EvalDB!$CG:$CG, MATCH($A43, ScheduleTBL!$A:$A, 0))))</f>
        <v/>
      </c>
      <c r="U43" s="235" t="str">
        <f ca="1">IF(NOT(ISNUMBER($A43)), "", IF(ISERROR(INDEX(EvalDB!$CZ:$CZ, MATCH($A43, ScheduleTBL!$A:$A, 0))), "", INDEX(EvalDB!$CZ:$CZ, MATCH($A43, ScheduleTBL!$A:$A, 0))))</f>
        <v/>
      </c>
      <c r="V43" s="235" t="e">
        <f t="shared" ca="1" si="4"/>
        <v>#DIV/0!</v>
      </c>
    </row>
    <row r="44" spans="1:22" s="59" customFormat="1" ht="15" hidden="1" x14ac:dyDescent="0.25">
      <c r="A44" s="240">
        <f>ScheduleTBL!A43</f>
        <v>137</v>
      </c>
      <c r="B44" s="150" t="str">
        <f>ScheduleTBL!C43</f>
        <v>Wind Environmental Collaborative Research and Support</v>
      </c>
      <c r="C44" s="413">
        <f>ScheduleTBL!H43</f>
        <v>42781</v>
      </c>
      <c r="D44" s="324" t="str">
        <f>IF(ScheduleTBL!J43="NULL", "", ScheduleTBL!J43)</f>
        <v>MA&amp;D</v>
      </c>
      <c r="E44" s="150" t="str">
        <f>IF(ScheduleTBL!K43="NULL", "", ScheduleTBL!K43)</f>
        <v>Siting</v>
      </c>
      <c r="F44" s="287">
        <f>ScheduleTBL!F43</f>
        <v>0.48958333333333326</v>
      </c>
      <c r="G44" s="286">
        <f>ScheduleTBL!G43</f>
        <v>0.50694444444444442</v>
      </c>
      <c r="H44" s="150" t="str">
        <f>IF(ScheduleTBL!I43="NULL", "", ScheduleTBL!I43)</f>
        <v>Cavalier C</v>
      </c>
      <c r="I44" s="154" t="str">
        <f>IF(ScheduleTBL!P43="NULL", "", ScheduleTBL!P43)&amp; IF(ScheduleTBL!R43="NULL", "", ", "&amp; ScheduleTBL!R43)</f>
        <v>Karin Sinclair, NREL</v>
      </c>
      <c r="J44" s="78">
        <f t="shared" si="2"/>
        <v>137</v>
      </c>
      <c r="K44" s="78" t="str">
        <f>IF(ScheduleTBL!AM43="","",HYPERLINK(ScheduleTBL!AM43,K$2))</f>
        <v>Sum1</v>
      </c>
      <c r="L44" s="78" t="str">
        <f>IF(ScheduleTBL!AN43="","",HYPERLINK(ScheduleTBL!AN43,L$2))</f>
        <v>Pres1</v>
      </c>
      <c r="M44" s="78"/>
      <c r="N44" s="78"/>
      <c r="O44" s="306"/>
      <c r="P44" s="387" t="str">
        <f ca="1">IF(NOT(ISNUMBER($A44)), "", IF(ISERROR(INDEX(EvalDB!$I:$I, MATCH($A44, ScheduleTBL!$A:$A, 0))), "", INDEX(EvalDB!$I:$I, MATCH($A44, ScheduleTBL!$A:$A, 0))))</f>
        <v/>
      </c>
      <c r="Q44" s="279" t="str">
        <f ca="1">IF(NOT(ISNUMBER($A44)), "", IF(ISERROR(INDEX(EvalDB!$AB:$AB, MATCH($A44, ScheduleTBL!$A:$A, 0))), "", INDEX(EvalDB!$AB:$AB, MATCH($A44, ScheduleTBL!$A:$A, 0))))</f>
        <v/>
      </c>
      <c r="R44" s="279" t="str">
        <f ca="1">IF(NOT(ISNUMBER($A44)), "", IF(ISERROR(INDEX(EvalDB!$AU:$AU, MATCH($A44, ScheduleTBL!$A:$A, 0))), "", INDEX(EvalDB!$AU:$AU, MATCH($A44, ScheduleTBL!$A:$A, 0))))</f>
        <v/>
      </c>
      <c r="S44" s="279" t="str">
        <f ca="1">IF(NOT(ISNUMBER($A44)), "", IF(ISERROR(INDEX(EvalDB!$BN:$BN, MATCH($A44, ScheduleTBL!$A:$A, 0))), "", INDEX(EvalDB!$BN:$BN, MATCH($A44, ScheduleTBL!$A:$A, 0))))</f>
        <v/>
      </c>
      <c r="T44" s="279" t="str">
        <f ca="1">IF(NOT(ISNUMBER($A44)), "", IF(ISERROR(INDEX(EvalDB!$CG:$CG, MATCH($A44, ScheduleTBL!$A:$A, 0))), "", INDEX(EvalDB!$CG:$CG, MATCH($A44, ScheduleTBL!$A:$A, 0))))</f>
        <v/>
      </c>
      <c r="U44" s="279" t="str">
        <f ca="1">IF(NOT(ISNUMBER($A44)), "", IF(ISERROR(INDEX(EvalDB!$CZ:$CZ, MATCH($A44, ScheduleTBL!$A:$A, 0))), "", INDEX(EvalDB!$CZ:$CZ, MATCH($A44, ScheduleTBL!$A:$A, 0))))</f>
        <v/>
      </c>
      <c r="V44" s="279" t="str">
        <f t="shared" si="4"/>
        <v/>
      </c>
    </row>
    <row r="45" spans="1:22" s="59" customFormat="1" ht="15.75" hidden="1" customHeight="1" thickBot="1" x14ac:dyDescent="0.25">
      <c r="A45" s="240" t="str">
        <f>ScheduleTBL!A44</f>
        <v>General</v>
      </c>
      <c r="B45" s="130" t="str">
        <f>ScheduleTBL!C44</f>
        <v>BREAK</v>
      </c>
      <c r="C45" s="413">
        <f>ScheduleTBL!H44</f>
        <v>42781</v>
      </c>
      <c r="D45" s="130" t="str">
        <f>IF(ScheduleTBL!J44="NULL", "", ScheduleTBL!J44)</f>
        <v>MA&amp;D</v>
      </c>
      <c r="E45" s="130" t="str">
        <f>IF(ScheduleTBL!K44="NULL", "", ScheduleTBL!K44)</f>
        <v/>
      </c>
      <c r="F45" s="298">
        <f>ScheduleTBL!F44</f>
        <v>0.50694444444444442</v>
      </c>
      <c r="G45" s="299">
        <f>ScheduleTBL!G44</f>
        <v>0.52083333333333326</v>
      </c>
      <c r="H45" s="130" t="str">
        <f>IF(ScheduleTBL!I44="NULL", "", ScheduleTBL!I44)</f>
        <v>Foyer</v>
      </c>
      <c r="I45" s="130" t="str">
        <f>IF(ScheduleTBL!P44="NULL", "", ScheduleTBL!P44)&amp; IF(ScheduleTBL!R44="NULL", "", ", "&amp; ScheduleTBL!R44)</f>
        <v/>
      </c>
      <c r="J45" s="78" t="str">
        <f t="shared" si="2"/>
        <v/>
      </c>
      <c r="K45" s="78" t="str">
        <f>IF(ScheduleTBL!AM44="","",HYPERLINK(ScheduleTBL!AM44,K$2))</f>
        <v/>
      </c>
      <c r="L45" s="78" t="str">
        <f>IF(ScheduleTBL!AN44="","",HYPERLINK(ScheduleTBL!AN44,L$2))</f>
        <v/>
      </c>
      <c r="M45" s="78"/>
      <c r="N45" s="78"/>
      <c r="O45" s="306"/>
      <c r="P45" s="317"/>
      <c r="Q45" s="317"/>
      <c r="R45" s="317"/>
      <c r="S45" s="317"/>
      <c r="T45" s="317"/>
      <c r="U45" s="317"/>
      <c r="V45" s="317"/>
    </row>
    <row r="46" spans="1:22" s="59" customFormat="1" ht="16.5" hidden="1" customHeight="1" thickTop="1" thickBot="1" x14ac:dyDescent="0.3">
      <c r="A46" s="239" t="str">
        <f>ScheduleTBL!A45</f>
        <v>General</v>
      </c>
      <c r="B46" s="376" t="str">
        <f>ScheduleTBL!C45</f>
        <v>LUNCH</v>
      </c>
      <c r="C46" s="413">
        <f>ScheduleTBL!H45</f>
        <v>42781</v>
      </c>
      <c r="D46" s="376" t="str">
        <f>IF(ScheduleTBL!J45="NULL", "", ScheduleTBL!J45)</f>
        <v>MA&amp;D</v>
      </c>
      <c r="E46" s="376" t="str">
        <f>IF(ScheduleTBL!K45="NULL", "", ScheduleTBL!K45)</f>
        <v/>
      </c>
      <c r="F46" s="377">
        <f>ScheduleTBL!F45</f>
        <v>0.52083333333333326</v>
      </c>
      <c r="G46" s="378">
        <f>ScheduleTBL!G45</f>
        <v>0.56249999999999989</v>
      </c>
      <c r="H46" s="376" t="str">
        <f>IF(ScheduleTBL!I45="NULL", "", ScheduleTBL!I45)</f>
        <v>Commonwealth Ballroom</v>
      </c>
      <c r="I46" s="376" t="str">
        <f>IF(ScheduleTBL!P45="NULL", "", ScheduleTBL!P45)&amp; IF(ScheduleTBL!R45="NULL", "", ", "&amp; ScheduleTBL!R45)</f>
        <v>tbd, tbd</v>
      </c>
      <c r="J46" s="78" t="str">
        <f t="shared" si="2"/>
        <v/>
      </c>
      <c r="K46" s="78" t="str">
        <f>IF(ScheduleTBL!AM45="","",HYPERLINK(ScheduleTBL!AM45,K$2))</f>
        <v/>
      </c>
      <c r="L46" s="78" t="str">
        <f>IF(ScheduleTBL!AN45="","",HYPERLINK(ScheduleTBL!AN45,L$2))</f>
        <v/>
      </c>
      <c r="M46" s="78"/>
      <c r="N46" s="78"/>
      <c r="O46" s="306"/>
      <c r="P46" s="317"/>
      <c r="Q46" s="317"/>
      <c r="R46" s="317"/>
      <c r="S46" s="317"/>
      <c r="T46" s="317"/>
      <c r="U46" s="317"/>
      <c r="V46" s="317"/>
    </row>
    <row r="47" spans="1:22" s="59" customFormat="1" ht="16.5" hidden="1" customHeight="1" thickTop="1" thickBot="1" x14ac:dyDescent="0.3">
      <c r="A47" s="240" t="str">
        <f>ScheduleTBL!A46</f>
        <v>Recap</v>
      </c>
      <c r="B47" s="138" t="str">
        <f>ScheduleTBL!C46</f>
        <v>Recap – Siting, Radar, and Environmental</v>
      </c>
      <c r="C47" s="413">
        <f>ScheduleTBL!H46</f>
        <v>42781</v>
      </c>
      <c r="D47" s="143" t="str">
        <f>IF(ScheduleTBL!J46="NULL", "", ScheduleTBL!J46)</f>
        <v>MA&amp;D</v>
      </c>
      <c r="E47" s="143" t="str">
        <f>IF(ScheduleTBL!K46="NULL", "", ScheduleTBL!K46)</f>
        <v>Siting</v>
      </c>
      <c r="F47" s="287">
        <f>ScheduleTBL!F46</f>
        <v>0.56249999999999989</v>
      </c>
      <c r="G47" s="286">
        <f>ScheduleTBL!G46</f>
        <v>0.5659722222222221</v>
      </c>
      <c r="H47" s="143" t="str">
        <f>IF(ScheduleTBL!I46="NULL", "", ScheduleTBL!I46)</f>
        <v>Cavalier C</v>
      </c>
      <c r="I47" s="123" t="str">
        <f>IF(ScheduleTBL!P46="NULL", "", ScheduleTBL!P46)&amp; IF(ScheduleTBL!R46="NULL", "", ", "&amp; ScheduleTBL!R46)</f>
        <v>Jocelyn Brown-Saracino, DOE</v>
      </c>
      <c r="J47" s="78" t="str">
        <f t="shared" si="2"/>
        <v/>
      </c>
      <c r="K47" s="78" t="str">
        <f>IF(ScheduleTBL!AM46="","",HYPERLINK(ScheduleTBL!AM46,K$2))</f>
        <v/>
      </c>
      <c r="L47" s="78" t="str">
        <f>IF(ScheduleTBL!AN46="","",HYPERLINK(ScheduleTBL!AN46,L$2))</f>
        <v/>
      </c>
      <c r="M47" s="78"/>
      <c r="N47" s="78"/>
      <c r="O47" s="306"/>
      <c r="P47" s="309"/>
      <c r="Q47" s="309"/>
      <c r="R47" s="309"/>
      <c r="S47" s="309"/>
      <c r="T47" s="309"/>
      <c r="U47" s="309"/>
      <c r="V47" s="309"/>
    </row>
    <row r="48" spans="1:22" s="59" customFormat="1" ht="15" hidden="1" x14ac:dyDescent="0.25">
      <c r="A48" s="240">
        <f>ScheduleTBL!A47</f>
        <v>150</v>
      </c>
      <c r="B48" s="142" t="str">
        <f>ScheduleTBL!C47</f>
        <v>Texturizing Wind Turbine Towers to Reduce Bat Mortality</v>
      </c>
      <c r="C48" s="413">
        <f>ScheduleTBL!H47</f>
        <v>42781</v>
      </c>
      <c r="D48" s="324" t="str">
        <f>IF(ScheduleTBL!J47="NULL", "", ScheduleTBL!J47)</f>
        <v>MA&amp;D</v>
      </c>
      <c r="E48" s="142" t="str">
        <f>IF(ScheduleTBL!K47="NULL", "", ScheduleTBL!K47)</f>
        <v>Siting</v>
      </c>
      <c r="F48" s="287">
        <f>ScheduleTBL!F47</f>
        <v>0.5659722222222221</v>
      </c>
      <c r="G48" s="286">
        <f>ScheduleTBL!G47</f>
        <v>0.58333333333333315</v>
      </c>
      <c r="H48" s="142" t="str">
        <f>IF(ScheduleTBL!I47="NULL", "", ScheduleTBL!I47)</f>
        <v>Cavalier C</v>
      </c>
      <c r="I48" s="127" t="str">
        <f>IF(ScheduleTBL!P47="NULL", "", ScheduleTBL!P47)&amp; IF(ScheduleTBL!R47="NULL", "", ", "&amp; ScheduleTBL!R47)</f>
        <v>Victoria Bennett, Texas Christian University</v>
      </c>
      <c r="J48" s="78">
        <f t="shared" si="2"/>
        <v>150</v>
      </c>
      <c r="K48" s="78" t="str">
        <f>IF(ScheduleTBL!AM47="","",HYPERLINK(ScheduleTBL!AM47,K$2))</f>
        <v>Sum1</v>
      </c>
      <c r="L48" s="78" t="str">
        <f>IF(ScheduleTBL!AN47="","",HYPERLINK(ScheduleTBL!AN47,L$2))</f>
        <v>Pres1</v>
      </c>
      <c r="M48" s="78"/>
      <c r="N48" s="78"/>
      <c r="O48" s="306"/>
      <c r="P48" s="384" t="str">
        <f ca="1">IF(NOT(ISNUMBER($A48)), "", IF(ISERROR(INDEX(EvalDB!$I:$I, MATCH($A48, ScheduleTBL!$A:$A, 0))), "", INDEX(EvalDB!$I:$I, MATCH($A48, ScheduleTBL!$A:$A, 0))))</f>
        <v/>
      </c>
      <c r="Q48" s="235" t="str">
        <f ca="1">IF(NOT(ISNUMBER($A48)), "", IF(ISERROR(INDEX(EvalDB!$AB:$AB, MATCH($A48, ScheduleTBL!$A:$A, 0))), "", INDEX(EvalDB!$AB:$AB, MATCH($A48, ScheduleTBL!$A:$A, 0))))</f>
        <v/>
      </c>
      <c r="R48" s="235" t="str">
        <f ca="1">IF(NOT(ISNUMBER($A48)), "", IF(ISERROR(INDEX(EvalDB!$AU:$AU, MATCH($A48, ScheduleTBL!$A:$A, 0))), "", INDEX(EvalDB!$AU:$AU, MATCH($A48, ScheduleTBL!$A:$A, 0))))</f>
        <v/>
      </c>
      <c r="S48" s="235" t="str">
        <f ca="1">IF(NOT(ISNUMBER($A48)), "", IF(ISERROR(INDEX(EvalDB!$BN:$BN, MATCH($A48, ScheduleTBL!$A:$A, 0))), "", INDEX(EvalDB!$BN:$BN, MATCH($A48, ScheduleTBL!$A:$A, 0))))</f>
        <v/>
      </c>
      <c r="T48" s="235" t="str">
        <f ca="1">IF(NOT(ISNUMBER($A48)), "", IF(ISERROR(INDEX(EvalDB!$CG:$CG, MATCH($A48, ScheduleTBL!$A:$A, 0))), "", INDEX(EvalDB!$CG:$CG, MATCH($A48, ScheduleTBL!$A:$A, 0))))</f>
        <v/>
      </c>
      <c r="U48" s="235" t="str">
        <f ca="1">IF(NOT(ISNUMBER($A48)), "", IF(ISERROR(INDEX(EvalDB!$CZ:$CZ, MATCH($A48, ScheduleTBL!$A:$A, 0))), "", INDEX(EvalDB!$CZ:$CZ, MATCH($A48, ScheduleTBL!$A:$A, 0))))</f>
        <v/>
      </c>
      <c r="V48" s="235" t="e">
        <f t="shared" ca="1" si="4"/>
        <v>#DIV/0!</v>
      </c>
    </row>
    <row r="49" spans="1:22" s="59" customFormat="1" ht="15" hidden="1" x14ac:dyDescent="0.25">
      <c r="A49" s="240">
        <f>ScheduleTBL!A48</f>
        <v>149</v>
      </c>
      <c r="B49" s="142" t="str">
        <f>ScheduleTBL!C48</f>
        <v>A Biomimetic Ultrasonic Whistle for Use as a Bat Deterrent on Wind Turbines</v>
      </c>
      <c r="C49" s="413">
        <f>ScheduleTBL!H48</f>
        <v>42781</v>
      </c>
      <c r="D49" s="324" t="str">
        <f>IF(ScheduleTBL!J48="NULL", "", ScheduleTBL!J48)</f>
        <v>MA&amp;D</v>
      </c>
      <c r="E49" s="142" t="str">
        <f>IF(ScheduleTBL!K48="NULL", "", ScheduleTBL!K48)</f>
        <v>Siting</v>
      </c>
      <c r="F49" s="287">
        <f>ScheduleTBL!F48</f>
        <v>0.58333333333333315</v>
      </c>
      <c r="G49" s="286">
        <f>ScheduleTBL!G48</f>
        <v>0.6006944444444442</v>
      </c>
      <c r="H49" s="142" t="str">
        <f>IF(ScheduleTBL!I48="NULL", "", ScheduleTBL!I48)</f>
        <v>Cavalier C</v>
      </c>
      <c r="I49" s="127" t="str">
        <f>IF(ScheduleTBL!P48="NULL", "", ScheduleTBL!P48)&amp; IF(ScheduleTBL!R48="NULL", "", ", "&amp; ScheduleTBL!R48)</f>
        <v>Paul Sievert, University of Massachusetts Amherst</v>
      </c>
      <c r="J49" s="79">
        <f t="shared" si="2"/>
        <v>149</v>
      </c>
      <c r="K49" s="78" t="str">
        <f>IF(ScheduleTBL!AM48="","",HYPERLINK(ScheduleTBL!AM48,K$2))</f>
        <v>Sum1</v>
      </c>
      <c r="L49" s="78" t="str">
        <f>IF(ScheduleTBL!AN48="","",HYPERLINK(ScheduleTBL!AN48,L$2))</f>
        <v>Pres1</v>
      </c>
      <c r="M49" s="79"/>
      <c r="N49" s="79"/>
      <c r="O49" s="416"/>
      <c r="P49" s="384" t="str">
        <f ca="1">IF(NOT(ISNUMBER($A49)), "", IF(ISERROR(INDEX(EvalDB!$I:$I, MATCH($A49, ScheduleTBL!$A:$A, 0))), "", INDEX(EvalDB!$I:$I, MATCH($A49, ScheduleTBL!$A:$A, 0))))</f>
        <v/>
      </c>
      <c r="Q49" s="235" t="str">
        <f ca="1">IF(NOT(ISNUMBER($A49)), "", IF(ISERROR(INDEX(EvalDB!$AB:$AB, MATCH($A49, ScheduleTBL!$A:$A, 0))), "", INDEX(EvalDB!$AB:$AB, MATCH($A49, ScheduleTBL!$A:$A, 0))))</f>
        <v/>
      </c>
      <c r="R49" s="235" t="str">
        <f ca="1">IF(NOT(ISNUMBER($A49)), "", IF(ISERROR(INDEX(EvalDB!$AU:$AU, MATCH($A49, ScheduleTBL!$A:$A, 0))), "", INDEX(EvalDB!$AU:$AU, MATCH($A49, ScheduleTBL!$A:$A, 0))))</f>
        <v/>
      </c>
      <c r="S49" s="235" t="str">
        <f ca="1">IF(NOT(ISNUMBER($A49)), "", IF(ISERROR(INDEX(EvalDB!$BN:$BN, MATCH($A49, ScheduleTBL!$A:$A, 0))), "", INDEX(EvalDB!$BN:$BN, MATCH($A49, ScheduleTBL!$A:$A, 0))))</f>
        <v/>
      </c>
      <c r="T49" s="235" t="str">
        <f ca="1">IF(NOT(ISNUMBER($A49)), "", IF(ISERROR(INDEX(EvalDB!$CG:$CG, MATCH($A49, ScheduleTBL!$A:$A, 0))), "", INDEX(EvalDB!$CG:$CG, MATCH($A49, ScheduleTBL!$A:$A, 0))))</f>
        <v/>
      </c>
      <c r="U49" s="235" t="str">
        <f ca="1">IF(NOT(ISNUMBER($A49)), "", IF(ISERROR(INDEX(EvalDB!$CZ:$CZ, MATCH($A49, ScheduleTBL!$A:$A, 0))), "", INDEX(EvalDB!$CZ:$CZ, MATCH($A49, ScheduleTBL!$A:$A, 0))))</f>
        <v/>
      </c>
      <c r="V49" s="235" t="e">
        <f t="shared" ca="1" si="4"/>
        <v>#DIV/0!</v>
      </c>
    </row>
    <row r="50" spans="1:22" s="59" customFormat="1" ht="15" hidden="1" x14ac:dyDescent="0.25">
      <c r="A50" s="240">
        <f>ScheduleTBL!A49</f>
        <v>151</v>
      </c>
      <c r="B50" s="142" t="str">
        <f>ScheduleTBL!C49</f>
        <v>Rotor-Mounted Bat Impact Mitigation System</v>
      </c>
      <c r="C50" s="413">
        <f>ScheduleTBL!H49</f>
        <v>42781</v>
      </c>
      <c r="D50" s="324" t="str">
        <f>IF(ScheduleTBL!J49="NULL", "", ScheduleTBL!J49)</f>
        <v>MA&amp;D</v>
      </c>
      <c r="E50" s="142" t="str">
        <f>IF(ScheduleTBL!K49="NULL", "", ScheduleTBL!K49)</f>
        <v>Siting</v>
      </c>
      <c r="F50" s="287">
        <f>ScheduleTBL!F49</f>
        <v>0.6006944444444442</v>
      </c>
      <c r="G50" s="286">
        <f>ScheduleTBL!G49</f>
        <v>0.61805555555555525</v>
      </c>
      <c r="H50" s="142" t="str">
        <f>IF(ScheduleTBL!I49="NULL", "", ScheduleTBL!I49)</f>
        <v>Cavalier C</v>
      </c>
      <c r="I50" s="127" t="str">
        <f>IF(ScheduleTBL!P49="NULL", "", ScheduleTBL!P49)&amp; IF(ScheduleTBL!R49="NULL", "", ", "&amp; ScheduleTBL!R49)</f>
        <v>Myron Miller, Frontier Wind LLC</v>
      </c>
      <c r="J50" s="78">
        <f t="shared" si="2"/>
        <v>151</v>
      </c>
      <c r="K50" s="78" t="str">
        <f>IF(ScheduleTBL!AM49="","",HYPERLINK(ScheduleTBL!AM49,K$2))</f>
        <v>Sum1</v>
      </c>
      <c r="L50" s="78" t="str">
        <f>IF(ScheduleTBL!AN49="","",HYPERLINK(ScheduleTBL!AN49,L$2))</f>
        <v>Pres1</v>
      </c>
      <c r="M50" s="78"/>
      <c r="N50" s="78"/>
      <c r="O50" s="306"/>
      <c r="P50" s="384" t="str">
        <f ca="1">IF(NOT(ISNUMBER($A50)), "", IF(ISERROR(INDEX(EvalDB!$I:$I, MATCH($A50, ScheduleTBL!$A:$A, 0))), "", INDEX(EvalDB!$I:$I, MATCH($A50, ScheduleTBL!$A:$A, 0))))</f>
        <v/>
      </c>
      <c r="Q50" s="235" t="str">
        <f ca="1">IF(NOT(ISNUMBER($A50)), "", IF(ISERROR(INDEX(EvalDB!$AB:$AB, MATCH($A50, ScheduleTBL!$A:$A, 0))), "", INDEX(EvalDB!$AB:$AB, MATCH($A50, ScheduleTBL!$A:$A, 0))))</f>
        <v/>
      </c>
      <c r="R50" s="235" t="str">
        <f ca="1">IF(NOT(ISNUMBER($A50)), "", IF(ISERROR(INDEX(EvalDB!$AU:$AU, MATCH($A50, ScheduleTBL!$A:$A, 0))), "", INDEX(EvalDB!$AU:$AU, MATCH($A50, ScheduleTBL!$A:$A, 0))))</f>
        <v/>
      </c>
      <c r="S50" s="235" t="str">
        <f ca="1">IF(NOT(ISNUMBER($A50)), "", IF(ISERROR(INDEX(EvalDB!$BN:$BN, MATCH($A50, ScheduleTBL!$A:$A, 0))), "", INDEX(EvalDB!$BN:$BN, MATCH($A50, ScheduleTBL!$A:$A, 0))))</f>
        <v/>
      </c>
      <c r="T50" s="235" t="str">
        <f ca="1">IF(NOT(ISNUMBER($A50)), "", IF(ISERROR(INDEX(EvalDB!$CG:$CG, MATCH($A50, ScheduleTBL!$A:$A, 0))), "", INDEX(EvalDB!$CG:$CG, MATCH($A50, ScheduleTBL!$A:$A, 0))))</f>
        <v/>
      </c>
      <c r="U50" s="235" t="str">
        <f ca="1">IF(NOT(ISNUMBER($A50)), "", IF(ISERROR(INDEX(EvalDB!$CZ:$CZ, MATCH($A50, ScheduleTBL!$A:$A, 0))), "", INDEX(EvalDB!$CZ:$CZ, MATCH($A50, ScheduleTBL!$A:$A, 0))))</f>
        <v/>
      </c>
      <c r="V50" s="235" t="e">
        <f t="shared" ca="1" si="4"/>
        <v>#DIV/0!</v>
      </c>
    </row>
    <row r="51" spans="1:22" s="59" customFormat="1" ht="15" hidden="1" x14ac:dyDescent="0.25">
      <c r="A51" s="240">
        <f>ScheduleTBL!A50</f>
        <v>152</v>
      </c>
      <c r="B51" s="142" t="str">
        <f>ScheduleTBL!C50</f>
        <v>Ultrasonic Bat Deterrent Technology</v>
      </c>
      <c r="C51" s="413">
        <f>ScheduleTBL!H50</f>
        <v>42781</v>
      </c>
      <c r="D51" s="324" t="str">
        <f>IF(ScheduleTBL!J50="NULL", "", ScheduleTBL!J50)</f>
        <v>MA&amp;D</v>
      </c>
      <c r="E51" s="142" t="str">
        <f>IF(ScheduleTBL!K50="NULL", "", ScheduleTBL!K50)</f>
        <v>Siting</v>
      </c>
      <c r="F51" s="287">
        <f>ScheduleTBL!F50</f>
        <v>0.61805555555555525</v>
      </c>
      <c r="G51" s="286">
        <f>ScheduleTBL!G50</f>
        <v>0.6354166666666663</v>
      </c>
      <c r="H51" s="142" t="str">
        <f>IF(ScheduleTBL!I50="NULL", "", ScheduleTBL!I50)</f>
        <v>Cavalier C</v>
      </c>
      <c r="I51" s="127" t="str">
        <f>IF(ScheduleTBL!P50="NULL", "", ScheduleTBL!P50)&amp; IF(ScheduleTBL!R50="NULL", "", ", "&amp; ScheduleTBL!R50)</f>
        <v>Michael Booth, General Electric</v>
      </c>
      <c r="J51" s="79">
        <f t="shared" si="2"/>
        <v>152</v>
      </c>
      <c r="K51" s="78" t="str">
        <f>IF(ScheduleTBL!AM50="","",HYPERLINK(ScheduleTBL!AM50,K$2))</f>
        <v>Sum1</v>
      </c>
      <c r="L51" s="78" t="str">
        <f>IF(ScheduleTBL!AN50="","",HYPERLINK(ScheduleTBL!AN50,L$2))</f>
        <v>Pres1</v>
      </c>
      <c r="M51" s="79"/>
      <c r="N51" s="79"/>
      <c r="O51" s="416"/>
      <c r="P51" s="384" t="str">
        <f ca="1">IF(NOT(ISNUMBER($A51)), "", IF(ISERROR(INDEX(EvalDB!$I:$I, MATCH($A51, ScheduleTBL!$A:$A, 0))), "", INDEX(EvalDB!$I:$I, MATCH($A51, ScheduleTBL!$A:$A, 0))))</f>
        <v/>
      </c>
      <c r="Q51" s="235" t="str">
        <f ca="1">IF(NOT(ISNUMBER($A51)), "", IF(ISERROR(INDEX(EvalDB!$AB:$AB, MATCH($A51, ScheduleTBL!$A:$A, 0))), "", INDEX(EvalDB!$AB:$AB, MATCH($A51, ScheduleTBL!$A:$A, 0))))</f>
        <v/>
      </c>
      <c r="R51" s="235" t="str">
        <f ca="1">IF(NOT(ISNUMBER($A51)), "", IF(ISERROR(INDEX(EvalDB!$AU:$AU, MATCH($A51, ScheduleTBL!$A:$A, 0))), "", INDEX(EvalDB!$AU:$AU, MATCH($A51, ScheduleTBL!$A:$A, 0))))</f>
        <v/>
      </c>
      <c r="S51" s="235" t="str">
        <f ca="1">IF(NOT(ISNUMBER($A51)), "", IF(ISERROR(INDEX(EvalDB!$BN:$BN, MATCH($A51, ScheduleTBL!$A:$A, 0))), "", INDEX(EvalDB!$BN:$BN, MATCH($A51, ScheduleTBL!$A:$A, 0))))</f>
        <v/>
      </c>
      <c r="T51" s="235" t="str">
        <f ca="1">IF(NOT(ISNUMBER($A51)), "", IF(ISERROR(INDEX(EvalDB!$CG:$CG, MATCH($A51, ScheduleTBL!$A:$A, 0))), "", INDEX(EvalDB!$CG:$CG, MATCH($A51, ScheduleTBL!$A:$A, 0))))</f>
        <v/>
      </c>
      <c r="U51" s="235" t="str">
        <f ca="1">IF(NOT(ISNUMBER($A51)), "", IF(ISERROR(INDEX(EvalDB!$CZ:$CZ, MATCH($A51, ScheduleTBL!$A:$A, 0))), "", INDEX(EvalDB!$CZ:$CZ, MATCH($A51, ScheduleTBL!$A:$A, 0))))</f>
        <v/>
      </c>
      <c r="V51" s="235" t="e">
        <f t="shared" ca="1" si="4"/>
        <v>#DIV/0!</v>
      </c>
    </row>
    <row r="52" spans="1:22" s="59" customFormat="1" ht="15" hidden="1" x14ac:dyDescent="0.25">
      <c r="A52" s="240">
        <f>ScheduleTBL!A51</f>
        <v>153</v>
      </c>
      <c r="B52" s="142" t="str">
        <f>ScheduleTBL!C51</f>
        <v>Evaluating the Effectiveness of Ultrasonic Acoustic Deterrents in Reducing Bat Fatalities at Wind Energy Facilities</v>
      </c>
      <c r="C52" s="413">
        <f>ScheduleTBL!H51</f>
        <v>42781</v>
      </c>
      <c r="D52" s="324" t="str">
        <f>IF(ScheduleTBL!J51="NULL", "", ScheduleTBL!J51)</f>
        <v>MA&amp;D</v>
      </c>
      <c r="E52" s="142" t="str">
        <f>IF(ScheduleTBL!K51="NULL", "", ScheduleTBL!K51)</f>
        <v>Siting</v>
      </c>
      <c r="F52" s="287">
        <f>ScheduleTBL!F51</f>
        <v>0.6354166666666663</v>
      </c>
      <c r="G52" s="286">
        <f>ScheduleTBL!G51</f>
        <v>0.65277777777777735</v>
      </c>
      <c r="H52" s="142" t="str">
        <f>IF(ScheduleTBL!I51="NULL", "", ScheduleTBL!I51)</f>
        <v>Cavalier C</v>
      </c>
      <c r="I52" s="127" t="str">
        <f>IF(ScheduleTBL!P51="NULL", "", ScheduleTBL!P51)&amp; IF(ScheduleTBL!R51="NULL", "", ", "&amp; ScheduleTBL!R51)</f>
        <v>Cris Hein, Bat Conservation International</v>
      </c>
      <c r="J52" s="78">
        <f t="shared" si="2"/>
        <v>153</v>
      </c>
      <c r="K52" s="78" t="str">
        <f>IF(ScheduleTBL!AM51="","",HYPERLINK(ScheduleTBL!AM51,K$2))</f>
        <v>Sum1</v>
      </c>
      <c r="L52" s="78" t="str">
        <f>IF(ScheduleTBL!AN51="","",HYPERLINK(ScheduleTBL!AN51,L$2))</f>
        <v>Pres1</v>
      </c>
      <c r="M52" s="78"/>
      <c r="N52" s="78"/>
      <c r="O52" s="306"/>
      <c r="P52" s="388" t="str">
        <f ca="1">IF(NOT(ISNUMBER($A52)), "", IF(ISERROR(INDEX(EvalDB!$I:$I, MATCH($A52, ScheduleTBL!$A:$A, 0))), "", INDEX(EvalDB!$I:$I, MATCH($A52, ScheduleTBL!$A:$A, 0))))</f>
        <v/>
      </c>
      <c r="Q52" s="280" t="str">
        <f ca="1">IF(NOT(ISNUMBER($A52)), "", IF(ISERROR(INDEX(EvalDB!$AB:$AB, MATCH($A52, ScheduleTBL!$A:$A, 0))), "", INDEX(EvalDB!$AB:$AB, MATCH($A52, ScheduleTBL!$A:$A, 0))))</f>
        <v/>
      </c>
      <c r="R52" s="280" t="str">
        <f ca="1">IF(NOT(ISNUMBER($A52)), "", IF(ISERROR(INDEX(EvalDB!$AU:$AU, MATCH($A52, ScheduleTBL!$A:$A, 0))), "", INDEX(EvalDB!$AU:$AU, MATCH($A52, ScheduleTBL!$A:$A, 0))))</f>
        <v/>
      </c>
      <c r="S52" s="280" t="str">
        <f ca="1">IF(NOT(ISNUMBER($A52)), "", IF(ISERROR(INDEX(EvalDB!$BN:$BN, MATCH($A52, ScheduleTBL!$A:$A, 0))), "", INDEX(EvalDB!$BN:$BN, MATCH($A52, ScheduleTBL!$A:$A, 0))))</f>
        <v/>
      </c>
      <c r="T52" s="280" t="str">
        <f ca="1">IF(NOT(ISNUMBER($A52)), "", IF(ISERROR(INDEX(EvalDB!$CG:$CG, MATCH($A52, ScheduleTBL!$A:$A, 0))), "", INDEX(EvalDB!$CG:$CG, MATCH($A52, ScheduleTBL!$A:$A, 0))))</f>
        <v/>
      </c>
      <c r="U52" s="280" t="str">
        <f ca="1">IF(NOT(ISNUMBER($A52)), "", IF(ISERROR(INDEX(EvalDB!$CZ:$CZ, MATCH($A52, ScheduleTBL!$A:$A, 0))), "", INDEX(EvalDB!$CZ:$CZ, MATCH($A52, ScheduleTBL!$A:$A, 0))))</f>
        <v/>
      </c>
      <c r="V52" s="280" t="str">
        <f t="shared" si="4"/>
        <v/>
      </c>
    </row>
    <row r="53" spans="1:22" s="59" customFormat="1" ht="15.75" hidden="1" customHeight="1" thickBot="1" x14ac:dyDescent="0.25">
      <c r="A53" s="240" t="str">
        <f>ScheduleTBL!A52</f>
        <v>General</v>
      </c>
      <c r="B53" s="130" t="str">
        <f>ScheduleTBL!C52</f>
        <v>BREAK</v>
      </c>
      <c r="C53" s="413">
        <f>ScheduleTBL!H52</f>
        <v>42781</v>
      </c>
      <c r="D53" s="130" t="str">
        <f>IF(ScheduleTBL!J52="NULL", "", ScheduleTBL!J52)</f>
        <v>MA&amp;D</v>
      </c>
      <c r="E53" s="130" t="str">
        <f>IF(ScheduleTBL!K52="NULL", "", ScheduleTBL!K52)</f>
        <v/>
      </c>
      <c r="F53" s="298">
        <f>ScheduleTBL!F52</f>
        <v>0.65277777777777735</v>
      </c>
      <c r="G53" s="299">
        <f>ScheduleTBL!G52</f>
        <v>0.66319444444444398</v>
      </c>
      <c r="H53" s="130" t="str">
        <f>IF(ScheduleTBL!I52="NULL", "", ScheduleTBL!I52)</f>
        <v>Foyer</v>
      </c>
      <c r="I53" s="130" t="str">
        <f>IF(ScheduleTBL!P52="NULL", "", ScheduleTBL!P52)&amp; IF(ScheduleTBL!R52="NULL", "", ", "&amp; ScheduleTBL!R52)</f>
        <v/>
      </c>
      <c r="J53" s="78" t="str">
        <f t="shared" si="2"/>
        <v/>
      </c>
      <c r="K53" s="78" t="str">
        <f>IF(ScheduleTBL!AM52="","",HYPERLINK(ScheduleTBL!AM52,K$2))</f>
        <v/>
      </c>
      <c r="L53" s="78" t="str">
        <f>IF(ScheduleTBL!AN52="","",HYPERLINK(ScheduleTBL!AN52,L$2))</f>
        <v/>
      </c>
      <c r="M53" s="78"/>
      <c r="N53" s="78"/>
      <c r="O53" s="306"/>
      <c r="P53" s="318"/>
      <c r="Q53" s="318"/>
      <c r="R53" s="318"/>
      <c r="S53" s="318"/>
      <c r="T53" s="318"/>
      <c r="U53" s="318"/>
      <c r="V53" s="318"/>
    </row>
    <row r="54" spans="1:22" s="59" customFormat="1" ht="16.5" hidden="1" customHeight="1" thickTop="1" thickBot="1" x14ac:dyDescent="0.3">
      <c r="A54" s="240" t="str">
        <f>ScheduleTBL!A53</f>
        <v>Recap</v>
      </c>
      <c r="B54" s="138" t="str">
        <f>ScheduleTBL!C53</f>
        <v>Recap – Siting, Radar, and Environmental</v>
      </c>
      <c r="C54" s="413">
        <f>ScheduleTBL!H53</f>
        <v>42781</v>
      </c>
      <c r="D54" s="143" t="str">
        <f>IF(ScheduleTBL!J53="NULL", "", ScheduleTBL!J53)</f>
        <v>MA&amp;D</v>
      </c>
      <c r="E54" s="143" t="str">
        <f>IF(ScheduleTBL!K53="NULL", "", ScheduleTBL!K53)</f>
        <v>Siting</v>
      </c>
      <c r="F54" s="287">
        <f>ScheduleTBL!F53</f>
        <v>0.66319444444444398</v>
      </c>
      <c r="G54" s="286">
        <f>ScheduleTBL!G53</f>
        <v>0.66666666666666619</v>
      </c>
      <c r="H54" s="143" t="str">
        <f>IF(ScheduleTBL!I53="NULL", "", ScheduleTBL!I53)</f>
        <v>Cavalier C</v>
      </c>
      <c r="I54" s="123" t="str">
        <f>IF(ScheduleTBL!P53="NULL", "", ScheduleTBL!P53)&amp; IF(ScheduleTBL!R53="NULL", "", ", "&amp; ScheduleTBL!R53)</f>
        <v>Jocelyn Brown-Saracino, DOE</v>
      </c>
      <c r="J54" s="78" t="str">
        <f t="shared" si="2"/>
        <v/>
      </c>
      <c r="K54" s="78" t="str">
        <f>IF(ScheduleTBL!AM53="","",HYPERLINK(ScheduleTBL!AM53,K$2))</f>
        <v/>
      </c>
      <c r="L54" s="78" t="str">
        <f>IF(ScheduleTBL!AN53="","",HYPERLINK(ScheduleTBL!AN53,L$2))</f>
        <v/>
      </c>
      <c r="M54" s="78"/>
      <c r="N54" s="78"/>
      <c r="O54" s="306"/>
      <c r="P54" s="309"/>
      <c r="Q54" s="309"/>
      <c r="R54" s="309"/>
      <c r="S54" s="309"/>
      <c r="T54" s="309"/>
      <c r="U54" s="309"/>
      <c r="V54" s="309"/>
    </row>
    <row r="55" spans="1:22" s="59" customFormat="1" ht="15" hidden="1" customHeight="1" x14ac:dyDescent="0.25">
      <c r="A55" s="241">
        <f>ScheduleTBL!A54</f>
        <v>143</v>
      </c>
      <c r="B55" s="142" t="str">
        <f>ScheduleTBL!C54</f>
        <v>OSW Environmental Data Aggregation, Analysis and Dissemination</v>
      </c>
      <c r="C55" s="413">
        <f>ScheduleTBL!H54</f>
        <v>42781</v>
      </c>
      <c r="D55" s="324" t="str">
        <f>IF(ScheduleTBL!J54="NULL", "", ScheduleTBL!J54)</f>
        <v>MA&amp;D</v>
      </c>
      <c r="E55" s="142" t="str">
        <f>IF(ScheduleTBL!K54="NULL", "", ScheduleTBL!K54)</f>
        <v>Siting</v>
      </c>
      <c r="F55" s="287">
        <f>ScheduleTBL!F54</f>
        <v>0.66666666666666619</v>
      </c>
      <c r="G55" s="286">
        <f>ScheduleTBL!G54</f>
        <v>0.68055555555555503</v>
      </c>
      <c r="H55" s="142" t="str">
        <f>IF(ScheduleTBL!I54="NULL", "", ScheduleTBL!I54)</f>
        <v>Cavalier C</v>
      </c>
      <c r="I55" s="127" t="str">
        <f>IF(ScheduleTBL!P54="NULL", "", ScheduleTBL!P54)&amp; IF(ScheduleTBL!R54="NULL", "", ", "&amp; ScheduleTBL!R54)</f>
        <v>Andrea Copping, PNNL</v>
      </c>
      <c r="J55" s="78">
        <f t="shared" si="2"/>
        <v>143</v>
      </c>
      <c r="K55" s="78" t="str">
        <f>IF(ScheduleTBL!AM54="","",HYPERLINK(ScheduleTBL!AM54,K$2))</f>
        <v>Sum1</v>
      </c>
      <c r="L55" s="78" t="str">
        <f>IF(ScheduleTBL!AN54="","",HYPERLINK(ScheduleTBL!AN54,L$2))</f>
        <v>Pres1</v>
      </c>
      <c r="M55" s="78"/>
      <c r="N55" s="78"/>
      <c r="O55" s="389"/>
      <c r="P55" s="384" t="str">
        <f ca="1">IF(NOT(ISNUMBER($A55)), "", IF(ISERROR(INDEX(EvalDB!$I:$I, MATCH($A55, ScheduleTBL!$A:$A, 0))), "", INDEX(EvalDB!$I:$I, MATCH($A55, ScheduleTBL!$A:$A, 0))))</f>
        <v/>
      </c>
      <c r="Q55" s="235" t="str">
        <f ca="1">IF(NOT(ISNUMBER($A55)), "", IF(ISERROR(INDEX(EvalDB!$AB:$AB, MATCH($A55, ScheduleTBL!$A:$A, 0))), "", INDEX(EvalDB!$AB:$AB, MATCH($A55, ScheduleTBL!$A:$A, 0))))</f>
        <v/>
      </c>
      <c r="R55" s="235" t="str">
        <f ca="1">IF(NOT(ISNUMBER($A55)), "", IF(ISERROR(INDEX(EvalDB!$AU:$AU, MATCH($A55, ScheduleTBL!$A:$A, 0))), "", INDEX(EvalDB!$AU:$AU, MATCH($A55, ScheduleTBL!$A:$A, 0))))</f>
        <v/>
      </c>
      <c r="S55" s="235" t="str">
        <f ca="1">IF(NOT(ISNUMBER($A55)), "", IF(ISERROR(INDEX(EvalDB!$BN:$BN, MATCH($A55, ScheduleTBL!$A:$A, 0))), "", INDEX(EvalDB!$BN:$BN, MATCH($A55, ScheduleTBL!$A:$A, 0))))</f>
        <v/>
      </c>
      <c r="T55" s="235" t="str">
        <f ca="1">IF(NOT(ISNUMBER($A55)), "", IF(ISERROR(INDEX(EvalDB!$CG:$CG, MATCH($A55, ScheduleTBL!$A:$A, 0))), "", INDEX(EvalDB!$CG:$CG, MATCH($A55, ScheduleTBL!$A:$A, 0))))</f>
        <v/>
      </c>
      <c r="U55" s="235" t="str">
        <f ca="1">IF(NOT(ISNUMBER($A55)), "", IF(ISERROR(INDEX(EvalDB!$CZ:$CZ, MATCH($A55, ScheduleTBL!$A:$A, 0))), "", INDEX(EvalDB!$CZ:$CZ, MATCH($A55, ScheduleTBL!$A:$A, 0))))</f>
        <v/>
      </c>
      <c r="V55" s="235" t="e">
        <f t="shared" ca="1" si="4"/>
        <v>#DIV/0!</v>
      </c>
    </row>
    <row r="56" spans="1:22" s="59" customFormat="1" ht="15" hidden="1" x14ac:dyDescent="0.25">
      <c r="A56" s="240">
        <f>ScheduleTBL!A55</f>
        <v>147</v>
      </c>
      <c r="B56" s="142" t="str">
        <f>ScheduleTBL!C55</f>
        <v>Stereo-Optic High Definition Imaging: A New Technology to Understand Bird and Bat Avoidance of Wind Turbines</v>
      </c>
      <c r="C56" s="413">
        <f>ScheduleTBL!H55</f>
        <v>42781</v>
      </c>
      <c r="D56" s="324" t="str">
        <f>IF(ScheduleTBL!J55="NULL", "", ScheduleTBL!J55)</f>
        <v>MA&amp;D</v>
      </c>
      <c r="E56" s="142" t="str">
        <f>IF(ScheduleTBL!K55="NULL", "", ScheduleTBL!K55)</f>
        <v>Siting</v>
      </c>
      <c r="F56" s="287">
        <f>ScheduleTBL!F55</f>
        <v>0.68055555555555503</v>
      </c>
      <c r="G56" s="286">
        <f>ScheduleTBL!G55</f>
        <v>0.69444444444444386</v>
      </c>
      <c r="H56" s="142" t="str">
        <f>IF(ScheduleTBL!I55="NULL", "", ScheduleTBL!I55)</f>
        <v>Cavalier C</v>
      </c>
      <c r="I56" s="127" t="str">
        <f>IF(ScheduleTBL!P55="NULL", "", ScheduleTBL!P55)&amp; IF(ScheduleTBL!R55="NULL", "", ", "&amp; ScheduleTBL!R55)</f>
        <v>Evan Adams, Biodiversity Research Institute</v>
      </c>
      <c r="J56" s="79">
        <f t="shared" si="2"/>
        <v>147</v>
      </c>
      <c r="K56" s="78" t="str">
        <f>IF(ScheduleTBL!AM55="","",HYPERLINK(ScheduleTBL!AM55,K$2))</f>
        <v>Sum1</v>
      </c>
      <c r="L56" s="78" t="str">
        <f>IF(ScheduleTBL!AN55="","",HYPERLINK(ScheduleTBL!AN55,L$2))</f>
        <v>Pres1</v>
      </c>
      <c r="M56" s="79"/>
      <c r="N56" s="79"/>
      <c r="O56" s="416"/>
      <c r="P56" s="387" t="str">
        <f ca="1">IF(NOT(ISNUMBER($A56)), "", IF(ISERROR(INDEX(EvalDB!$I:$I, MATCH($A56, ScheduleTBL!$A:$A, 0))), "", INDEX(EvalDB!$I:$I, MATCH($A56, ScheduleTBL!$A:$A, 0))))</f>
        <v/>
      </c>
      <c r="Q56" s="279" t="str">
        <f ca="1">IF(NOT(ISNUMBER($A56)), "", IF(ISERROR(INDEX(EvalDB!$AB:$AB, MATCH($A56, ScheduleTBL!$A:$A, 0))), "", INDEX(EvalDB!$AB:$AB, MATCH($A56, ScheduleTBL!$A:$A, 0))))</f>
        <v/>
      </c>
      <c r="R56" s="279" t="str">
        <f ca="1">IF(NOT(ISNUMBER($A56)), "", IF(ISERROR(INDEX(EvalDB!$AU:$AU, MATCH($A56, ScheduleTBL!$A:$A, 0))), "", INDEX(EvalDB!$AU:$AU, MATCH($A56, ScheduleTBL!$A:$A, 0))))</f>
        <v/>
      </c>
      <c r="S56" s="279" t="str">
        <f ca="1">IF(NOT(ISNUMBER($A56)), "", IF(ISERROR(INDEX(EvalDB!$BN:$BN, MATCH($A56, ScheduleTBL!$A:$A, 0))), "", INDEX(EvalDB!$BN:$BN, MATCH($A56, ScheduleTBL!$A:$A, 0))))</f>
        <v/>
      </c>
      <c r="T56" s="279" t="str">
        <f ca="1">IF(NOT(ISNUMBER($A56)), "", IF(ISERROR(INDEX(EvalDB!$CG:$CG, MATCH($A56, ScheduleTBL!$A:$A, 0))), "", INDEX(EvalDB!$CG:$CG, MATCH($A56, ScheduleTBL!$A:$A, 0))))</f>
        <v/>
      </c>
      <c r="U56" s="279" t="str">
        <f ca="1">IF(NOT(ISNUMBER($A56)), "", IF(ISERROR(INDEX(EvalDB!$CZ:$CZ, MATCH($A56, ScheduleTBL!$A:$A, 0))), "", INDEX(EvalDB!$CZ:$CZ, MATCH($A56, ScheduleTBL!$A:$A, 0))))</f>
        <v/>
      </c>
      <c r="V56" s="279" t="e">
        <f t="shared" ca="1" si="4"/>
        <v>#DIV/0!</v>
      </c>
    </row>
    <row r="57" spans="1:22" s="59" customFormat="1" ht="15" hidden="1" x14ac:dyDescent="0.25">
      <c r="A57" s="240">
        <f>ScheduleTBL!A56</f>
        <v>269</v>
      </c>
      <c r="B57" s="142" t="str">
        <f>ScheduleTBL!C56</f>
        <v>Avian Remote Sensing</v>
      </c>
      <c r="C57" s="413">
        <f>ScheduleTBL!H56</f>
        <v>42781</v>
      </c>
      <c r="D57" s="324" t="str">
        <f>IF(ScheduleTBL!J56="NULL", "", ScheduleTBL!J56)</f>
        <v>MA&amp;D</v>
      </c>
      <c r="E57" s="142" t="str">
        <f>IF(ScheduleTBL!K56="NULL", "", ScheduleTBL!K56)</f>
        <v>Siting</v>
      </c>
      <c r="F57" s="287">
        <f>ScheduleTBL!F56</f>
        <v>0.69444444444444386</v>
      </c>
      <c r="G57" s="286">
        <f>ScheduleTBL!G56</f>
        <v>0.7083333333333327</v>
      </c>
      <c r="H57" s="142" t="str">
        <f>IF(ScheduleTBL!I56="NULL", "", ScheduleTBL!I56)</f>
        <v>Cavalier C</v>
      </c>
      <c r="I57" s="127" t="str">
        <f>IF(ScheduleTBL!P56="NULL", "", ScheduleTBL!P56)&amp; IF(ScheduleTBL!R56="NULL", "", ", "&amp; ScheduleTBL!R56)</f>
        <v>Shari Matzner, PNNL</v>
      </c>
      <c r="J57" s="79">
        <f t="shared" si="2"/>
        <v>269</v>
      </c>
      <c r="K57" s="78" t="str">
        <f>IF(ScheduleTBL!AM56="","",HYPERLINK(ScheduleTBL!AM56,K$2))</f>
        <v>Sum1</v>
      </c>
      <c r="L57" s="78" t="str">
        <f>IF(ScheduleTBL!AN56="","",HYPERLINK(ScheduleTBL!AN56,L$2))</f>
        <v>Pres1</v>
      </c>
      <c r="M57" s="79"/>
      <c r="N57" s="79"/>
      <c r="O57" s="416"/>
      <c r="P57" s="387" t="str">
        <f ca="1">IF(NOT(ISNUMBER($A57)), "", IF(ISERROR(INDEX(EvalDB!$I:$I, MATCH($A57, ScheduleTBL!$A:$A, 0))), "", INDEX(EvalDB!$I:$I, MATCH($A57, ScheduleTBL!$A:$A, 0))))</f>
        <v/>
      </c>
      <c r="Q57" s="279" t="str">
        <f ca="1">IF(NOT(ISNUMBER($A57)), "", IF(ISERROR(INDEX(EvalDB!$AB:$AB, MATCH($A57, ScheduleTBL!$A:$A, 0))), "", INDEX(EvalDB!$AB:$AB, MATCH($A57, ScheduleTBL!$A:$A, 0))))</f>
        <v/>
      </c>
      <c r="R57" s="279" t="str">
        <f ca="1">IF(NOT(ISNUMBER($A57)), "", IF(ISERROR(INDEX(EvalDB!$AU:$AU, MATCH($A57, ScheduleTBL!$A:$A, 0))), "", INDEX(EvalDB!$AU:$AU, MATCH($A57, ScheduleTBL!$A:$A, 0))))</f>
        <v/>
      </c>
      <c r="S57" s="279" t="str">
        <f ca="1">IF(NOT(ISNUMBER($A57)), "", IF(ISERROR(INDEX(EvalDB!$BN:$BN, MATCH($A57, ScheduleTBL!$A:$A, 0))), "", INDEX(EvalDB!$BN:$BN, MATCH($A57, ScheduleTBL!$A:$A, 0))))</f>
        <v/>
      </c>
      <c r="T57" s="279" t="str">
        <f ca="1">IF(NOT(ISNUMBER($A57)), "", IF(ISERROR(INDEX(EvalDB!$CG:$CG, MATCH($A57, ScheduleTBL!$A:$A, 0))), "", INDEX(EvalDB!$CG:$CG, MATCH($A57, ScheduleTBL!$A:$A, 0))))</f>
        <v/>
      </c>
      <c r="U57" s="279" t="str">
        <f ca="1">IF(NOT(ISNUMBER($A57)), "", IF(ISERROR(INDEX(EvalDB!$CZ:$CZ, MATCH($A57, ScheduleTBL!$A:$A, 0))), "", INDEX(EvalDB!$CZ:$CZ, MATCH($A57, ScheduleTBL!$A:$A, 0))))</f>
        <v/>
      </c>
      <c r="V57" s="279" t="str">
        <f t="shared" si="4"/>
        <v/>
      </c>
    </row>
    <row r="58" spans="1:22" s="59" customFormat="1" ht="15" hidden="1" customHeight="1" x14ac:dyDescent="0.25">
      <c r="A58" s="240" t="str">
        <f>ScheduleTBL!A57</f>
        <v>General</v>
      </c>
      <c r="B58" s="253" t="str">
        <f>ScheduleTBL!C57</f>
        <v>Closing Thoughts-Chairperson</v>
      </c>
      <c r="C58" s="413">
        <f>ScheduleTBL!H57</f>
        <v>42781</v>
      </c>
      <c r="D58" s="325" t="str">
        <f>IF(ScheduleTBL!J57="NULL", "", ScheduleTBL!J57)</f>
        <v>MA&amp;D</v>
      </c>
      <c r="E58" s="254" t="str">
        <f>IF(ScheduleTBL!K57="NULL", "", ScheduleTBL!K57)</f>
        <v/>
      </c>
      <c r="F58" s="287">
        <f>ScheduleTBL!F57</f>
        <v>0.7083333333333327</v>
      </c>
      <c r="G58" s="286">
        <f>ScheduleTBL!G57</f>
        <v>0.72916666666666596</v>
      </c>
      <c r="H58" s="254" t="str">
        <f>IF(ScheduleTBL!I57="NULL", "", ScheduleTBL!I57)</f>
        <v>Cavalier C</v>
      </c>
      <c r="I58" s="254" t="str">
        <f>IF(ScheduleTBL!P57="NULL", "", ScheduleTBL!P57)&amp; IF(ScheduleTBL!R57="NULL", "", ", "&amp; ScheduleTBL!R57)</f>
        <v>Stu Webster, Chair</v>
      </c>
      <c r="J58" s="78" t="str">
        <f t="shared" si="2"/>
        <v/>
      </c>
      <c r="K58" s="78" t="str">
        <f>IF(ScheduleTBL!AM57="","",HYPERLINK(ScheduleTBL!AM57,K$2))</f>
        <v/>
      </c>
      <c r="L58" s="78" t="str">
        <f>IF(ScheduleTBL!AN57="","",HYPERLINK(ScheduleTBL!AN57,L$2))</f>
        <v/>
      </c>
      <c r="M58" s="78"/>
      <c r="N58" s="78"/>
      <c r="O58" s="306"/>
      <c r="P58" s="317"/>
      <c r="Q58" s="317"/>
      <c r="R58" s="317"/>
      <c r="S58" s="317"/>
      <c r="T58" s="317"/>
      <c r="U58" s="317"/>
      <c r="V58" s="317"/>
    </row>
    <row r="59" spans="1:22" s="59" customFormat="1" ht="15.75" hidden="1" customHeight="1" thickBot="1" x14ac:dyDescent="0.3">
      <c r="A59" s="339" t="str">
        <f>ScheduleTBL!A58</f>
        <v>General</v>
      </c>
      <c r="B59" s="349" t="str">
        <f>ScheduleTBL!C58</f>
        <v>Closing Thoughts-Director</v>
      </c>
      <c r="C59" s="414">
        <f>ScheduleTBL!H58</f>
        <v>42781</v>
      </c>
      <c r="D59" s="350" t="str">
        <f>IF(ScheduleTBL!J58="NULL", "", ScheduleTBL!J58)</f>
        <v>MA&amp;D</v>
      </c>
      <c r="E59" s="351" t="str">
        <f>IF(ScheduleTBL!K58="NULL", "", ScheduleTBL!K58)</f>
        <v/>
      </c>
      <c r="F59" s="352">
        <f>ScheduleTBL!F58</f>
        <v>0.72916666666666596</v>
      </c>
      <c r="G59" s="353">
        <f>ScheduleTBL!G58</f>
        <v>0.74999999999999922</v>
      </c>
      <c r="H59" s="351" t="str">
        <f>IF(ScheduleTBL!I58="NULL", "", ScheduleTBL!I58)</f>
        <v>Cavalier C</v>
      </c>
      <c r="I59" s="351" t="str">
        <f>IF(ScheduleTBL!P58="NULL", "", ScheduleTBL!P58)&amp; IF(ScheduleTBL!R58="NULL", "", ", "&amp; ScheduleTBL!R58)</f>
        <v>Jose Zayas, DOE</v>
      </c>
      <c r="J59" s="345" t="str">
        <f t="shared" si="2"/>
        <v/>
      </c>
      <c r="K59" s="345" t="str">
        <f>IF(ScheduleTBL!AM58="","",HYPERLINK(ScheduleTBL!AM58,K$2))</f>
        <v/>
      </c>
      <c r="L59" s="345" t="str">
        <f>IF(ScheduleTBL!AN58="","",HYPERLINK(ScheduleTBL!AN58,L$2))</f>
        <v/>
      </c>
      <c r="M59" s="78"/>
      <c r="N59" s="78"/>
      <c r="O59" s="306"/>
      <c r="P59" s="317"/>
      <c r="Q59" s="317"/>
      <c r="R59" s="317"/>
      <c r="S59" s="317"/>
      <c r="T59" s="317"/>
      <c r="U59" s="317"/>
      <c r="V59" s="317"/>
    </row>
    <row r="60" spans="1:22" s="59" customFormat="1" ht="15" hidden="1" customHeight="1" x14ac:dyDescent="0.25">
      <c r="A60" s="333" t="str">
        <f>ScheduleTBL!A59</f>
        <v>General</v>
      </c>
      <c r="B60" s="346" t="str">
        <f>ScheduleTBL!C59</f>
        <v>Breakfast</v>
      </c>
      <c r="C60" s="415">
        <f>ScheduleTBL!H59</f>
        <v>42782</v>
      </c>
      <c r="D60" s="335" t="str">
        <f>IF(ScheduleTBL!J59="NULL", "", ScheduleTBL!J59)</f>
        <v>MA&amp;D</v>
      </c>
      <c r="E60" s="347" t="str">
        <f>IF(ScheduleTBL!K59="NULL", "", ScheduleTBL!K59)</f>
        <v/>
      </c>
      <c r="F60" s="337">
        <f>ScheduleTBL!F59</f>
        <v>0.33333333333333331</v>
      </c>
      <c r="G60" s="295">
        <f>ScheduleTBL!G59</f>
        <v>0.36458333333333331</v>
      </c>
      <c r="H60" s="347" t="str">
        <f>IF(ScheduleTBL!I59="NULL", "", ScheduleTBL!I59)</f>
        <v>Commonwealth Ballroom</v>
      </c>
      <c r="I60" s="348" t="str">
        <f>IF(ScheduleTBL!P59="NULL", "", ScheduleTBL!P59)&amp; IF(ScheduleTBL!R59="NULL", "", ", "&amp; ScheduleTBL!R59)</f>
        <v/>
      </c>
      <c r="J60" s="91" t="str">
        <f t="shared" si="2"/>
        <v/>
      </c>
      <c r="K60" s="91" t="str">
        <f>IF(ScheduleTBL!AM59="","",HYPERLINK(ScheduleTBL!AM59,K$2))</f>
        <v/>
      </c>
      <c r="L60" s="91" t="str">
        <f>IF(ScheduleTBL!AN59="","",HYPERLINK(ScheduleTBL!AN59,L$2))</f>
        <v/>
      </c>
      <c r="M60" s="78"/>
      <c r="N60" s="78"/>
      <c r="O60" s="306"/>
      <c r="P60" s="317"/>
      <c r="Q60" s="317"/>
      <c r="R60" s="317"/>
      <c r="S60" s="317"/>
      <c r="T60" s="317"/>
      <c r="U60" s="317"/>
      <c r="V60" s="317"/>
    </row>
    <row r="61" spans="1:22" s="59" customFormat="1" ht="15" hidden="1" customHeight="1" x14ac:dyDescent="0.25">
      <c r="A61" s="240" t="str">
        <f>ScheduleTBL!A60</f>
        <v>General</v>
      </c>
      <c r="B61" s="205" t="str">
        <f>ScheduleTBL!C60</f>
        <v>Daily Recap</v>
      </c>
      <c r="C61" s="413">
        <f>ScheduleTBL!H60</f>
        <v>42782</v>
      </c>
      <c r="D61" s="324" t="str">
        <f>IF(ScheduleTBL!J60="NULL", "", ScheduleTBL!J60)</f>
        <v>MA&amp;D</v>
      </c>
      <c r="E61" s="142" t="str">
        <f>IF(ScheduleTBL!K60="NULL", "", ScheduleTBL!K60)</f>
        <v/>
      </c>
      <c r="F61" s="287">
        <f>ScheduleTBL!F60</f>
        <v>0.36458333333333331</v>
      </c>
      <c r="G61" s="286">
        <f>ScheduleTBL!G60</f>
        <v>0.375</v>
      </c>
      <c r="H61" s="142" t="str">
        <f>IF(ScheduleTBL!I60="NULL", "", ScheduleTBL!I60)</f>
        <v>Commonwealth Ballroom</v>
      </c>
      <c r="I61" s="127" t="str">
        <f>IF(ScheduleTBL!P60="NULL", "", ScheduleTBL!P60)&amp; IF(ScheduleTBL!R60="NULL", "", ", "&amp; ScheduleTBL!R60)</f>
        <v>Alex Lemke, DOE</v>
      </c>
      <c r="J61" s="78" t="str">
        <f t="shared" si="2"/>
        <v/>
      </c>
      <c r="K61" s="78" t="str">
        <f>IF(ScheduleTBL!AM60="","",HYPERLINK(ScheduleTBL!AM60,K$2))</f>
        <v/>
      </c>
      <c r="L61" s="78" t="str">
        <f>IF(ScheduleTBL!AN60="","",HYPERLINK(ScheduleTBL!AN60,L$2))</f>
        <v/>
      </c>
      <c r="M61" s="78"/>
      <c r="N61" s="78"/>
      <c r="O61" s="306"/>
      <c r="P61" s="317"/>
      <c r="Q61" s="317"/>
      <c r="R61" s="317"/>
      <c r="S61" s="317"/>
      <c r="T61" s="317"/>
      <c r="U61" s="317"/>
      <c r="V61" s="317"/>
    </row>
    <row r="62" spans="1:22" s="59" customFormat="1" ht="15" hidden="1" customHeight="1" x14ac:dyDescent="0.25">
      <c r="A62" s="240" t="str">
        <f>ScheduleTBL!A61</f>
        <v>General</v>
      </c>
      <c r="B62" s="117" t="str">
        <f>ScheduleTBL!C61</f>
        <v>TRANSITION</v>
      </c>
      <c r="C62" s="413">
        <f>ScheduleTBL!H61</f>
        <v>42782</v>
      </c>
      <c r="D62" s="117" t="str">
        <f>IF(ScheduleTBL!J61="NULL", "", ScheduleTBL!J61)</f>
        <v>MA&amp;D</v>
      </c>
      <c r="E62" s="117" t="str">
        <f>IF(ScheduleTBL!K61="NULL", "", ScheduleTBL!K61)</f>
        <v/>
      </c>
      <c r="F62" s="288">
        <f>ScheduleTBL!F61</f>
        <v>0.375</v>
      </c>
      <c r="G62" s="289">
        <f>ScheduleTBL!G61</f>
        <v>0.37847222222222221</v>
      </c>
      <c r="H62" s="117" t="str">
        <f>IF(ScheduleTBL!I61="NULL", "", ScheduleTBL!I61)</f>
        <v/>
      </c>
      <c r="I62" s="117" t="str">
        <f>IF(ScheduleTBL!P61="NULL", "", ScheduleTBL!P61)&amp; IF(ScheduleTBL!R61="NULL", "", ", "&amp; ScheduleTBL!R61)</f>
        <v/>
      </c>
      <c r="J62" s="78" t="str">
        <f t="shared" si="2"/>
        <v/>
      </c>
      <c r="K62" s="78" t="str">
        <f>IF(ScheduleTBL!AM61="","",HYPERLINK(ScheduleTBL!AM61,K$2))</f>
        <v/>
      </c>
      <c r="L62" s="78" t="str">
        <f>IF(ScheduleTBL!AN61="","",HYPERLINK(ScheduleTBL!AN61,L$2))</f>
        <v/>
      </c>
      <c r="M62" s="78"/>
      <c r="N62" s="78"/>
      <c r="O62" s="306"/>
      <c r="P62" s="317"/>
      <c r="Q62" s="317"/>
      <c r="R62" s="317"/>
      <c r="S62" s="317"/>
      <c r="T62" s="317"/>
      <c r="U62" s="317"/>
      <c r="V62" s="317"/>
    </row>
    <row r="63" spans="1:22" s="59" customFormat="1" ht="15" hidden="1" customHeight="1" x14ac:dyDescent="0.25">
      <c r="A63" s="240" t="str">
        <f>ScheduleTBL!A62</f>
        <v>General</v>
      </c>
      <c r="B63" s="253" t="str">
        <f>ScheduleTBL!C62</f>
        <v>MA&amp;D Panel Debrief (closed session)</v>
      </c>
      <c r="C63" s="413">
        <f>ScheduleTBL!H62</f>
        <v>42782</v>
      </c>
      <c r="D63" s="254" t="str">
        <f>IF(ScheduleTBL!J62="NULL", "", ScheduleTBL!J62)</f>
        <v>MA&amp;D</v>
      </c>
      <c r="E63" s="254" t="str">
        <f>IF(ScheduleTBL!K62="NULL", "", ScheduleTBL!K62)</f>
        <v/>
      </c>
      <c r="F63" s="287">
        <f>ScheduleTBL!F62</f>
        <v>0.37847222222222221</v>
      </c>
      <c r="G63" s="286">
        <f>ScheduleTBL!G62</f>
        <v>0.4201388888888889</v>
      </c>
      <c r="H63" s="254" t="str">
        <f>IF(ScheduleTBL!I62="NULL", "", ScheduleTBL!I62)</f>
        <v>Cavalier C</v>
      </c>
      <c r="I63" s="254" t="str">
        <f>IF(ScheduleTBL!P62="NULL", "", ScheduleTBL!P62)&amp; IF(ScheduleTBL!R62="NULL", "", ", "&amp; ScheduleTBL!R62)</f>
        <v>Stu Webster, Chair</v>
      </c>
      <c r="J63" s="79" t="str">
        <f t="shared" si="2"/>
        <v/>
      </c>
      <c r="K63" s="78" t="str">
        <f>IF(ScheduleTBL!AM62="","",HYPERLINK(ScheduleTBL!AM62,K$2))</f>
        <v/>
      </c>
      <c r="L63" s="78" t="str">
        <f>IF(ScheduleTBL!AN62="","",HYPERLINK(ScheduleTBL!AN62,L$2))</f>
        <v/>
      </c>
      <c r="M63" s="79"/>
      <c r="N63" s="79"/>
      <c r="O63" s="416"/>
      <c r="P63" s="317"/>
      <c r="Q63" s="317"/>
      <c r="R63" s="317"/>
      <c r="S63" s="317"/>
      <c r="T63" s="317"/>
      <c r="U63" s="317"/>
      <c r="V63" s="317"/>
    </row>
    <row r="64" spans="1:22" s="59" customFormat="1" ht="15.75" hidden="1" customHeight="1" thickBot="1" x14ac:dyDescent="0.25">
      <c r="A64" s="240" t="str">
        <f>ScheduleTBL!A63</f>
        <v>General</v>
      </c>
      <c r="B64" s="130" t="str">
        <f>ScheduleTBL!C63</f>
        <v>Reviewer Note Taking Time</v>
      </c>
      <c r="C64" s="413">
        <f>ScheduleTBL!H63</f>
        <v>42782</v>
      </c>
      <c r="D64" s="130" t="str">
        <f>IF(ScheduleTBL!J63="NULL", "", ScheduleTBL!J63)</f>
        <v>MA&amp;D</v>
      </c>
      <c r="E64" s="130" t="str">
        <f>IF(ScheduleTBL!K63="NULL", "", ScheduleTBL!K63)</f>
        <v/>
      </c>
      <c r="F64" s="298">
        <f>ScheduleTBL!F63</f>
        <v>0.4201388888888889</v>
      </c>
      <c r="G64" s="299">
        <f>ScheduleTBL!G63</f>
        <v>0.52083333333333337</v>
      </c>
      <c r="H64" s="130" t="str">
        <f>IF(ScheduleTBL!I63="NULL", "", ScheduleTBL!I63)</f>
        <v>Mezzanine 1</v>
      </c>
      <c r="I64" s="130" t="str">
        <f>IF(ScheduleTBL!P63="NULL", "", ScheduleTBL!P63)&amp; IF(ScheduleTBL!R63="NULL", "", ", "&amp; ScheduleTBL!R63)</f>
        <v/>
      </c>
      <c r="J64" s="78" t="str">
        <f t="shared" si="2"/>
        <v/>
      </c>
      <c r="K64" s="78" t="str">
        <f>IF(ScheduleTBL!AM63="","",HYPERLINK(ScheduleTBL!AM63,K$2))</f>
        <v/>
      </c>
      <c r="L64" s="78" t="str">
        <f>IF(ScheduleTBL!AN63="","",HYPERLINK(ScheduleTBL!AN63,L$2))</f>
        <v/>
      </c>
      <c r="M64" s="78"/>
      <c r="N64" s="78"/>
      <c r="O64" s="306"/>
      <c r="P64" s="317"/>
      <c r="Q64" s="317"/>
      <c r="R64" s="317"/>
      <c r="S64" s="317"/>
      <c r="T64" s="317"/>
      <c r="U64" s="317"/>
      <c r="V64" s="317"/>
    </row>
    <row r="65" spans="1:22" s="59" customFormat="1" ht="16.5" hidden="1" customHeight="1" thickTop="1" thickBot="1" x14ac:dyDescent="0.3">
      <c r="A65" s="239" t="str">
        <f>ScheduleTBL!A64</f>
        <v>General</v>
      </c>
      <c r="B65" s="376" t="str">
        <f>ScheduleTBL!C64</f>
        <v>LUNCH</v>
      </c>
      <c r="C65" s="413">
        <f>ScheduleTBL!H64</f>
        <v>42782</v>
      </c>
      <c r="D65" s="376" t="str">
        <f>IF(ScheduleTBL!J64="NULL", "", ScheduleTBL!J64)</f>
        <v>MA&amp;D</v>
      </c>
      <c r="E65" s="376" t="str">
        <f>IF(ScheduleTBL!K64="NULL", "", ScheduleTBL!K64)</f>
        <v/>
      </c>
      <c r="F65" s="377">
        <f>ScheduleTBL!F64</f>
        <v>0.52083333333333337</v>
      </c>
      <c r="G65" s="378">
        <f>ScheduleTBL!G64</f>
        <v>0.5625</v>
      </c>
      <c r="H65" s="376" t="str">
        <f>IF(ScheduleTBL!I64="NULL", "", ScheduleTBL!I64)</f>
        <v>Commonwealth Ballroom</v>
      </c>
      <c r="I65" s="376" t="str">
        <f>IF(ScheduleTBL!P64="NULL", "", ScheduleTBL!P64)&amp; IF(ScheduleTBL!R64="NULL", "", ", "&amp; ScheduleTBL!R64)</f>
        <v>tbd, tbd</v>
      </c>
      <c r="J65" s="78" t="str">
        <f t="shared" si="2"/>
        <v/>
      </c>
      <c r="K65" s="78" t="str">
        <f>IF(ScheduleTBL!AM64="","",HYPERLINK(ScheduleTBL!AM64,K$2))</f>
        <v/>
      </c>
      <c r="L65" s="78" t="str">
        <f>IF(ScheduleTBL!AN64="","",HYPERLINK(ScheduleTBL!AN64,L$2))</f>
        <v/>
      </c>
      <c r="M65" s="78"/>
      <c r="N65" s="78"/>
      <c r="O65" s="306"/>
      <c r="P65" s="317"/>
      <c r="Q65" s="317"/>
      <c r="R65" s="317"/>
      <c r="S65" s="317"/>
      <c r="T65" s="317"/>
      <c r="U65" s="317"/>
      <c r="V65" s="317"/>
    </row>
    <row r="66" spans="1:22" s="59" customFormat="1" ht="16.5" hidden="1" customHeight="1" thickTop="1" thickBot="1" x14ac:dyDescent="0.3">
      <c r="A66" s="339" t="str">
        <f>ScheduleTBL!A65</f>
        <v>General</v>
      </c>
      <c r="B66" s="354" t="str">
        <f>ScheduleTBL!C65</f>
        <v>Reviewer Note Taking Time</v>
      </c>
      <c r="C66" s="414">
        <f>ScheduleTBL!H65</f>
        <v>42782</v>
      </c>
      <c r="D66" s="354" t="str">
        <f>IF(ScheduleTBL!J65="NULL", "", ScheduleTBL!J65)</f>
        <v>MA&amp;D</v>
      </c>
      <c r="E66" s="354" t="str">
        <f>IF(ScheduleTBL!K65="NULL", "", ScheduleTBL!K65)</f>
        <v/>
      </c>
      <c r="F66" s="355">
        <f>ScheduleTBL!F65</f>
        <v>0.5625</v>
      </c>
      <c r="G66" s="356">
        <f>ScheduleTBL!G65</f>
        <v>0.70833333333333337</v>
      </c>
      <c r="H66" s="354" t="str">
        <f>IF(ScheduleTBL!I65="NULL", "", ScheduleTBL!I65)</f>
        <v>Mezzanine 1</v>
      </c>
      <c r="I66" s="354" t="str">
        <f>IF(ScheduleTBL!P65="NULL", "", ScheduleTBL!P65)&amp; IF(ScheduleTBL!R65="NULL", "", ", "&amp; ScheduleTBL!R65)</f>
        <v/>
      </c>
      <c r="J66" s="345" t="str">
        <f t="shared" si="2"/>
        <v/>
      </c>
      <c r="K66" s="345" t="str">
        <f>IF(ScheduleTBL!AM65="","",HYPERLINK(ScheduleTBL!AM65,K$2))</f>
        <v/>
      </c>
      <c r="L66" s="345" t="str">
        <f>IF(ScheduleTBL!AN65="","",HYPERLINK(ScheduleTBL!AN65,L$2))</f>
        <v/>
      </c>
      <c r="M66" s="78"/>
      <c r="N66" s="78"/>
      <c r="O66" s="306"/>
      <c r="P66" s="317"/>
      <c r="Q66" s="317"/>
      <c r="R66" s="317"/>
      <c r="S66" s="317"/>
      <c r="T66" s="317"/>
      <c r="U66" s="317"/>
      <c r="V66" s="317"/>
    </row>
    <row r="67" spans="1:22" s="59" customFormat="1" ht="15" hidden="1" customHeight="1" x14ac:dyDescent="0.25">
      <c r="A67" s="333" t="str">
        <f>ScheduleTBL!A66</f>
        <v>Wrap-up</v>
      </c>
      <c r="B67" s="346" t="str">
        <f>ScheduleTBL!C66</f>
        <v>Breakfast</v>
      </c>
      <c r="C67" s="415">
        <f>ScheduleTBL!H66</f>
        <v>42783</v>
      </c>
      <c r="D67" s="347" t="str">
        <f>IF(ScheduleTBL!J66="NULL", "", ScheduleTBL!J66)</f>
        <v>MA&amp;D</v>
      </c>
      <c r="E67" s="347" t="str">
        <f>IF(ScheduleTBL!K66="NULL", "", ScheduleTBL!K66)</f>
        <v/>
      </c>
      <c r="F67" s="337">
        <f>ScheduleTBL!F66</f>
        <v>0.33333333333333331</v>
      </c>
      <c r="G67" s="295">
        <f>ScheduleTBL!G66</f>
        <v>0.375</v>
      </c>
      <c r="H67" s="347" t="str">
        <f>IF(ScheduleTBL!I66="NULL", "", ScheduleTBL!I66)</f>
        <v>Commonwealth Ballroom</v>
      </c>
      <c r="I67" s="348" t="str">
        <f>IF(ScheduleTBL!P66="NULL", "", ScheduleTBL!P66)&amp; IF(ScheduleTBL!R66="NULL", "", ", "&amp; ScheduleTBL!R66)</f>
        <v/>
      </c>
      <c r="J67" s="91" t="str">
        <f t="shared" si="2"/>
        <v/>
      </c>
      <c r="K67" s="91" t="str">
        <f>IF(ScheduleTBL!AM66="","",HYPERLINK(ScheduleTBL!AM66,K$2))</f>
        <v/>
      </c>
      <c r="L67" s="91" t="str">
        <f>IF(ScheduleTBL!AN66="","",HYPERLINK(ScheduleTBL!AN66,L$2))</f>
        <v/>
      </c>
      <c r="M67" s="78"/>
      <c r="N67" s="78"/>
      <c r="O67" s="306"/>
      <c r="P67" s="317"/>
      <c r="Q67" s="317"/>
      <c r="R67" s="317"/>
      <c r="S67" s="317"/>
      <c r="T67" s="317"/>
      <c r="U67" s="317"/>
      <c r="V67" s="317"/>
    </row>
    <row r="68" spans="1:22" s="59" customFormat="1" ht="15" hidden="1" customHeight="1" x14ac:dyDescent="0.25">
      <c r="A68" s="240" t="str">
        <f>ScheduleTBL!A67</f>
        <v>Wrap-up</v>
      </c>
      <c r="B68" s="130" t="str">
        <f>ScheduleTBL!C67</f>
        <v>BREAK</v>
      </c>
      <c r="C68" s="413">
        <f>ScheduleTBL!H67</f>
        <v>42783</v>
      </c>
      <c r="D68" s="130" t="str">
        <f>IF(ScheduleTBL!J67="NULL", "", ScheduleTBL!J67)</f>
        <v>MA&amp;D</v>
      </c>
      <c r="E68" s="130" t="str">
        <f>IF(ScheduleTBL!K67="NULL", "", ScheduleTBL!K67)</f>
        <v/>
      </c>
      <c r="F68" s="298">
        <f>ScheduleTBL!F67</f>
        <v>0.375</v>
      </c>
      <c r="G68" s="299">
        <f>ScheduleTBL!G67</f>
        <v>0.38541666666666669</v>
      </c>
      <c r="H68" s="130" t="str">
        <f>IF(ScheduleTBL!I67="NULL", "", ScheduleTBL!I67)</f>
        <v>Foyer</v>
      </c>
      <c r="I68" s="130" t="str">
        <f>IF(ScheduleTBL!P67="NULL", "", ScheduleTBL!P67)&amp; IF(ScheduleTBL!R67="NULL", "", ", "&amp; ScheduleTBL!R67)</f>
        <v/>
      </c>
      <c r="J68" s="79" t="str">
        <f t="shared" si="2"/>
        <v/>
      </c>
      <c r="K68" s="78" t="str">
        <f>IF(ScheduleTBL!AM67="","",HYPERLINK(ScheduleTBL!AM67,K$2))</f>
        <v/>
      </c>
      <c r="L68" s="78" t="str">
        <f>IF(ScheduleTBL!AN67="","",HYPERLINK(ScheduleTBL!AN67,L$2))</f>
        <v/>
      </c>
      <c r="M68" s="79"/>
      <c r="N68" s="79"/>
      <c r="O68" s="416"/>
      <c r="P68" s="317"/>
      <c r="Q68" s="317"/>
      <c r="R68" s="317"/>
      <c r="S68" s="317"/>
      <c r="T68" s="317"/>
      <c r="U68" s="317"/>
      <c r="V68" s="317"/>
    </row>
    <row r="69" spans="1:22" s="59" customFormat="1" ht="15" hidden="1" customHeight="1" x14ac:dyDescent="0.25">
      <c r="A69" s="240" t="str">
        <f>ScheduleTBL!A68</f>
        <v>Wrap-up</v>
      </c>
      <c r="B69" s="258" t="str">
        <f>ScheduleTBL!C68</f>
        <v>MA&amp;D / DOE Debrief</v>
      </c>
      <c r="C69" s="413">
        <f>ScheduleTBL!H68</f>
        <v>42783</v>
      </c>
      <c r="D69" s="259" t="str">
        <f>IF(ScheduleTBL!J68="NULL", "", ScheduleTBL!J68)</f>
        <v>MA&amp;D</v>
      </c>
      <c r="E69" s="259" t="str">
        <f>IF(ScheduleTBL!K68="NULL", "", ScheduleTBL!K68)</f>
        <v/>
      </c>
      <c r="F69" s="287">
        <f>ScheduleTBL!F68</f>
        <v>0.38541666666666669</v>
      </c>
      <c r="G69" s="286">
        <f>ScheduleTBL!G68</f>
        <v>0.42708333333333337</v>
      </c>
      <c r="H69" s="259" t="str">
        <f>IF(ScheduleTBL!I68="NULL", "", ScheduleTBL!I68)</f>
        <v>Cavalier C</v>
      </c>
      <c r="I69" s="259" t="str">
        <f>IF(ScheduleTBL!P68="NULL", "", ScheduleTBL!P68)&amp; IF(ScheduleTBL!R68="NULL", "", ", "&amp; ScheduleTBL!R68)</f>
        <v>Stu Webster, Chair</v>
      </c>
      <c r="J69" s="78" t="str">
        <f t="shared" si="2"/>
        <v/>
      </c>
      <c r="K69" s="78" t="str">
        <f>IF(ScheduleTBL!AM68="","",HYPERLINK(ScheduleTBL!AM68,K$2))</f>
        <v/>
      </c>
      <c r="L69" s="78" t="str">
        <f>IF(ScheduleTBL!AN68="","",HYPERLINK(ScheduleTBL!AN68,L$2))</f>
        <v/>
      </c>
      <c r="M69" s="78"/>
      <c r="N69" s="78"/>
      <c r="O69" s="306"/>
      <c r="P69" s="317"/>
      <c r="Q69" s="317"/>
      <c r="R69" s="317"/>
      <c r="S69" s="317"/>
      <c r="T69" s="317"/>
      <c r="U69" s="317"/>
      <c r="V69" s="317"/>
    </row>
    <row r="70" spans="1:22" s="59" customFormat="1" ht="15" hidden="1" customHeight="1" x14ac:dyDescent="0.25">
      <c r="A70" s="240" t="str">
        <f>ScheduleTBL!A69</f>
        <v>Wrap-up</v>
      </c>
      <c r="B70" s="130" t="str">
        <f>ScheduleTBL!C69</f>
        <v>BREAK</v>
      </c>
      <c r="C70" s="413">
        <f>ScheduleTBL!H69</f>
        <v>42783</v>
      </c>
      <c r="D70" s="130" t="str">
        <f>IF(ScheduleTBL!J69="NULL", "", ScheduleTBL!J69)</f>
        <v>MA&amp;D</v>
      </c>
      <c r="E70" s="130" t="str">
        <f>IF(ScheduleTBL!K69="NULL", "", ScheduleTBL!K69)</f>
        <v/>
      </c>
      <c r="F70" s="298">
        <f>ScheduleTBL!F69</f>
        <v>0.42708333333333337</v>
      </c>
      <c r="G70" s="299">
        <f>ScheduleTBL!G69</f>
        <v>0.43750000000000006</v>
      </c>
      <c r="H70" s="130" t="str">
        <f>IF(ScheduleTBL!I69="NULL", "", ScheduleTBL!I69)</f>
        <v>Foyer</v>
      </c>
      <c r="I70" s="130" t="str">
        <f>IF(ScheduleTBL!P69="NULL", "", ScheduleTBL!P69)&amp; IF(ScheduleTBL!R69="NULL", "", ", "&amp; ScheduleTBL!R69)</f>
        <v/>
      </c>
      <c r="J70" s="78" t="str">
        <f t="shared" si="2"/>
        <v/>
      </c>
      <c r="K70" s="78" t="str">
        <f>IF(ScheduleTBL!AM69="","",HYPERLINK(ScheduleTBL!AM69,K$2))</f>
        <v/>
      </c>
      <c r="L70" s="78" t="str">
        <f>IF(ScheduleTBL!AN69="","",HYPERLINK(ScheduleTBL!AN69,L$2))</f>
        <v/>
      </c>
      <c r="M70" s="78"/>
      <c r="N70" s="78"/>
      <c r="O70" s="306"/>
      <c r="P70" s="317"/>
      <c r="Q70" s="317"/>
      <c r="R70" s="317"/>
      <c r="S70" s="317"/>
      <c r="T70" s="317"/>
      <c r="U70" s="317"/>
      <c r="V70" s="317"/>
    </row>
    <row r="71" spans="1:22" s="59" customFormat="1" ht="15" hidden="1" customHeight="1" x14ac:dyDescent="0.25">
      <c r="A71" s="240" t="str">
        <f>ScheduleTBL!A70</f>
        <v>Wrap-up</v>
      </c>
      <c r="B71" s="130" t="str">
        <f>ScheduleTBL!C70</f>
        <v>Reviewer Note Taking Time</v>
      </c>
      <c r="C71" s="413">
        <f>ScheduleTBL!H70</f>
        <v>42783</v>
      </c>
      <c r="D71" s="130" t="str">
        <f>IF(ScheduleTBL!J70="NULL", "", ScheduleTBL!J70)</f>
        <v>MA&amp;D</v>
      </c>
      <c r="E71" s="130" t="str">
        <f>IF(ScheduleTBL!K70="NULL", "", ScheduleTBL!K70)</f>
        <v/>
      </c>
      <c r="F71" s="298">
        <f>ScheduleTBL!F70</f>
        <v>0.43750000000000006</v>
      </c>
      <c r="G71" s="299">
        <f>ScheduleTBL!G70</f>
        <v>0.47916666666666674</v>
      </c>
      <c r="H71" s="130" t="str">
        <f>IF(ScheduleTBL!I70="NULL", "", ScheduleTBL!I70)</f>
        <v>Mezzanine 1</v>
      </c>
      <c r="I71" s="130" t="str">
        <f>IF(ScheduleTBL!P70="NULL", "", ScheduleTBL!P70)&amp; IF(ScheduleTBL!R70="NULL", "", ", "&amp; ScheduleTBL!R70)</f>
        <v/>
      </c>
      <c r="J71" s="79" t="str">
        <f t="shared" si="2"/>
        <v/>
      </c>
      <c r="K71" s="78" t="str">
        <f>IF(ScheduleTBL!AM70="","",HYPERLINK(ScheduleTBL!AM70,K$2))</f>
        <v/>
      </c>
      <c r="L71" s="78" t="str">
        <f>IF(ScheduleTBL!AN70="","",HYPERLINK(ScheduleTBL!AN70,L$2))</f>
        <v/>
      </c>
      <c r="M71" s="79"/>
      <c r="N71" s="79"/>
      <c r="O71" s="416"/>
      <c r="P71" s="317"/>
      <c r="Q71" s="317"/>
      <c r="R71" s="317"/>
      <c r="S71" s="317"/>
      <c r="T71" s="317"/>
      <c r="U71" s="317"/>
      <c r="V71" s="317"/>
    </row>
    <row r="72" spans="1:22" s="59" customFormat="1" ht="15.75" hidden="1" customHeight="1" thickBot="1" x14ac:dyDescent="0.3">
      <c r="A72" s="339" t="str">
        <f>ScheduleTBL!A71</f>
        <v>Wrap-up</v>
      </c>
      <c r="B72" s="361" t="str">
        <f>ScheduleTBL!C71</f>
        <v>All Panels Debrief with ALL DOE (working lunch)</v>
      </c>
      <c r="C72" s="414">
        <f>ScheduleTBL!H71</f>
        <v>42783</v>
      </c>
      <c r="D72" s="362" t="str">
        <f>IF(ScheduleTBL!J71="NULL", "", ScheduleTBL!J71)</f>
        <v>MA&amp;D</v>
      </c>
      <c r="E72" s="362" t="str">
        <f>IF(ScheduleTBL!K71="NULL", "", ScheduleTBL!K71)</f>
        <v/>
      </c>
      <c r="F72" s="363">
        <f>ScheduleTBL!F71</f>
        <v>0.47916666666666674</v>
      </c>
      <c r="G72" s="364">
        <f>ScheduleTBL!G71</f>
        <v>0.52083333333333337</v>
      </c>
      <c r="H72" s="362" t="str">
        <f>IF(ScheduleTBL!I71="NULL", "", ScheduleTBL!I71)</f>
        <v>Cavalier C</v>
      </c>
      <c r="I72" s="365" t="str">
        <f>IF(ScheduleTBL!P71="NULL", "", ScheduleTBL!P71)&amp; IF(ScheduleTBL!R71="NULL", "", ", "&amp; ScheduleTBL!R71)</f>
        <v>Sandy Butterfield and Stu Webster, Chairs</v>
      </c>
      <c r="J72" s="366" t="str">
        <f t="shared" si="2"/>
        <v/>
      </c>
      <c r="K72" s="345" t="str">
        <f>IF(ScheduleTBL!AM71="","",HYPERLINK(ScheduleTBL!AM71,K$2))</f>
        <v/>
      </c>
      <c r="L72" s="345" t="str">
        <f>IF(ScheduleTBL!AN71="","",HYPERLINK(ScheduleTBL!AN71,L$2))</f>
        <v/>
      </c>
      <c r="M72" s="79"/>
      <c r="N72" s="79"/>
      <c r="O72" s="416"/>
      <c r="P72" s="317"/>
      <c r="Q72" s="317"/>
      <c r="R72" s="317"/>
      <c r="S72" s="317"/>
      <c r="T72" s="317"/>
      <c r="U72" s="317"/>
      <c r="V72" s="317"/>
    </row>
    <row r="73" spans="1:22" s="59" customFormat="1" ht="15" customHeight="1" x14ac:dyDescent="0.25">
      <c r="A73" s="333" t="str">
        <f>ScheduleTBL!A72</f>
        <v>General</v>
      </c>
      <c r="B73" s="357" t="str">
        <f>ScheduleTBL!C72</f>
        <v>Travel and Check In</v>
      </c>
      <c r="C73" s="415">
        <f>ScheduleTBL!H72</f>
        <v>42779</v>
      </c>
      <c r="D73" s="358" t="str">
        <f>IF(ScheduleTBL!J72="NULL", "", ScheduleTBL!J72)</f>
        <v>Tech RD&amp;T and RC</v>
      </c>
      <c r="E73" s="359" t="str">
        <f>IF(ScheduleTBL!K72="NULL", "", ScheduleTBL!K72)</f>
        <v/>
      </c>
      <c r="F73" s="337">
        <f>ScheduleTBL!F72</f>
        <v>0.33333333333333331</v>
      </c>
      <c r="G73" s="295">
        <f>ScheduleTBL!G72</f>
        <v>0.70833333333333326</v>
      </c>
      <c r="H73" s="359" t="str">
        <f>IF(ScheduleTBL!I72="NULL", "", ScheduleTBL!I72)</f>
        <v/>
      </c>
      <c r="I73" s="360" t="str">
        <f>IF(ScheduleTBL!P72="NULL", "", ScheduleTBL!P72)&amp; IF(ScheduleTBL!R72="NULL", "", ", "&amp; ScheduleTBL!R72)</f>
        <v/>
      </c>
      <c r="J73" s="93" t="str">
        <f t="shared" si="2"/>
        <v/>
      </c>
      <c r="K73" s="91" t="str">
        <f>IF(ScheduleTBL!AM72="","",HYPERLINK(ScheduleTBL!AM72,K$2))</f>
        <v/>
      </c>
      <c r="L73" s="91" t="str">
        <f>IF(ScheduleTBL!AN72="","",HYPERLINK(ScheduleTBL!AN72,L$2))</f>
        <v/>
      </c>
      <c r="M73" s="79"/>
      <c r="N73" s="79"/>
      <c r="O73" s="416"/>
      <c r="P73" s="317"/>
      <c r="Q73" s="317"/>
      <c r="R73" s="317"/>
      <c r="S73" s="317"/>
      <c r="T73" s="317"/>
      <c r="U73" s="317"/>
      <c r="V73" s="317"/>
    </row>
    <row r="74" spans="1:22" s="59" customFormat="1" ht="15.75" customHeight="1" thickBot="1" x14ac:dyDescent="0.3">
      <c r="A74" s="339" t="str">
        <f>ScheduleTBL!A73</f>
        <v>General</v>
      </c>
      <c r="B74" s="367" t="str">
        <f>ScheduleTBL!C73</f>
        <v>No-host Happy Hour at the Potomac Bar</v>
      </c>
      <c r="C74" s="414">
        <f>ScheduleTBL!H73</f>
        <v>42779</v>
      </c>
      <c r="D74" s="368" t="str">
        <f>IF(ScheduleTBL!J73="NULL", "", ScheduleTBL!J73)</f>
        <v>Tech RD&amp;T and RC</v>
      </c>
      <c r="E74" s="369" t="str">
        <f>IF(ScheduleTBL!K73="NULL", "", ScheduleTBL!K73)</f>
        <v/>
      </c>
      <c r="F74" s="352">
        <f>ScheduleTBL!F73</f>
        <v>0.70833333333333326</v>
      </c>
      <c r="G74" s="353">
        <f>ScheduleTBL!G73</f>
        <v>0.79166666666666663</v>
      </c>
      <c r="H74" s="369" t="str">
        <f>IF(ScheduleTBL!I73="NULL", "", ScheduleTBL!I73)</f>
        <v/>
      </c>
      <c r="I74" s="370" t="str">
        <f>IF(ScheduleTBL!P73="NULL", "", ScheduleTBL!P73)&amp; IF(ScheduleTBL!R73="NULL", "", ", "&amp; ScheduleTBL!R73)</f>
        <v/>
      </c>
      <c r="J74" s="345" t="str">
        <f t="shared" si="2"/>
        <v/>
      </c>
      <c r="K74" s="345" t="str">
        <f>IF(ScheduleTBL!AM73="","",HYPERLINK(ScheduleTBL!AM73,K$2))</f>
        <v/>
      </c>
      <c r="L74" s="345" t="str">
        <f>IF(ScheduleTBL!AN73="","",HYPERLINK(ScheduleTBL!AN73,L$2))</f>
        <v/>
      </c>
      <c r="M74" s="78"/>
      <c r="N74" s="78"/>
      <c r="O74" s="306"/>
      <c r="P74" s="317"/>
      <c r="Q74" s="317"/>
      <c r="R74" s="317"/>
      <c r="S74" s="317"/>
      <c r="T74" s="317"/>
      <c r="U74" s="317"/>
      <c r="V74" s="317"/>
    </row>
    <row r="75" spans="1:22" s="59" customFormat="1" ht="15" customHeight="1" x14ac:dyDescent="0.25">
      <c r="A75" s="333" t="str">
        <f>ScheduleTBL!A74</f>
        <v>General</v>
      </c>
      <c r="B75" s="357" t="str">
        <f>ScheduleTBL!C74</f>
        <v>Joint Breakfast with Wind and Water Attendees</v>
      </c>
      <c r="C75" s="415">
        <f>ScheduleTBL!H74</f>
        <v>42780</v>
      </c>
      <c r="D75" s="358" t="str">
        <f>IF(ScheduleTBL!J74="NULL", "", ScheduleTBL!J74)</f>
        <v>Tech RD&amp;T and RC</v>
      </c>
      <c r="E75" s="359" t="str">
        <f>IF(ScheduleTBL!K74="NULL", "", ScheduleTBL!K74)</f>
        <v/>
      </c>
      <c r="F75" s="337">
        <f>ScheduleTBL!F74</f>
        <v>0.33333333333333331</v>
      </c>
      <c r="G75" s="295">
        <f>ScheduleTBL!G74</f>
        <v>0.36458333333333331</v>
      </c>
      <c r="H75" s="359" t="str">
        <f>IF(ScheduleTBL!I74="NULL", "", ScheduleTBL!I74)</f>
        <v>Commonwealth Ballroom</v>
      </c>
      <c r="I75" s="360" t="str">
        <f>IF(ScheduleTBL!P74="NULL", "", ScheduleTBL!P74)&amp; IF(ScheduleTBL!R74="NULL", "", ", "&amp; ScheduleTBL!R74)</f>
        <v/>
      </c>
      <c r="J75" s="92" t="str">
        <f t="shared" si="2"/>
        <v/>
      </c>
      <c r="K75" s="91" t="str">
        <f>IF(ScheduleTBL!AM74="","",HYPERLINK(ScheduleTBL!AM74,K$2))</f>
        <v/>
      </c>
      <c r="L75" s="91" t="str">
        <f>IF(ScheduleTBL!AN74="","",HYPERLINK(ScheduleTBL!AN74,L$2))</f>
        <v/>
      </c>
      <c r="M75" s="80"/>
      <c r="N75" s="80"/>
      <c r="O75" s="389"/>
      <c r="P75" s="317"/>
      <c r="Q75" s="317"/>
      <c r="R75" s="317"/>
      <c r="S75" s="317"/>
      <c r="T75" s="317"/>
      <c r="U75" s="317"/>
      <c r="V75" s="317"/>
    </row>
    <row r="76" spans="1:22" s="59" customFormat="1" ht="15" customHeight="1" x14ac:dyDescent="0.25">
      <c r="A76" s="240" t="str">
        <f>ScheduleTBL!A75</f>
        <v>General</v>
      </c>
      <c r="B76" s="205" t="str">
        <f>ScheduleTBL!C75</f>
        <v>Facilitator Welcome</v>
      </c>
      <c r="C76" s="413">
        <f>ScheduleTBL!H75</f>
        <v>42780</v>
      </c>
      <c r="D76" s="153" t="str">
        <f>IF(ScheduleTBL!J75="NULL", "", ScheduleTBL!J75)</f>
        <v>Tech RD&amp;T and RC</v>
      </c>
      <c r="E76" s="142" t="str">
        <f>IF(ScheduleTBL!K75="NULL", "", ScheduleTBL!K75)</f>
        <v/>
      </c>
      <c r="F76" s="287">
        <f>ScheduleTBL!F75</f>
        <v>0.36458333333333331</v>
      </c>
      <c r="G76" s="286">
        <f>ScheduleTBL!G75</f>
        <v>0.375</v>
      </c>
      <c r="H76" s="142" t="str">
        <f>IF(ScheduleTBL!I75="NULL", "", ScheduleTBL!I75)</f>
        <v>Commonwealth Ballroom</v>
      </c>
      <c r="I76" s="127" t="str">
        <f>IF(ScheduleTBL!P75="NULL", "", ScheduleTBL!P75)&amp; IF(ScheduleTBL!R75="NULL", "", ", "&amp; ScheduleTBL!R75)</f>
        <v>Alex Lemke, DOE</v>
      </c>
      <c r="J76" s="80" t="str">
        <f t="shared" si="2"/>
        <v/>
      </c>
      <c r="K76" s="78" t="str">
        <f>IF(ScheduleTBL!AM75="","",HYPERLINK(ScheduleTBL!AM75,K$2))</f>
        <v/>
      </c>
      <c r="L76" s="78" t="str">
        <f>IF(ScheduleTBL!AN75="","",HYPERLINK(ScheduleTBL!AN75,L$2))</f>
        <v/>
      </c>
      <c r="M76" s="80"/>
      <c r="N76" s="80"/>
      <c r="O76" s="389"/>
      <c r="P76" s="317"/>
      <c r="Q76" s="317"/>
      <c r="R76" s="317"/>
      <c r="S76" s="317"/>
      <c r="T76" s="317"/>
      <c r="U76" s="317"/>
      <c r="V76" s="317"/>
    </row>
    <row r="77" spans="1:22" s="59" customFormat="1" ht="15" customHeight="1" x14ac:dyDescent="0.25">
      <c r="A77" s="243" t="str">
        <f>ScheduleTBL!A76</f>
        <v>WPG16001</v>
      </c>
      <c r="B77" s="205" t="str">
        <f>ScheduleTBL!C76</f>
        <v>Wind Director Welcome</v>
      </c>
      <c r="C77" s="413">
        <f>ScheduleTBL!H76</f>
        <v>42780</v>
      </c>
      <c r="D77" s="153" t="str">
        <f>IF(ScheduleTBL!J76="NULL", "", ScheduleTBL!J76)</f>
        <v>Tech RD&amp;T and RC</v>
      </c>
      <c r="E77" s="142" t="str">
        <f>IF(ScheduleTBL!K76="NULL", "", ScheduleTBL!K76)</f>
        <v/>
      </c>
      <c r="F77" s="287">
        <f>ScheduleTBL!F76</f>
        <v>0.375</v>
      </c>
      <c r="G77" s="286">
        <f>ScheduleTBL!G76</f>
        <v>0.3923611111111111</v>
      </c>
      <c r="H77" s="142" t="str">
        <f>IF(ScheduleTBL!I76="NULL", "", ScheduleTBL!I76)</f>
        <v>Commonwealth Ballroom</v>
      </c>
      <c r="I77" s="127" t="str">
        <f>IF(ScheduleTBL!P76="NULL", "", ScheduleTBL!P76)&amp; IF(ScheduleTBL!R76="NULL", "", ", "&amp; ScheduleTBL!R76)</f>
        <v>Jose Zayas, DOE</v>
      </c>
      <c r="J77" s="79" t="str">
        <f t="shared" si="2"/>
        <v/>
      </c>
      <c r="K77" s="78" t="str">
        <f>IF(ScheduleTBL!AM76="","",HYPERLINK(ScheduleTBL!AM76,K$2))</f>
        <v/>
      </c>
      <c r="L77" s="78" t="str">
        <f>IF(ScheduleTBL!AN76="","",HYPERLINK(ScheduleTBL!AN76,L$2))</f>
        <v>Pres1</v>
      </c>
      <c r="M77" s="79"/>
      <c r="N77" s="79"/>
      <c r="O77" s="416"/>
      <c r="P77" s="317"/>
      <c r="Q77" s="317"/>
      <c r="R77" s="317"/>
      <c r="S77" s="317"/>
      <c r="T77" s="317"/>
      <c r="U77" s="317"/>
      <c r="V77" s="317"/>
    </row>
    <row r="78" spans="1:22" s="59" customFormat="1" ht="15" customHeight="1" x14ac:dyDescent="0.25">
      <c r="A78" s="243" t="str">
        <f>ScheduleTBL!A77</f>
        <v>HPG16001</v>
      </c>
      <c r="B78" s="205" t="str">
        <f>ScheduleTBL!C77</f>
        <v>Water Director Welcome</v>
      </c>
      <c r="C78" s="413">
        <f>ScheduleTBL!H77</f>
        <v>42780</v>
      </c>
      <c r="D78" s="153" t="str">
        <f>IF(ScheduleTBL!J77="NULL", "", ScheduleTBL!J77)</f>
        <v>Tech RD&amp;T and RC</v>
      </c>
      <c r="E78" s="142" t="str">
        <f>IF(ScheduleTBL!K77="NULL", "", ScheduleTBL!K77)</f>
        <v/>
      </c>
      <c r="F78" s="287">
        <f>ScheduleTBL!F77</f>
        <v>0.3923611111111111</v>
      </c>
      <c r="G78" s="286">
        <f>ScheduleTBL!G77</f>
        <v>0.40972222222222221</v>
      </c>
      <c r="H78" s="142" t="str">
        <f>IF(ScheduleTBL!I77="NULL", "", ScheduleTBL!I77)</f>
        <v>Commonwealth Ballroom</v>
      </c>
      <c r="I78" s="127" t="str">
        <f>IF(ScheduleTBL!P77="NULL", "", ScheduleTBL!P77)&amp; IF(ScheduleTBL!R77="NULL", "", ", "&amp; ScheduleTBL!R77)</f>
        <v>Alejandro Moreno, DOE</v>
      </c>
      <c r="J78" s="79" t="str">
        <f t="shared" ref="J78:J141" si="7">IF(ISNUMBER(A78), HYPERLINK("#'"&amp; A78&amp; "'!C16", A78), "")</f>
        <v/>
      </c>
      <c r="K78" s="78" t="str">
        <f>IF(ScheduleTBL!AM77="","",HYPERLINK(ScheduleTBL!AM77,K$2))</f>
        <v/>
      </c>
      <c r="L78" s="78" t="str">
        <f>IF(ScheduleTBL!AN77="","",HYPERLINK(ScheduleTBL!AN77,L$2))</f>
        <v>Pres1</v>
      </c>
      <c r="M78" s="79"/>
      <c r="N78" s="79"/>
      <c r="O78" s="416"/>
      <c r="P78" s="317"/>
      <c r="Q78" s="317"/>
      <c r="R78" s="317"/>
      <c r="S78" s="317"/>
      <c r="T78" s="317"/>
      <c r="U78" s="317"/>
      <c r="V78" s="317"/>
    </row>
    <row r="79" spans="1:22" s="59" customFormat="1" ht="15.75" customHeight="1" thickBot="1" x14ac:dyDescent="0.3">
      <c r="A79" s="240" t="str">
        <f>ScheduleTBL!A78</f>
        <v>General</v>
      </c>
      <c r="B79" s="117" t="str">
        <f>ScheduleTBL!C78</f>
        <v>TRANSITION</v>
      </c>
      <c r="C79" s="413">
        <f>ScheduleTBL!H78</f>
        <v>42780</v>
      </c>
      <c r="D79" s="117" t="str">
        <f>IF(ScheduleTBL!J78="NULL", "", ScheduleTBL!J78)</f>
        <v>Tech RD&amp;T and RC</v>
      </c>
      <c r="E79" s="117" t="str">
        <f>IF(ScheduleTBL!K78="NULL", "", ScheduleTBL!K78)</f>
        <v/>
      </c>
      <c r="F79" s="288">
        <f>ScheduleTBL!F78</f>
        <v>0.40972222222222221</v>
      </c>
      <c r="G79" s="289">
        <f>ScheduleTBL!G78</f>
        <v>0.41319444444444442</v>
      </c>
      <c r="H79" s="117" t="str">
        <f>IF(ScheduleTBL!I78="NULL", "", ScheduleTBL!I78)</f>
        <v/>
      </c>
      <c r="I79" s="117" t="str">
        <f>IF(ScheduleTBL!P78="NULL", "", ScheduleTBL!P78)&amp; IF(ScheduleTBL!R78="NULL", "", ", "&amp; ScheduleTBL!R78)</f>
        <v/>
      </c>
      <c r="J79" s="79" t="str">
        <f t="shared" si="7"/>
        <v/>
      </c>
      <c r="K79" s="78" t="str">
        <f>IF(ScheduleTBL!AM78="","",HYPERLINK(ScheduleTBL!AM78,K$2))</f>
        <v/>
      </c>
      <c r="L79" s="78" t="str">
        <f>IF(ScheduleTBL!AN78="","",HYPERLINK(ScheduleTBL!AN78,L$2))</f>
        <v/>
      </c>
      <c r="M79" s="79"/>
      <c r="N79" s="79"/>
      <c r="O79" s="416"/>
      <c r="P79" s="317"/>
      <c r="Q79" s="317"/>
      <c r="R79" s="317"/>
      <c r="S79" s="317"/>
      <c r="T79" s="317"/>
      <c r="U79" s="317"/>
      <c r="V79" s="317"/>
    </row>
    <row r="80" spans="1:22" s="59" customFormat="1" ht="16.5" customHeight="1" thickTop="1" thickBot="1" x14ac:dyDescent="0.3">
      <c r="A80" s="240" t="str">
        <f>ScheduleTBL!A79</f>
        <v>WPG16003</v>
      </c>
      <c r="B80" s="118" t="str">
        <f>ScheduleTBL!C79</f>
        <v>Program Lead Presentation</v>
      </c>
      <c r="C80" s="413">
        <f>ScheduleTBL!H79</f>
        <v>42780</v>
      </c>
      <c r="D80" s="118" t="str">
        <f>IF(ScheduleTBL!J79="NULL", "", ScheduleTBL!J79)</f>
        <v>Tech RD&amp;T and RC</v>
      </c>
      <c r="E80" s="118" t="str">
        <f>IF(ScheduleTBL!K79="NULL", "", ScheduleTBL!K79)</f>
        <v/>
      </c>
      <c r="F80" s="290">
        <f>ScheduleTBL!F79</f>
        <v>0.41319444444444442</v>
      </c>
      <c r="G80" s="291">
        <f>ScheduleTBL!G79</f>
        <v>0.4236111111111111</v>
      </c>
      <c r="H80" s="118" t="str">
        <f>IF(ScheduleTBL!I79="NULL", "", ScheduleTBL!I79)</f>
        <v>Mezzanine 3</v>
      </c>
      <c r="I80" s="118" t="str">
        <f>IF(ScheduleTBL!P79="NULL", "", ScheduleTBL!P79)&amp; IF(ScheduleTBL!R79="NULL", "", ", "&amp; ScheduleTBL!R79)</f>
        <v>Mike Derby, DOE</v>
      </c>
      <c r="J80" s="80" t="str">
        <f t="shared" si="7"/>
        <v/>
      </c>
      <c r="K80" s="78" t="str">
        <f>IF(ScheduleTBL!AM79="","",HYPERLINK(ScheduleTBL!AM79,K$2))</f>
        <v/>
      </c>
      <c r="L80" s="78" t="str">
        <f>IF(ScheduleTBL!AN79="","",HYPERLINK(ScheduleTBL!AN79,L$2))</f>
        <v>Pres1</v>
      </c>
      <c r="M80" s="80"/>
      <c r="N80" s="80"/>
      <c r="O80" s="389"/>
      <c r="P80" s="317"/>
      <c r="Q80" s="317"/>
      <c r="R80" s="317"/>
      <c r="S80" s="317"/>
      <c r="T80" s="317"/>
      <c r="U80" s="317"/>
      <c r="V80" s="317"/>
    </row>
    <row r="81" spans="1:22" s="59" customFormat="1" ht="16.5" customHeight="1" thickTop="1" thickBot="1" x14ac:dyDescent="0.3">
      <c r="A81" s="240" t="str">
        <f>ScheduleTBL!A80</f>
        <v>General</v>
      </c>
      <c r="B81" s="145" t="str">
        <f>ScheduleTBL!C80</f>
        <v>Chairperson Welcome and Intro to Panel</v>
      </c>
      <c r="C81" s="413">
        <f>ScheduleTBL!H80</f>
        <v>42780</v>
      </c>
      <c r="D81" s="327" t="str">
        <f>IF(ScheduleTBL!J80="NULL", "", ScheduleTBL!J80)</f>
        <v>Tech RD&amp;T and RC</v>
      </c>
      <c r="E81" s="152" t="str">
        <f>IF(ScheduleTBL!K80="NULL", "", ScheduleTBL!K80)</f>
        <v/>
      </c>
      <c r="F81" s="287">
        <f>ScheduleTBL!F80</f>
        <v>0.4236111111111111</v>
      </c>
      <c r="G81" s="286">
        <f>ScheduleTBL!G80</f>
        <v>0.43055555555555552</v>
      </c>
      <c r="H81" s="152" t="str">
        <f>IF(ScheduleTBL!I80="NULL", "", ScheduleTBL!I80)</f>
        <v>Mezzanine 3</v>
      </c>
      <c r="I81" s="149" t="str">
        <f>IF(ScheduleTBL!P80="NULL", "", ScheduleTBL!P80)&amp; IF(ScheduleTBL!R80="NULL", "", ", "&amp; ScheduleTBL!R80)</f>
        <v>Sandy Butterfield, DOE</v>
      </c>
      <c r="J81" s="80" t="str">
        <f t="shared" si="7"/>
        <v/>
      </c>
      <c r="K81" s="78" t="str">
        <f>IF(ScheduleTBL!AM80="","",HYPERLINK(ScheduleTBL!AM80,K$2))</f>
        <v/>
      </c>
      <c r="L81" s="78" t="str">
        <f>IF(ScheduleTBL!AN80="","",HYPERLINK(ScheduleTBL!AN80,L$2))</f>
        <v/>
      </c>
      <c r="M81" s="80"/>
      <c r="N81" s="80"/>
      <c r="O81" s="389"/>
      <c r="P81" s="309"/>
      <c r="Q81" s="309"/>
      <c r="R81" s="309"/>
      <c r="S81" s="309"/>
      <c r="T81" s="309"/>
      <c r="U81" s="309"/>
      <c r="V81" s="309"/>
    </row>
    <row r="82" spans="1:22" s="59" customFormat="1" ht="16.5" customHeight="1" thickTop="1" thickBot="1" x14ac:dyDescent="0.3">
      <c r="A82" s="240" t="str">
        <f>ScheduleTBL!A81</f>
        <v>WPG16008</v>
      </c>
      <c r="B82" s="138" t="str">
        <f>ScheduleTBL!C81</f>
        <v>Overview of Innovation, Manufacturing, Reliability and Testing</v>
      </c>
      <c r="C82" s="413">
        <f>ScheduleTBL!H81</f>
        <v>42780</v>
      </c>
      <c r="D82" s="143" t="str">
        <f>IF(ScheduleTBL!J81="NULL", "", ScheduleTBL!J81)</f>
        <v>Tech RD&amp;T and RC</v>
      </c>
      <c r="E82" s="143" t="str">
        <f>IF(ScheduleTBL!K81="NULL", "", ScheduleTBL!K81)</f>
        <v>Innovation</v>
      </c>
      <c r="F82" s="287">
        <f>ScheduleTBL!F81</f>
        <v>0.43055555555555552</v>
      </c>
      <c r="G82" s="286">
        <f>ScheduleTBL!G81</f>
        <v>0.44097222222222215</v>
      </c>
      <c r="H82" s="143" t="str">
        <f>IF(ScheduleTBL!I81="NULL", "", ScheduleTBL!I81)</f>
        <v>Mezzanine 3</v>
      </c>
      <c r="I82" s="123" t="str">
        <f>IF(ScheduleTBL!P81="NULL", "", ScheduleTBL!P81)&amp; IF(ScheduleTBL!R81="NULL", "", ", "&amp; ScheduleTBL!R81)</f>
        <v>Megan McCluer, DOE</v>
      </c>
      <c r="J82" s="80" t="str">
        <f t="shared" si="7"/>
        <v/>
      </c>
      <c r="K82" s="78" t="str">
        <f>IF(ScheduleTBL!AM81="","",HYPERLINK(ScheduleTBL!AM81,K$2))</f>
        <v/>
      </c>
      <c r="L82" s="78" t="str">
        <f>IF(ScheduleTBL!AN81="","",HYPERLINK(ScheduleTBL!AN81,L$2))</f>
        <v>Pres1</v>
      </c>
      <c r="M82" s="80"/>
      <c r="N82" s="80"/>
      <c r="O82" s="389"/>
      <c r="P82" s="426">
        <f ca="1">AVERAGE(P83:P106)</f>
        <v>4</v>
      </c>
      <c r="Q82" s="426">
        <f t="shared" ref="Q82:V82" ca="1" si="8">AVERAGE(Q83:Q106)</f>
        <v>4.333333333333333</v>
      </c>
      <c r="R82" s="426">
        <f t="shared" ca="1" si="8"/>
        <v>4.166666666666667</v>
      </c>
      <c r="S82" s="426">
        <f t="shared" ca="1" si="8"/>
        <v>3.6666666666666665</v>
      </c>
      <c r="T82" s="426">
        <f t="shared" ca="1" si="8"/>
        <v>4.166666666666667</v>
      </c>
      <c r="U82" s="426">
        <f t="shared" ca="1" si="8"/>
        <v>3.6</v>
      </c>
      <c r="V82" s="426" t="e">
        <f t="shared" ca="1" si="8"/>
        <v>#DIV/0!</v>
      </c>
    </row>
    <row r="83" spans="1:22" s="59" customFormat="1" ht="15" x14ac:dyDescent="0.25">
      <c r="A83" s="240">
        <f>ScheduleTBL!A82</f>
        <v>187</v>
      </c>
      <c r="B83" s="142" t="str">
        <f>ScheduleTBL!C82</f>
        <v>Additive Manufacturing in Wind Turbine Components and Tooling</v>
      </c>
      <c r="C83" s="413">
        <f>ScheduleTBL!H82</f>
        <v>42780</v>
      </c>
      <c r="D83" s="153" t="str">
        <f>IF(ScheduleTBL!J82="NULL", "", ScheduleTBL!J82)</f>
        <v>Tech RD&amp;T and RC</v>
      </c>
      <c r="E83" s="142" t="str">
        <f>IF(ScheduleTBL!K82="NULL", "", ScheduleTBL!K82)</f>
        <v>Innovation</v>
      </c>
      <c r="F83" s="287">
        <f>ScheduleTBL!F82</f>
        <v>0.44097222222222215</v>
      </c>
      <c r="G83" s="286">
        <f>ScheduleTBL!G82</f>
        <v>0.46527777777777768</v>
      </c>
      <c r="H83" s="142" t="str">
        <f>IF(ScheduleTBL!I82="NULL", "", ScheduleTBL!I82)</f>
        <v>Mezzanine 3</v>
      </c>
      <c r="I83" s="127" t="str">
        <f>IF(ScheduleTBL!P82="NULL", "", ScheduleTBL!P82)&amp; IF(ScheduleTBL!R82="NULL", "", ", "&amp; ScheduleTBL!R82)</f>
        <v>Brian Post, ORNL</v>
      </c>
      <c r="J83" s="80">
        <f t="shared" si="7"/>
        <v>187</v>
      </c>
      <c r="K83" s="78" t="str">
        <f>IF(ScheduleTBL!AM82="","",HYPERLINK(ScheduleTBL!AM82,K$2))</f>
        <v>Sum1</v>
      </c>
      <c r="L83" s="78" t="str">
        <f>IF(ScheduleTBL!AN82="","",HYPERLINK(ScheduleTBL!AN82,L$2))</f>
        <v>Pres1</v>
      </c>
      <c r="M83" s="80"/>
      <c r="N83" s="80"/>
      <c r="O83" s="389"/>
      <c r="P83" s="423">
        <f ca="1">IF(NOT(ISNUMBER($A83)), "", IF(ISERROR(INDEX(EvalDB!$I:$I, MATCH($A83, EvalDB!$A:$A, 0))), "", INDEX(EvalDB!$I:$I, MATCH($A83, EvalDB!$A:$A, 0))))</f>
        <v>4.5</v>
      </c>
      <c r="Q83" s="424">
        <f ca="1">IF(NOT(ISNUMBER($A83)), "", IF(ISERROR(INDEX(EvalDB!$AB:$AB, MATCH($A83, EvalDB!$A:$A, 0))), "", INDEX(EvalDB!$AB:$AB, MATCH($A83, EvalDB!$A:$A, 0))))</f>
        <v>4.7</v>
      </c>
      <c r="R83" s="424">
        <f ca="1">IF(NOT(ISNUMBER($A83)), "", IF(ISERROR(INDEX(EvalDB!$AU:$AU, MATCH($A83, EvalDB!$A:$A, 0))), "", INDEX(EvalDB!$AU:$AU, MATCH($A83, EvalDB!$A:$A, 0))))</f>
        <v>4.5</v>
      </c>
      <c r="S83" s="424">
        <f ca="1">IF(NOT(ISNUMBER($A83)), "", IF(ISERROR(INDEX(EvalDB!$BN:$BN, MATCH($A83, EvalDB!$A:$A, 0))), "", INDEX(EvalDB!$BN:$BN, MATCH($A83, EvalDB!$A:$A, 0))))</f>
        <v>4</v>
      </c>
      <c r="T83" s="424">
        <f ca="1">IF(NOT(ISNUMBER($A83)), "", IF(ISERROR(INDEX(EvalDB!$CG:$CG, MATCH($A83, EvalDB!$A:$A, 0))), "", INDEX(EvalDB!$CG:$CG, MATCH($A83, EvalDB!$A:$A, 0))))</f>
        <v>4.5</v>
      </c>
      <c r="U83" s="424">
        <f ca="1">IF(NOT(ISNUMBER($A83)), "", IF(ISERROR(INDEX(EvalDB!$CZ:$CZ, MATCH($A83, EvalDB!$A:$A, 0))), "", INDEX(EvalDB!$CZ:$CZ, MATCH($A83, EvalDB!$A:$A, 0))))</f>
        <v>4.8</v>
      </c>
      <c r="V83" s="424">
        <f ca="1">AVERAGE(P83:U83)</f>
        <v>4.5</v>
      </c>
    </row>
    <row r="84" spans="1:22" s="59" customFormat="1" ht="15" x14ac:dyDescent="0.25">
      <c r="A84" s="240">
        <f>ScheduleTBL!A83</f>
        <v>237</v>
      </c>
      <c r="B84" s="142" t="str">
        <f>ScheduleTBL!C83</f>
        <v>Development of On-Site Tapered Spiral Welding for Large Turbine Towers</v>
      </c>
      <c r="C84" s="413">
        <f>ScheduleTBL!H83</f>
        <v>42780</v>
      </c>
      <c r="D84" s="153" t="str">
        <f>IF(ScheduleTBL!J83="NULL", "", ScheduleTBL!J83)</f>
        <v>Tech RD&amp;T and RC</v>
      </c>
      <c r="E84" s="142" t="str">
        <f>IF(ScheduleTBL!K83="NULL", "", ScheduleTBL!K83)</f>
        <v>Innovation</v>
      </c>
      <c r="F84" s="287">
        <f>ScheduleTBL!F83</f>
        <v>0.46527777777777768</v>
      </c>
      <c r="G84" s="286">
        <f>ScheduleTBL!G83</f>
        <v>0.48263888888888878</v>
      </c>
      <c r="H84" s="142" t="str">
        <f>IF(ScheduleTBL!I83="NULL", "", ScheduleTBL!I83)</f>
        <v>Mezzanine 3</v>
      </c>
      <c r="I84" s="127" t="str">
        <f>IF(ScheduleTBL!P83="NULL", "", ScheduleTBL!P83)&amp; IF(ScheduleTBL!R83="NULL", "", ", "&amp; ScheduleTBL!R83)</f>
        <v>Eric Smith, Keystone Tower Systems</v>
      </c>
      <c r="J84" s="80">
        <f t="shared" si="7"/>
        <v>237</v>
      </c>
      <c r="K84" s="78" t="str">
        <f>IF(ScheduleTBL!AM83="","",HYPERLINK(ScheduleTBL!AM83,K$2))</f>
        <v>Sum1</v>
      </c>
      <c r="L84" s="78" t="str">
        <f>IF(ScheduleTBL!AN83="","",HYPERLINK(ScheduleTBL!AN83,L$2))</f>
        <v>Pres1</v>
      </c>
      <c r="M84" s="80"/>
      <c r="N84" s="80"/>
      <c r="O84" s="389"/>
      <c r="P84" s="423">
        <f ca="1">IF(NOT(ISNUMBER($A84)), "", IF(ISERROR(INDEX(EvalDB!$I:$I, MATCH($A84, EvalDB!$A:$A, 0))), "", INDEX(EvalDB!$I:$I, MATCH($A84, EvalDB!$A:$A, 0))))</f>
        <v>4.5</v>
      </c>
      <c r="Q84" s="424">
        <f ca="1">IF(NOT(ISNUMBER($A84)), "", IF(ISERROR(INDEX(EvalDB!$AB:$AB, MATCH($A84, EvalDB!$A:$A, 0))), "", INDEX(EvalDB!$AB:$AB, MATCH($A84, EvalDB!$A:$A, 0))))</f>
        <v>4.8</v>
      </c>
      <c r="R84" s="424">
        <f ca="1">IF(NOT(ISNUMBER($A84)), "", IF(ISERROR(INDEX(EvalDB!$AU:$AU, MATCH($A84, EvalDB!$A:$A, 0))), "", INDEX(EvalDB!$AU:$AU, MATCH($A84, EvalDB!$A:$A, 0))))</f>
        <v>4</v>
      </c>
      <c r="S84" s="424">
        <f ca="1">IF(NOT(ISNUMBER($A84)), "", IF(ISERROR(INDEX(EvalDB!$BN:$BN, MATCH($A84, EvalDB!$A:$A, 0))), "", INDEX(EvalDB!$BN:$BN, MATCH($A84, EvalDB!$A:$A, 0))))</f>
        <v>4</v>
      </c>
      <c r="T84" s="424">
        <f ca="1">IF(NOT(ISNUMBER($A84)), "", IF(ISERROR(INDEX(EvalDB!$CG:$CG, MATCH($A84, EvalDB!$A:$A, 0))), "", INDEX(EvalDB!$CG:$CG, MATCH($A84, EvalDB!$A:$A, 0))))</f>
        <v>4</v>
      </c>
      <c r="U84" s="424">
        <f ca="1">IF(NOT(ISNUMBER($A84)), "", IF(ISERROR(INDEX(EvalDB!$CZ:$CZ, MATCH($A84, EvalDB!$A:$A, 0))), "", INDEX(EvalDB!$CZ:$CZ, MATCH($A84, EvalDB!$A:$A, 0))))</f>
        <v>5</v>
      </c>
      <c r="V84" s="424">
        <f t="shared" ref="V84:V85" ca="1" si="9">AVERAGE(P84:U84)</f>
        <v>4.3833333333333337</v>
      </c>
    </row>
    <row r="85" spans="1:22" s="59" customFormat="1" ht="15" x14ac:dyDescent="0.25">
      <c r="A85" s="240">
        <f>ScheduleTBL!A84</f>
        <v>238</v>
      </c>
      <c r="B85" s="142" t="str">
        <f>ScheduleTBL!C84</f>
        <v>Hexcrete Tower for Harvesting Wind Energy at Taller Hub Heights</v>
      </c>
      <c r="C85" s="413">
        <f>ScheduleTBL!H84</f>
        <v>42780</v>
      </c>
      <c r="D85" s="153" t="str">
        <f>IF(ScheduleTBL!J84="NULL", "", ScheduleTBL!J84)</f>
        <v>Tech RD&amp;T and RC</v>
      </c>
      <c r="E85" s="142" t="str">
        <f>IF(ScheduleTBL!K84="NULL", "", ScheduleTBL!K84)</f>
        <v>Innovation</v>
      </c>
      <c r="F85" s="287">
        <f>ScheduleTBL!F84</f>
        <v>0.48263888888888878</v>
      </c>
      <c r="G85" s="286">
        <f>ScheduleTBL!G84</f>
        <v>0.49999999999999989</v>
      </c>
      <c r="H85" s="142" t="str">
        <f>IF(ScheduleTBL!I84="NULL", "", ScheduleTBL!I84)</f>
        <v>Mezzanine 3</v>
      </c>
      <c r="I85" s="127" t="str">
        <f>IF(ScheduleTBL!P84="NULL", "", ScheduleTBL!P84)&amp; IF(ScheduleTBL!R84="NULL", "", ", "&amp; ScheduleTBL!R84)</f>
        <v>Sri Sritharan, Iowa State University</v>
      </c>
      <c r="J85" s="80">
        <f t="shared" si="7"/>
        <v>238</v>
      </c>
      <c r="K85" s="78" t="str">
        <f>IF(ScheduleTBL!AM84="","",HYPERLINK(ScheduleTBL!AM84,K$2))</f>
        <v>Sum1</v>
      </c>
      <c r="L85" s="78" t="str">
        <f>IF(ScheduleTBL!AN84="","",HYPERLINK(ScheduleTBL!AN84,L$2))</f>
        <v>Pres1</v>
      </c>
      <c r="M85" s="80"/>
      <c r="N85" s="80"/>
      <c r="O85" s="389"/>
      <c r="P85" s="423">
        <f ca="1">IF(NOT(ISNUMBER($A85)), "", IF(ISERROR(INDEX(EvalDB!$I:$I, MATCH($A85, EvalDB!$A:$A, 0))), "", INDEX(EvalDB!$I:$I, MATCH($A85, EvalDB!$A:$A, 0))))</f>
        <v>3</v>
      </c>
      <c r="Q85" s="424">
        <f ca="1">IF(NOT(ISNUMBER($A85)), "", IF(ISERROR(INDEX(EvalDB!$AB:$AB, MATCH($A85, EvalDB!$A:$A, 0))), "", INDEX(EvalDB!$AB:$AB, MATCH($A85, EvalDB!$A:$A, 0))))</f>
        <v>3.5</v>
      </c>
      <c r="R85" s="424">
        <f ca="1">IF(NOT(ISNUMBER($A85)), "", IF(ISERROR(INDEX(EvalDB!$AU:$AU, MATCH($A85, EvalDB!$A:$A, 0))), "", INDEX(EvalDB!$AU:$AU, MATCH($A85, EvalDB!$A:$A, 0))))</f>
        <v>4</v>
      </c>
      <c r="S85" s="424">
        <f ca="1">IF(NOT(ISNUMBER($A85)), "", IF(ISERROR(INDEX(EvalDB!$BN:$BN, MATCH($A85, EvalDB!$A:$A, 0))), "", INDEX(EvalDB!$BN:$BN, MATCH($A85, EvalDB!$A:$A, 0))))</f>
        <v>3</v>
      </c>
      <c r="T85" s="424">
        <f ca="1">IF(NOT(ISNUMBER($A85)), "", IF(ISERROR(INDEX(EvalDB!$CG:$CG, MATCH($A85, EvalDB!$A:$A, 0))), "", INDEX(EvalDB!$CG:$CG, MATCH($A85, EvalDB!$A:$A, 0))))</f>
        <v>4</v>
      </c>
      <c r="U85" s="424">
        <f ca="1">IF(NOT(ISNUMBER($A85)), "", IF(ISERROR(INDEX(EvalDB!$CZ:$CZ, MATCH($A85, EvalDB!$A:$A, 0))), "", INDEX(EvalDB!$CZ:$CZ, MATCH($A85, EvalDB!$A:$A, 0))))</f>
        <v>1</v>
      </c>
      <c r="V85" s="424">
        <f t="shared" ca="1" si="9"/>
        <v>3.0833333333333335</v>
      </c>
    </row>
    <row r="86" spans="1:22" s="59" customFormat="1" ht="15.75" customHeight="1" thickBot="1" x14ac:dyDescent="0.3">
      <c r="A86" s="240" t="str">
        <f>ScheduleTBL!A85</f>
        <v>General</v>
      </c>
      <c r="B86" s="130" t="str">
        <f>ScheduleTBL!C85</f>
        <v>Reviewer Note Taking Time</v>
      </c>
      <c r="C86" s="413">
        <f>ScheduleTBL!H85</f>
        <v>42780</v>
      </c>
      <c r="D86" s="130" t="str">
        <f>IF(ScheduleTBL!J85="NULL", "", ScheduleTBL!J85)</f>
        <v>Tech RD&amp;T and RC</v>
      </c>
      <c r="E86" s="130" t="str">
        <f>IF(ScheduleTBL!K85="NULL", "", ScheduleTBL!K85)</f>
        <v/>
      </c>
      <c r="F86" s="298">
        <f>ScheduleTBL!F85</f>
        <v>0.49999999999999989</v>
      </c>
      <c r="G86" s="299">
        <f>ScheduleTBL!G85</f>
        <v>0.52083333333333326</v>
      </c>
      <c r="H86" s="130" t="str">
        <f>IF(ScheduleTBL!I85="NULL", "", ScheduleTBL!I85)</f>
        <v>Mezzanine 3</v>
      </c>
      <c r="I86" s="130" t="str">
        <f>IF(ScheduleTBL!P85="NULL", "", ScheduleTBL!P85)&amp; IF(ScheduleTBL!R85="NULL", "", ", "&amp; ScheduleTBL!R85)</f>
        <v/>
      </c>
      <c r="J86" s="80" t="str">
        <f t="shared" si="7"/>
        <v/>
      </c>
      <c r="K86" s="78" t="str">
        <f>IF(ScheduleTBL!AM85="","",HYPERLINK(ScheduleTBL!AM85,K$2))</f>
        <v/>
      </c>
      <c r="L86" s="78" t="str">
        <f>IF(ScheduleTBL!AN85="","",HYPERLINK(ScheduleTBL!AN85,L$2))</f>
        <v/>
      </c>
      <c r="M86" s="80"/>
      <c r="N86" s="80"/>
      <c r="O86" s="389"/>
      <c r="P86" s="317"/>
      <c r="Q86" s="317"/>
      <c r="R86" s="317"/>
      <c r="S86" s="317"/>
      <c r="T86" s="317"/>
      <c r="U86" s="317"/>
      <c r="V86" s="317"/>
    </row>
    <row r="87" spans="1:22" s="59" customFormat="1" ht="16.5" customHeight="1" thickTop="1" thickBot="1" x14ac:dyDescent="0.3">
      <c r="A87" s="239" t="str">
        <f>ScheduleTBL!A86</f>
        <v>General</v>
      </c>
      <c r="B87" s="376" t="str">
        <f>ScheduleTBL!C86</f>
        <v>LUNCH</v>
      </c>
      <c r="C87" s="413">
        <f>ScheduleTBL!H86</f>
        <v>42780</v>
      </c>
      <c r="D87" s="376" t="str">
        <f>IF(ScheduleTBL!J86="NULL", "", ScheduleTBL!J86)</f>
        <v>Tech RD&amp;T and RC</v>
      </c>
      <c r="E87" s="376" t="str">
        <f>IF(ScheduleTBL!K86="NULL", "", ScheduleTBL!K86)</f>
        <v/>
      </c>
      <c r="F87" s="377">
        <f>ScheduleTBL!F86</f>
        <v>0.52083333333333326</v>
      </c>
      <c r="G87" s="378">
        <f>ScheduleTBL!G86</f>
        <v>0.56249999999999989</v>
      </c>
      <c r="H87" s="376" t="str">
        <f>IF(ScheduleTBL!I86="NULL", "", ScheduleTBL!I86)</f>
        <v>Commonwealth Ballroom</v>
      </c>
      <c r="I87" s="376" t="str">
        <f>IF(ScheduleTBL!P86="NULL", "", ScheduleTBL!P86)&amp; IF(ScheduleTBL!R86="NULL", "", ", "&amp; ScheduleTBL!R86)</f>
        <v>Kristina Johnson</v>
      </c>
      <c r="J87" s="80" t="str">
        <f t="shared" si="7"/>
        <v/>
      </c>
      <c r="K87" s="78" t="str">
        <f>IF(ScheduleTBL!AM86="","",HYPERLINK(ScheduleTBL!AM86,K$2))</f>
        <v/>
      </c>
      <c r="L87" s="78" t="str">
        <f>IF(ScheduleTBL!AN86="","",HYPERLINK(ScheduleTBL!AN86,L$2))</f>
        <v/>
      </c>
      <c r="M87" s="80"/>
      <c r="N87" s="80"/>
      <c r="O87" s="389"/>
      <c r="P87" s="317"/>
      <c r="Q87" s="317"/>
      <c r="R87" s="317"/>
      <c r="S87" s="317"/>
      <c r="T87" s="317"/>
      <c r="U87" s="317"/>
      <c r="V87" s="317"/>
    </row>
    <row r="88" spans="1:22" s="59" customFormat="1" ht="16.5" customHeight="1" thickTop="1" thickBot="1" x14ac:dyDescent="0.3">
      <c r="A88" s="240" t="str">
        <f>ScheduleTBL!A87</f>
        <v>Recap</v>
      </c>
      <c r="B88" s="138" t="str">
        <f>ScheduleTBL!C87</f>
        <v>Recap – Innovation, Manufacturing, Reliability and Testing</v>
      </c>
      <c r="C88" s="413">
        <f>ScheduleTBL!H87</f>
        <v>42780</v>
      </c>
      <c r="D88" s="143" t="str">
        <f>IF(ScheduleTBL!J87="NULL", "", ScheduleTBL!J87)</f>
        <v>Tech RD&amp;T and RC</v>
      </c>
      <c r="E88" s="143" t="str">
        <f>IF(ScheduleTBL!K87="NULL", "", ScheduleTBL!K87)</f>
        <v>Innovation</v>
      </c>
      <c r="F88" s="287">
        <f>ScheduleTBL!F87</f>
        <v>0.56249999999999989</v>
      </c>
      <c r="G88" s="286">
        <f>ScheduleTBL!G87</f>
        <v>0.5659722222222221</v>
      </c>
      <c r="H88" s="143" t="str">
        <f>IF(ScheduleTBL!I87="NULL", "", ScheduleTBL!I87)</f>
        <v>Mezzanine 3</v>
      </c>
      <c r="I88" s="123" t="str">
        <f>IF(ScheduleTBL!P87="NULL", "", ScheduleTBL!P87)&amp; IF(ScheduleTBL!R87="NULL", "", ", "&amp; ScheduleTBL!R87)</f>
        <v>Megan McCluer, DOE</v>
      </c>
      <c r="J88" s="80" t="str">
        <f t="shared" si="7"/>
        <v/>
      </c>
      <c r="K88" s="78" t="str">
        <f>IF(ScheduleTBL!AM87="","",HYPERLINK(ScheduleTBL!AM87,K$2))</f>
        <v/>
      </c>
      <c r="L88" s="78" t="str">
        <f>IF(ScheduleTBL!AN87="","",HYPERLINK(ScheduleTBL!AN87,L$2))</f>
        <v/>
      </c>
      <c r="M88" s="80"/>
      <c r="N88" s="80"/>
      <c r="O88" s="389"/>
      <c r="P88" s="309"/>
      <c r="Q88" s="309"/>
      <c r="R88" s="309"/>
      <c r="S88" s="309"/>
      <c r="T88" s="309"/>
      <c r="U88" s="309"/>
      <c r="V88" s="309"/>
    </row>
    <row r="89" spans="1:22" s="59" customFormat="1" ht="15" x14ac:dyDescent="0.25">
      <c r="A89" s="240">
        <f>ScheduleTBL!A88</f>
        <v>223</v>
      </c>
      <c r="B89" s="142" t="str">
        <f>ScheduleTBL!C88</f>
        <v>Testing Facilities and Capabilities at SNL</v>
      </c>
      <c r="C89" s="413">
        <f>ScheduleTBL!H88</f>
        <v>42780</v>
      </c>
      <c r="D89" s="153" t="str">
        <f>IF(ScheduleTBL!J88="NULL", "", ScheduleTBL!J88)</f>
        <v>Tech RD&amp;T and RC</v>
      </c>
      <c r="E89" s="142" t="str">
        <f>IF(ScheduleTBL!K88="NULL", "", ScheduleTBL!K88)</f>
        <v>Innovation</v>
      </c>
      <c r="F89" s="287">
        <f>ScheduleTBL!F88</f>
        <v>0.5659722222222221</v>
      </c>
      <c r="G89" s="286">
        <f>ScheduleTBL!G88</f>
        <v>0.58680555555555536</v>
      </c>
      <c r="H89" s="142" t="str">
        <f>IF(ScheduleTBL!I88="NULL", "", ScheduleTBL!I88)</f>
        <v>Mezzanine 3</v>
      </c>
      <c r="I89" s="127" t="str">
        <f>IF(ScheduleTBL!P88="NULL", "", ScheduleTBL!P88)&amp; IF(ScheduleTBL!R88="NULL", "", ", "&amp; ScheduleTBL!R88)</f>
        <v>Jon White, SNL</v>
      </c>
      <c r="J89" s="79">
        <f t="shared" si="7"/>
        <v>223</v>
      </c>
      <c r="K89" s="78" t="str">
        <f>IF(ScheduleTBL!AM88="","",HYPERLINK(ScheduleTBL!AM88,K$2))</f>
        <v>Sum1</v>
      </c>
      <c r="L89" s="78" t="str">
        <f>IF(ScheduleTBL!AN88="","",HYPERLINK(ScheduleTBL!AN88,L$2))</f>
        <v>Pres1</v>
      </c>
      <c r="M89" s="79"/>
      <c r="N89" s="79"/>
      <c r="O89" s="417"/>
      <c r="P89" s="423" t="str">
        <f ca="1">IF(NOT(ISNUMBER($A89)), "", IF(ISERROR(INDEX(EvalDB!$I:$I, MATCH($A89, EvalDB!$A:$A, 0))), "", INDEX(EvalDB!$I:$I, MATCH($A89, EvalDB!$A:$A, 0))))</f>
        <v/>
      </c>
      <c r="Q89" s="424" t="str">
        <f ca="1">IF(NOT(ISNUMBER($A89)), "", IF(ISERROR(INDEX(EvalDB!$AB:$AB, MATCH($A89, EvalDB!$A:$A, 0))), "", INDEX(EvalDB!$AB:$AB, MATCH($A89, EvalDB!$A:$A, 0))))</f>
        <v/>
      </c>
      <c r="R89" s="424" t="str">
        <f ca="1">IF(NOT(ISNUMBER($A89)), "", IF(ISERROR(INDEX(EvalDB!$AU:$AU, MATCH($A89, EvalDB!$A:$A, 0))), "", INDEX(EvalDB!$AU:$AU, MATCH($A89, EvalDB!$A:$A, 0))))</f>
        <v/>
      </c>
      <c r="S89" s="424" t="str">
        <f ca="1">IF(NOT(ISNUMBER($A89)), "", IF(ISERROR(INDEX(EvalDB!$BN:$BN, MATCH($A89, EvalDB!$A:$A, 0))), "", INDEX(EvalDB!$BN:$BN, MATCH($A89, EvalDB!$A:$A, 0))))</f>
        <v/>
      </c>
      <c r="T89" s="424" t="str">
        <f ca="1">IF(NOT(ISNUMBER($A89)), "", IF(ISERROR(INDEX(EvalDB!$CG:$CG, MATCH($A89, EvalDB!$A:$A, 0))), "", INDEX(EvalDB!$CG:$CG, MATCH($A89, EvalDB!$A:$A, 0))))</f>
        <v/>
      </c>
      <c r="U89" s="424" t="str">
        <f ca="1">IF(NOT(ISNUMBER($A89)), "", IF(ISERROR(INDEX(EvalDB!$CZ:$CZ, MATCH($A89, EvalDB!$A:$A, 0))), "", INDEX(EvalDB!$CZ:$CZ, MATCH($A89, EvalDB!$A:$A, 0))))</f>
        <v/>
      </c>
      <c r="V89" s="424" t="e">
        <f t="shared" ref="V89:V91" ca="1" si="10">AVERAGE(P89:U89)</f>
        <v>#DIV/0!</v>
      </c>
    </row>
    <row r="90" spans="1:22" s="59" customFormat="1" ht="15" x14ac:dyDescent="0.25">
      <c r="A90" s="240">
        <f>ScheduleTBL!A89</f>
        <v>210</v>
      </c>
      <c r="B90" s="142" t="str">
        <f>ScheduleTBL!C89</f>
        <v>Testing Facilities and Capabilities at NWTC</v>
      </c>
      <c r="C90" s="413">
        <f>ScheduleTBL!H89</f>
        <v>42780</v>
      </c>
      <c r="D90" s="153" t="str">
        <f>IF(ScheduleTBL!J89="NULL", "", ScheduleTBL!J89)</f>
        <v>Tech RD&amp;T and RC</v>
      </c>
      <c r="E90" s="142" t="str">
        <f>IF(ScheduleTBL!K89="NULL", "", ScheduleTBL!K89)</f>
        <v>Innovation</v>
      </c>
      <c r="F90" s="287">
        <f>ScheduleTBL!F89</f>
        <v>0.58680555555555536</v>
      </c>
      <c r="G90" s="286">
        <f>ScheduleTBL!G89</f>
        <v>0.61805555555555536</v>
      </c>
      <c r="H90" s="142" t="str">
        <f>IF(ScheduleTBL!I89="NULL", "", ScheduleTBL!I89)</f>
        <v>Mezzanine 3</v>
      </c>
      <c r="I90" s="127" t="str">
        <f>IF(ScheduleTBL!P89="NULL", "", ScheduleTBL!P89)&amp; IF(ScheduleTBL!R89="NULL", "", ", "&amp; ScheduleTBL!R89)</f>
        <v>Dave Simms, NREL</v>
      </c>
      <c r="J90" s="80">
        <f t="shared" si="7"/>
        <v>210</v>
      </c>
      <c r="K90" s="78" t="str">
        <f>IF(ScheduleTBL!AM89="","",HYPERLINK(ScheduleTBL!AM89,K$2))</f>
        <v>Sum1</v>
      </c>
      <c r="L90" s="78" t="str">
        <f>IF(ScheduleTBL!AN89="","",HYPERLINK(ScheduleTBL!AN89,L$2))</f>
        <v>Pres1</v>
      </c>
      <c r="M90" s="80"/>
      <c r="N90" s="80"/>
      <c r="O90" s="422"/>
      <c r="P90" s="423" t="str">
        <f ca="1">IF(NOT(ISNUMBER($A90)), "", IF(ISERROR(INDEX(EvalDB!$I:$I, MATCH($A90, EvalDB!$A:$A, 0))), "", INDEX(EvalDB!$I:$I, MATCH($A90, EvalDB!$A:$A, 0))))</f>
        <v/>
      </c>
      <c r="Q90" s="424" t="str">
        <f ca="1">IF(NOT(ISNUMBER($A90)), "", IF(ISERROR(INDEX(EvalDB!$AB:$AB, MATCH($A90, EvalDB!$A:$A, 0))), "", INDEX(EvalDB!$AB:$AB, MATCH($A90, EvalDB!$A:$A, 0))))</f>
        <v/>
      </c>
      <c r="R90" s="424" t="str">
        <f ca="1">IF(NOT(ISNUMBER($A90)), "", IF(ISERROR(INDEX(EvalDB!$AU:$AU, MATCH($A90, EvalDB!$A:$A, 0))), "", INDEX(EvalDB!$AU:$AU, MATCH($A90, EvalDB!$A:$A, 0))))</f>
        <v/>
      </c>
      <c r="S90" s="424" t="str">
        <f ca="1">IF(NOT(ISNUMBER($A90)), "", IF(ISERROR(INDEX(EvalDB!$BN:$BN, MATCH($A90, EvalDB!$A:$A, 0))), "", INDEX(EvalDB!$BN:$BN, MATCH($A90, EvalDB!$A:$A, 0))))</f>
        <v/>
      </c>
      <c r="T90" s="424" t="str">
        <f ca="1">IF(NOT(ISNUMBER($A90)), "", IF(ISERROR(INDEX(EvalDB!$CG:$CG, MATCH($A90, EvalDB!$A:$A, 0))), "", INDEX(EvalDB!$CG:$CG, MATCH($A90, EvalDB!$A:$A, 0))))</f>
        <v/>
      </c>
      <c r="U90" s="424" t="str">
        <f ca="1">IF(NOT(ISNUMBER($A90)), "", IF(ISERROR(INDEX(EvalDB!$CZ:$CZ, MATCH($A90, EvalDB!$A:$A, 0))), "", INDEX(EvalDB!$CZ:$CZ, MATCH($A90, EvalDB!$A:$A, 0))))</f>
        <v/>
      </c>
      <c r="V90" s="424" t="e">
        <f t="shared" ca="1" si="10"/>
        <v>#DIV/0!</v>
      </c>
    </row>
    <row r="91" spans="1:22" s="59" customFormat="1" ht="15" x14ac:dyDescent="0.25">
      <c r="A91" s="240">
        <f>ScheduleTBL!A90</f>
        <v>184</v>
      </c>
      <c r="B91" s="142" t="str">
        <f>ScheduleTBL!C90</f>
        <v>Innovative Blade Test Methodology</v>
      </c>
      <c r="C91" s="413">
        <f>ScheduleTBL!H90</f>
        <v>42780</v>
      </c>
      <c r="D91" s="153" t="str">
        <f>IF(ScheduleTBL!J90="NULL", "", ScheduleTBL!J90)</f>
        <v>Tech RD&amp;T and RC</v>
      </c>
      <c r="E91" s="142" t="str">
        <f>IF(ScheduleTBL!K90="NULL", "", ScheduleTBL!K90)</f>
        <v>Innovation</v>
      </c>
      <c r="F91" s="287">
        <f>ScheduleTBL!F90</f>
        <v>0.61805555555555536</v>
      </c>
      <c r="G91" s="286">
        <f>ScheduleTBL!G90</f>
        <v>0.6319444444444442</v>
      </c>
      <c r="H91" s="142" t="str">
        <f>IF(ScheduleTBL!I90="NULL", "", ScheduleTBL!I90)</f>
        <v>Mezzanine 3</v>
      </c>
      <c r="I91" s="127" t="str">
        <f>IF(ScheduleTBL!P90="NULL", "", ScheduleTBL!P90)&amp; IF(ScheduleTBL!R90="NULL", "", ", "&amp; ScheduleTBL!R90)</f>
        <v>Scott Hughes, NREL</v>
      </c>
      <c r="J91" s="80">
        <f t="shared" si="7"/>
        <v>184</v>
      </c>
      <c r="K91" s="78" t="str">
        <f>IF(ScheduleTBL!AM90="","",HYPERLINK(ScheduleTBL!AM90,K$2))</f>
        <v>Sum1</v>
      </c>
      <c r="L91" s="78" t="str">
        <f>IF(ScheduleTBL!AN90="","",HYPERLINK(ScheduleTBL!AN90,L$2))</f>
        <v>Pres1</v>
      </c>
      <c r="M91" s="80"/>
      <c r="N91" s="80"/>
      <c r="O91" s="389"/>
      <c r="P91" s="423" t="str">
        <f ca="1">IF(NOT(ISNUMBER($A91)), "", IF(ISERROR(INDEX(EvalDB!$I:$I, MATCH($A91, EvalDB!$A:$A, 0))), "", INDEX(EvalDB!$I:$I, MATCH($A91, EvalDB!$A:$A, 0))))</f>
        <v/>
      </c>
      <c r="Q91" s="424" t="str">
        <f ca="1">IF(NOT(ISNUMBER($A91)), "", IF(ISERROR(INDEX(EvalDB!$AB:$AB, MATCH($A91, EvalDB!$A:$A, 0))), "", INDEX(EvalDB!$AB:$AB, MATCH($A91, EvalDB!$A:$A, 0))))</f>
        <v/>
      </c>
      <c r="R91" s="424" t="str">
        <f ca="1">IF(NOT(ISNUMBER($A91)), "", IF(ISERROR(INDEX(EvalDB!$AU:$AU, MATCH($A91, EvalDB!$A:$A, 0))), "", INDEX(EvalDB!$AU:$AU, MATCH($A91, EvalDB!$A:$A, 0))))</f>
        <v/>
      </c>
      <c r="S91" s="424" t="str">
        <f ca="1">IF(NOT(ISNUMBER($A91)), "", IF(ISERROR(INDEX(EvalDB!$BN:$BN, MATCH($A91, EvalDB!$A:$A, 0))), "", INDEX(EvalDB!$BN:$BN, MATCH($A91, EvalDB!$A:$A, 0))))</f>
        <v/>
      </c>
      <c r="T91" s="424" t="str">
        <f ca="1">IF(NOT(ISNUMBER($A91)), "", IF(ISERROR(INDEX(EvalDB!$CG:$CG, MATCH($A91, EvalDB!$A:$A, 0))), "", INDEX(EvalDB!$CG:$CG, MATCH($A91, EvalDB!$A:$A, 0))))</f>
        <v/>
      </c>
      <c r="U91" s="424" t="str">
        <f ca="1">IF(NOT(ISNUMBER($A91)), "", IF(ISERROR(INDEX(EvalDB!$CZ:$CZ, MATCH($A91, EvalDB!$A:$A, 0))), "", INDEX(EvalDB!$CZ:$CZ, MATCH($A91, EvalDB!$A:$A, 0))))</f>
        <v/>
      </c>
      <c r="V91" s="424" t="e">
        <f t="shared" ca="1" si="10"/>
        <v>#DIV/0!</v>
      </c>
    </row>
    <row r="92" spans="1:22" s="59" customFormat="1" ht="15.75" customHeight="1" thickBot="1" x14ac:dyDescent="0.3">
      <c r="A92" s="240" t="str">
        <f>ScheduleTBL!A91</f>
        <v>General</v>
      </c>
      <c r="B92" s="130" t="str">
        <f>ScheduleTBL!C91</f>
        <v>BREAK</v>
      </c>
      <c r="C92" s="413">
        <f>ScheduleTBL!H91</f>
        <v>42780</v>
      </c>
      <c r="D92" s="130" t="str">
        <f>IF(ScheduleTBL!J91="NULL", "", ScheduleTBL!J91)</f>
        <v>Tech RD&amp;T and RC</v>
      </c>
      <c r="E92" s="130" t="str">
        <f>IF(ScheduleTBL!K91="NULL", "", ScheduleTBL!K91)</f>
        <v>Innovation</v>
      </c>
      <c r="F92" s="298">
        <f>ScheduleTBL!F91</f>
        <v>0.6319444444444442</v>
      </c>
      <c r="G92" s="299">
        <f>ScheduleTBL!G91</f>
        <v>0.64236111111111083</v>
      </c>
      <c r="H92" s="130" t="str">
        <f>IF(ScheduleTBL!I91="NULL", "", ScheduleTBL!I91)</f>
        <v>Mezzanine 3</v>
      </c>
      <c r="I92" s="130" t="str">
        <f>IF(ScheduleTBL!P91="NULL", "", ScheduleTBL!P91)&amp; IF(ScheduleTBL!R91="NULL", "", ", "&amp; ScheduleTBL!R91)</f>
        <v/>
      </c>
      <c r="J92" s="80" t="str">
        <f t="shared" si="7"/>
        <v/>
      </c>
      <c r="K92" s="78" t="str">
        <f>IF(ScheduleTBL!AM91="","",HYPERLINK(ScheduleTBL!AM91,K$2))</f>
        <v/>
      </c>
      <c r="L92" s="78" t="str">
        <f>IF(ScheduleTBL!AN91="","",HYPERLINK(ScheduleTBL!AN91,L$2))</f>
        <v/>
      </c>
      <c r="M92" s="80"/>
      <c r="N92" s="80"/>
      <c r="O92" s="389"/>
      <c r="P92" s="390"/>
      <c r="Q92" s="318"/>
      <c r="R92" s="318"/>
      <c r="S92" s="318"/>
      <c r="T92" s="318"/>
      <c r="U92" s="318"/>
      <c r="V92" s="318"/>
    </row>
    <row r="93" spans="1:22" s="59" customFormat="1" ht="16.5" customHeight="1" thickTop="1" thickBot="1" x14ac:dyDescent="0.3">
      <c r="A93" s="240" t="str">
        <f>ScheduleTBL!A92</f>
        <v>Recap</v>
      </c>
      <c r="B93" s="138" t="str">
        <f>ScheduleTBL!C92</f>
        <v>Recap – Innovation, Manufacturing, Reliability and Testing</v>
      </c>
      <c r="C93" s="413">
        <f>ScheduleTBL!H92</f>
        <v>42780</v>
      </c>
      <c r="D93" s="143" t="str">
        <f>IF(ScheduleTBL!J92="NULL", "", ScheduleTBL!J92)</f>
        <v>Tech RD&amp;T and RC</v>
      </c>
      <c r="E93" s="143" t="str">
        <f>IF(ScheduleTBL!K92="NULL", "", ScheduleTBL!K92)</f>
        <v>Innovation</v>
      </c>
      <c r="F93" s="287">
        <f>ScheduleTBL!F92</f>
        <v>0.64236111111111083</v>
      </c>
      <c r="G93" s="286">
        <f>ScheduleTBL!G92</f>
        <v>0.64583333333333304</v>
      </c>
      <c r="H93" s="143" t="str">
        <f>IF(ScheduleTBL!I92="NULL", "", ScheduleTBL!I92)</f>
        <v>Mezzanine 3</v>
      </c>
      <c r="I93" s="123" t="str">
        <f>IF(ScheduleTBL!P92="NULL", "", ScheduleTBL!P92)&amp; IF(ScheduleTBL!R92="NULL", "", ", "&amp; ScheduleTBL!R92)</f>
        <v>Megan McCluer, DOE</v>
      </c>
      <c r="J93" s="80" t="str">
        <f t="shared" si="7"/>
        <v/>
      </c>
      <c r="K93" s="78" t="str">
        <f>IF(ScheduleTBL!AM92="","",HYPERLINK(ScheduleTBL!AM92,K$2))</f>
        <v/>
      </c>
      <c r="L93" s="78" t="str">
        <f>IF(ScheduleTBL!AN92="","",HYPERLINK(ScheduleTBL!AN92,L$2))</f>
        <v/>
      </c>
      <c r="M93" s="80"/>
      <c r="N93" s="80"/>
      <c r="O93" s="389"/>
      <c r="P93" s="309"/>
      <c r="Q93" s="309"/>
      <c r="R93" s="309"/>
      <c r="S93" s="309"/>
      <c r="T93" s="309"/>
      <c r="U93" s="309"/>
      <c r="V93" s="309"/>
    </row>
    <row r="94" spans="1:22" s="59" customFormat="1" ht="15" x14ac:dyDescent="0.25">
      <c r="A94" s="240">
        <f>ScheduleTBL!A93</f>
        <v>221</v>
      </c>
      <c r="B94" s="142" t="str">
        <f>ScheduleTBL!C93</f>
        <v>Rotor Reliability (Collaboratives, Monitoring, and O&amp;M)</v>
      </c>
      <c r="C94" s="413">
        <f>ScheduleTBL!H93</f>
        <v>42780</v>
      </c>
      <c r="D94" s="153" t="str">
        <f>IF(ScheduleTBL!J93="NULL", "", ScheduleTBL!J93)</f>
        <v>Tech RD&amp;T and RC</v>
      </c>
      <c r="E94" s="142" t="str">
        <f>IF(ScheduleTBL!K93="NULL", "", ScheduleTBL!K93)</f>
        <v>Innovation</v>
      </c>
      <c r="F94" s="287">
        <f>ScheduleTBL!F93</f>
        <v>0.64583333333333304</v>
      </c>
      <c r="G94" s="286">
        <f>ScheduleTBL!G93</f>
        <v>0.65972222222222188</v>
      </c>
      <c r="H94" s="142" t="str">
        <f>IF(ScheduleTBL!I93="NULL", "", ScheduleTBL!I93)</f>
        <v>Mezzanine 3</v>
      </c>
      <c r="I94" s="127" t="str">
        <f>IF(ScheduleTBL!P93="NULL", "", ScheduleTBL!P93)&amp; IF(ScheduleTBL!R93="NULL", "", ", "&amp; ScheduleTBL!R93)</f>
        <v>Josh Paquette, SNL</v>
      </c>
      <c r="J94" s="80">
        <f t="shared" si="7"/>
        <v>221</v>
      </c>
      <c r="K94" s="78" t="str">
        <f>IF(ScheduleTBL!AM93="","",HYPERLINK(ScheduleTBL!AM93,K$2))</f>
        <v>Sum1</v>
      </c>
      <c r="L94" s="78" t="str">
        <f>IF(ScheduleTBL!AN93="","",HYPERLINK(ScheduleTBL!AN93,L$2))</f>
        <v>Pres1</v>
      </c>
      <c r="M94" s="80"/>
      <c r="N94" s="80"/>
      <c r="O94" s="389"/>
      <c r="P94" s="423" t="str">
        <f ca="1">IF(NOT(ISNUMBER($A94)), "", IF(ISERROR(INDEX(EvalDB!$I:$I, MATCH($A94, EvalDB!$A:$A, 0))), "", INDEX(EvalDB!$I:$I, MATCH($A94, EvalDB!$A:$A, 0))))</f>
        <v/>
      </c>
      <c r="Q94" s="424" t="str">
        <f ca="1">IF(NOT(ISNUMBER($A94)), "", IF(ISERROR(INDEX(EvalDB!$AB:$AB, MATCH($A94, EvalDB!$A:$A, 0))), "", INDEX(EvalDB!$AB:$AB, MATCH($A94, EvalDB!$A:$A, 0))))</f>
        <v/>
      </c>
      <c r="R94" s="424" t="str">
        <f ca="1">IF(NOT(ISNUMBER($A94)), "", IF(ISERROR(INDEX(EvalDB!$AU:$AU, MATCH($A94, EvalDB!$A:$A, 0))), "", INDEX(EvalDB!$AU:$AU, MATCH($A94, EvalDB!$A:$A, 0))))</f>
        <v/>
      </c>
      <c r="S94" s="424" t="str">
        <f ca="1">IF(NOT(ISNUMBER($A94)), "", IF(ISERROR(INDEX(EvalDB!$BN:$BN, MATCH($A94, EvalDB!$A:$A, 0))), "", INDEX(EvalDB!$BN:$BN, MATCH($A94, EvalDB!$A:$A, 0))))</f>
        <v/>
      </c>
      <c r="T94" s="424" t="str">
        <f ca="1">IF(NOT(ISNUMBER($A94)), "", IF(ISERROR(INDEX(EvalDB!$CG:$CG, MATCH($A94, EvalDB!$A:$A, 0))), "", INDEX(EvalDB!$CG:$CG, MATCH($A94, EvalDB!$A:$A, 0))))</f>
        <v/>
      </c>
      <c r="U94" s="424" t="str">
        <f ca="1">IF(NOT(ISNUMBER($A94)), "", IF(ISERROR(INDEX(EvalDB!$CZ:$CZ, MATCH($A94, EvalDB!$A:$A, 0))), "", INDEX(EvalDB!$CZ:$CZ, MATCH($A94, EvalDB!$A:$A, 0))))</f>
        <v/>
      </c>
      <c r="V94" s="424" t="e">
        <f t="shared" ref="V94:V97" ca="1" si="11">AVERAGE(P94:U94)</f>
        <v>#DIV/0!</v>
      </c>
    </row>
    <row r="95" spans="1:22" s="59" customFormat="1" ht="15" x14ac:dyDescent="0.25">
      <c r="A95" s="240">
        <f>ScheduleTBL!A94</f>
        <v>182</v>
      </c>
      <c r="B95" s="142" t="str">
        <f>ScheduleTBL!C94</f>
        <v>Drivetrain Reliability (Collaboratives, Monitoring, and O&amp;M)</v>
      </c>
      <c r="C95" s="413">
        <f>ScheduleTBL!H94</f>
        <v>42780</v>
      </c>
      <c r="D95" s="153" t="str">
        <f>IF(ScheduleTBL!J94="NULL", "", ScheduleTBL!J94)</f>
        <v>Tech RD&amp;T and RC</v>
      </c>
      <c r="E95" s="142" t="str">
        <f>IF(ScheduleTBL!K94="NULL", "", ScheduleTBL!K94)</f>
        <v>Innovation</v>
      </c>
      <c r="F95" s="287">
        <f>ScheduleTBL!F94</f>
        <v>0.65972222222222188</v>
      </c>
      <c r="G95" s="286">
        <f>ScheduleTBL!G94</f>
        <v>0.67361111111111072</v>
      </c>
      <c r="H95" s="142" t="str">
        <f>IF(ScheduleTBL!I94="NULL", "", ScheduleTBL!I94)</f>
        <v>Mezzanine 3</v>
      </c>
      <c r="I95" s="127" t="str">
        <f>IF(ScheduleTBL!P94="NULL", "", ScheduleTBL!P94)&amp; IF(ScheduleTBL!R94="NULL", "", ", "&amp; ScheduleTBL!R94)</f>
        <v>Jon Keller, NREL</v>
      </c>
      <c r="J95" s="80">
        <f t="shared" si="7"/>
        <v>182</v>
      </c>
      <c r="K95" s="78" t="str">
        <f>IF(ScheduleTBL!AM94="","",HYPERLINK(ScheduleTBL!AM94,K$2))</f>
        <v>Sum1</v>
      </c>
      <c r="L95" s="78" t="str">
        <f>IF(ScheduleTBL!AN94="","",HYPERLINK(ScheduleTBL!AN94,L$2))</f>
        <v>Pres1</v>
      </c>
      <c r="M95" s="80"/>
      <c r="N95" s="80"/>
      <c r="O95" s="389"/>
      <c r="P95" s="423" t="str">
        <f ca="1">IF(NOT(ISNUMBER($A95)), "", IF(ISERROR(INDEX(EvalDB!$I:$I, MATCH($A95, EvalDB!$A:$A, 0))), "", INDEX(EvalDB!$I:$I, MATCH($A95, EvalDB!$A:$A, 0))))</f>
        <v/>
      </c>
      <c r="Q95" s="424" t="str">
        <f ca="1">IF(NOT(ISNUMBER($A95)), "", IF(ISERROR(INDEX(EvalDB!$AB:$AB, MATCH($A95, EvalDB!$A:$A, 0))), "", INDEX(EvalDB!$AB:$AB, MATCH($A95, EvalDB!$A:$A, 0))))</f>
        <v/>
      </c>
      <c r="R95" s="424" t="str">
        <f ca="1">IF(NOT(ISNUMBER($A95)), "", IF(ISERROR(INDEX(EvalDB!$AU:$AU, MATCH($A95, EvalDB!$A:$A, 0))), "", INDEX(EvalDB!$AU:$AU, MATCH($A95, EvalDB!$A:$A, 0))))</f>
        <v/>
      </c>
      <c r="S95" s="424" t="str">
        <f ca="1">IF(NOT(ISNUMBER($A95)), "", IF(ISERROR(INDEX(EvalDB!$BN:$BN, MATCH($A95, EvalDB!$A:$A, 0))), "", INDEX(EvalDB!$BN:$BN, MATCH($A95, EvalDB!$A:$A, 0))))</f>
        <v/>
      </c>
      <c r="T95" s="424" t="str">
        <f ca="1">IF(NOT(ISNUMBER($A95)), "", IF(ISERROR(INDEX(EvalDB!$CG:$CG, MATCH($A95, EvalDB!$A:$A, 0))), "", INDEX(EvalDB!$CG:$CG, MATCH($A95, EvalDB!$A:$A, 0))))</f>
        <v/>
      </c>
      <c r="U95" s="424" t="str">
        <f ca="1">IF(NOT(ISNUMBER($A95)), "", IF(ISERROR(INDEX(EvalDB!$CZ:$CZ, MATCH($A95, EvalDB!$A:$A, 0))), "", INDEX(EvalDB!$CZ:$CZ, MATCH($A95, EvalDB!$A:$A, 0))))</f>
        <v/>
      </c>
      <c r="V95" s="424" t="e">
        <f t="shared" ca="1" si="11"/>
        <v>#DIV/0!</v>
      </c>
    </row>
    <row r="96" spans="1:22" s="59" customFormat="1" ht="15" x14ac:dyDescent="0.25">
      <c r="A96" s="240">
        <f>ScheduleTBL!A95</f>
        <v>74</v>
      </c>
      <c r="B96" s="142" t="str">
        <f>ScheduleTBL!C95</f>
        <v>Innovative Drivetrain Concepts FOA Phase II: Next Generation Drivetrain</v>
      </c>
      <c r="C96" s="413">
        <f>ScheduleTBL!H95</f>
        <v>42780</v>
      </c>
      <c r="D96" s="153" t="str">
        <f>IF(ScheduleTBL!J95="NULL", "", ScheduleTBL!J95)</f>
        <v>Tech RD&amp;T and RC</v>
      </c>
      <c r="E96" s="142" t="str">
        <f>IF(ScheduleTBL!K95="NULL", "", ScheduleTBL!K95)</f>
        <v>Innovation</v>
      </c>
      <c r="F96" s="287">
        <f>ScheduleTBL!F95</f>
        <v>0.67361111111111072</v>
      </c>
      <c r="G96" s="286">
        <f>ScheduleTBL!G95</f>
        <v>0.68749999999999956</v>
      </c>
      <c r="H96" s="142" t="str">
        <f>IF(ScheduleTBL!I95="NULL", "", ScheduleTBL!I95)</f>
        <v>Mezzanine 3</v>
      </c>
      <c r="I96" s="127" t="str">
        <f>IF(ScheduleTBL!P95="NULL", "", ScheduleTBL!P95)&amp; IF(ScheduleTBL!R95="NULL", "", ", "&amp; ScheduleTBL!R95)</f>
        <v>Jonathan Keller, NREL</v>
      </c>
      <c r="J96" s="78">
        <f t="shared" si="7"/>
        <v>74</v>
      </c>
      <c r="K96" s="78" t="str">
        <f>IF(ScheduleTBL!AM95="","",HYPERLINK(ScheduleTBL!AM95,K$2))</f>
        <v>Sum1</v>
      </c>
      <c r="L96" s="78" t="str">
        <f>IF(ScheduleTBL!AN95="","",HYPERLINK(ScheduleTBL!AN95,L$2))</f>
        <v>Pres1</v>
      </c>
      <c r="M96" s="78"/>
      <c r="N96" s="78"/>
      <c r="O96" s="306"/>
      <c r="P96" s="423" t="str">
        <f ca="1">IF(NOT(ISNUMBER($A96)), "", IF(ISERROR(INDEX(EvalDB!$I:$I, MATCH($A96, EvalDB!$A:$A, 0))), "", INDEX(EvalDB!$I:$I, MATCH($A96, EvalDB!$A:$A, 0))))</f>
        <v/>
      </c>
      <c r="Q96" s="424" t="str">
        <f ca="1">IF(NOT(ISNUMBER($A96)), "", IF(ISERROR(INDEX(EvalDB!$AB:$AB, MATCH($A96, EvalDB!$A:$A, 0))), "", INDEX(EvalDB!$AB:$AB, MATCH($A96, EvalDB!$A:$A, 0))))</f>
        <v/>
      </c>
      <c r="R96" s="424" t="str">
        <f ca="1">IF(NOT(ISNUMBER($A96)), "", IF(ISERROR(INDEX(EvalDB!$AU:$AU, MATCH($A96, EvalDB!$A:$A, 0))), "", INDEX(EvalDB!$AU:$AU, MATCH($A96, EvalDB!$A:$A, 0))))</f>
        <v/>
      </c>
      <c r="S96" s="424" t="str">
        <f ca="1">IF(NOT(ISNUMBER($A96)), "", IF(ISERROR(INDEX(EvalDB!$BN:$BN, MATCH($A96, EvalDB!$A:$A, 0))), "", INDEX(EvalDB!$BN:$BN, MATCH($A96, EvalDB!$A:$A, 0))))</f>
        <v/>
      </c>
      <c r="T96" s="424" t="str">
        <f ca="1">IF(NOT(ISNUMBER($A96)), "", IF(ISERROR(INDEX(EvalDB!$CG:$CG, MATCH($A96, EvalDB!$A:$A, 0))), "", INDEX(EvalDB!$CG:$CG, MATCH($A96, EvalDB!$A:$A, 0))))</f>
        <v/>
      </c>
      <c r="U96" s="424" t="str">
        <f ca="1">IF(NOT(ISNUMBER($A96)), "", IF(ISERROR(INDEX(EvalDB!$CZ:$CZ, MATCH($A96, EvalDB!$A:$A, 0))), "", INDEX(EvalDB!$CZ:$CZ, MATCH($A96, EvalDB!$A:$A, 0))))</f>
        <v/>
      </c>
      <c r="V96" s="424" t="e">
        <f t="shared" ca="1" si="11"/>
        <v>#DIV/0!</v>
      </c>
    </row>
    <row r="97" spans="1:22" s="59" customFormat="1" ht="15" x14ac:dyDescent="0.25">
      <c r="A97" s="240">
        <f>ScheduleTBL!A96</f>
        <v>239</v>
      </c>
      <c r="B97" s="142" t="str">
        <f>ScheduleTBL!C96</f>
        <v>Online Intelligent Prognostic Health Monitoring</v>
      </c>
      <c r="C97" s="413">
        <f>ScheduleTBL!H96</f>
        <v>42780</v>
      </c>
      <c r="D97" s="153" t="str">
        <f>IF(ScheduleTBL!J96="NULL", "", ScheduleTBL!J96)</f>
        <v>Tech RD&amp;T and RC</v>
      </c>
      <c r="E97" s="142" t="str">
        <f>IF(ScheduleTBL!K96="NULL", "", ScheduleTBL!K96)</f>
        <v>Innovation</v>
      </c>
      <c r="F97" s="287">
        <f>ScheduleTBL!F96</f>
        <v>0.68749999999999956</v>
      </c>
      <c r="G97" s="286">
        <f>ScheduleTBL!G96</f>
        <v>0.7013888888888884</v>
      </c>
      <c r="H97" s="142" t="str">
        <f>IF(ScheduleTBL!I96="NULL", "", ScheduleTBL!I96)</f>
        <v>Mezzanine 3</v>
      </c>
      <c r="I97" s="127" t="str">
        <f>IF(ScheduleTBL!P96="NULL", "", ScheduleTBL!P96)&amp; IF(ScheduleTBL!R96="NULL", "", ", "&amp; ScheduleTBL!R96)</f>
        <v>Wei Qiao, University of Nebraska–Lincoln</v>
      </c>
      <c r="J97" s="80">
        <f t="shared" si="7"/>
        <v>239</v>
      </c>
      <c r="K97" s="78" t="str">
        <f>IF(ScheduleTBL!AM96="","",HYPERLINK(ScheduleTBL!AM96,K$2))</f>
        <v>Sum1</v>
      </c>
      <c r="L97" s="78" t="str">
        <f>IF(ScheduleTBL!AN96="","",HYPERLINK(ScheduleTBL!AN96,L$2))</f>
        <v>Pres1</v>
      </c>
      <c r="M97" s="80"/>
      <c r="N97" s="80"/>
      <c r="O97" s="389"/>
      <c r="P97" s="423" t="str">
        <f ca="1">IF(NOT(ISNUMBER($A97)), "", IF(ISERROR(INDEX(EvalDB!$I:$I, MATCH($A97, EvalDB!$A:$A, 0))), "", INDEX(EvalDB!$I:$I, MATCH($A97, EvalDB!$A:$A, 0))))</f>
        <v/>
      </c>
      <c r="Q97" s="424" t="str">
        <f ca="1">IF(NOT(ISNUMBER($A97)), "", IF(ISERROR(INDEX(EvalDB!$AB:$AB, MATCH($A97, EvalDB!$A:$A, 0))), "", INDEX(EvalDB!$AB:$AB, MATCH($A97, EvalDB!$A:$A, 0))))</f>
        <v/>
      </c>
      <c r="R97" s="424" t="str">
        <f ca="1">IF(NOT(ISNUMBER($A97)), "", IF(ISERROR(INDEX(EvalDB!$AU:$AU, MATCH($A97, EvalDB!$A:$A, 0))), "", INDEX(EvalDB!$AU:$AU, MATCH($A97, EvalDB!$A:$A, 0))))</f>
        <v/>
      </c>
      <c r="S97" s="424" t="str">
        <f ca="1">IF(NOT(ISNUMBER($A97)), "", IF(ISERROR(INDEX(EvalDB!$BN:$BN, MATCH($A97, EvalDB!$A:$A, 0))), "", INDEX(EvalDB!$BN:$BN, MATCH($A97, EvalDB!$A:$A, 0))))</f>
        <v/>
      </c>
      <c r="T97" s="424" t="str">
        <f ca="1">IF(NOT(ISNUMBER($A97)), "", IF(ISERROR(INDEX(EvalDB!$CG:$CG, MATCH($A97, EvalDB!$A:$A, 0))), "", INDEX(EvalDB!$CG:$CG, MATCH($A97, EvalDB!$A:$A, 0))))</f>
        <v/>
      </c>
      <c r="U97" s="424" t="str">
        <f ca="1">IF(NOT(ISNUMBER($A97)), "", IF(ISERROR(INDEX(EvalDB!$CZ:$CZ, MATCH($A97, EvalDB!$A:$A, 0))), "", INDEX(EvalDB!$CZ:$CZ, MATCH($A97, EvalDB!$A:$A, 0))))</f>
        <v/>
      </c>
      <c r="V97" s="424" t="e">
        <f t="shared" ca="1" si="11"/>
        <v>#DIV/0!</v>
      </c>
    </row>
    <row r="98" spans="1:22" s="59" customFormat="1" ht="15" customHeight="1" x14ac:dyDescent="0.25">
      <c r="A98" s="240" t="str">
        <f>ScheduleTBL!A97</f>
        <v>General</v>
      </c>
      <c r="B98" s="130" t="str">
        <f>ScheduleTBL!C97</f>
        <v>Reviewer Note Taking Time</v>
      </c>
      <c r="C98" s="413">
        <f>ScheduleTBL!H97</f>
        <v>42780</v>
      </c>
      <c r="D98" s="130" t="str">
        <f>IF(ScheduleTBL!J97="NULL", "", ScheduleTBL!J97)</f>
        <v>Tech RD&amp;T and RC</v>
      </c>
      <c r="E98" s="130" t="str">
        <f>IF(ScheduleTBL!K97="NULL", "", ScheduleTBL!K97)</f>
        <v/>
      </c>
      <c r="F98" s="298">
        <f>ScheduleTBL!F97</f>
        <v>0.7013888888888884</v>
      </c>
      <c r="G98" s="299">
        <f>ScheduleTBL!G97</f>
        <v>0.72916666666666619</v>
      </c>
      <c r="H98" s="130" t="str">
        <f>IF(ScheduleTBL!I97="NULL", "", ScheduleTBL!I97)</f>
        <v>Mezzanine 3</v>
      </c>
      <c r="I98" s="130" t="str">
        <f>IF(ScheduleTBL!P97="NULL", "", ScheduleTBL!P97)&amp; IF(ScheduleTBL!R97="NULL", "", ", "&amp; ScheduleTBL!R97)</f>
        <v/>
      </c>
      <c r="J98" s="80" t="str">
        <f t="shared" si="7"/>
        <v/>
      </c>
      <c r="K98" s="78" t="str">
        <f>IF(ScheduleTBL!AM97="","",HYPERLINK(ScheduleTBL!AM97,K$2))</f>
        <v/>
      </c>
      <c r="L98" s="78" t="str">
        <f>IF(ScheduleTBL!AN97="","",HYPERLINK(ScheduleTBL!AN97,L$2))</f>
        <v/>
      </c>
      <c r="M98" s="80"/>
      <c r="N98" s="80"/>
      <c r="O98" s="389"/>
      <c r="P98" s="318"/>
      <c r="Q98" s="318"/>
      <c r="R98" s="318"/>
      <c r="S98" s="318"/>
      <c r="T98" s="318"/>
      <c r="U98" s="318"/>
      <c r="V98" s="318"/>
    </row>
    <row r="99" spans="1:22" s="59" customFormat="1" ht="15.75" customHeight="1" thickBot="1" x14ac:dyDescent="0.3">
      <c r="A99" s="339" t="str">
        <f>ScheduleTBL!A98</f>
        <v>General</v>
      </c>
      <c r="B99" s="340" t="str">
        <f>ScheduleTBL!C98</f>
        <v>POSTER SESSION - Hotel Breezeway</v>
      </c>
      <c r="C99" s="414">
        <f>ScheduleTBL!H98</f>
        <v>42780</v>
      </c>
      <c r="D99" s="341" t="str">
        <f>IF(ScheduleTBL!J98="NULL", "", ScheduleTBL!J98)</f>
        <v>Tech RD&amp;T and RC</v>
      </c>
      <c r="E99" s="341" t="str">
        <f>IF(ScheduleTBL!K98="NULL", "", ScheduleTBL!K98)</f>
        <v/>
      </c>
      <c r="F99" s="342">
        <f>ScheduleTBL!F98</f>
        <v>0.72916666666666619</v>
      </c>
      <c r="G99" s="343">
        <f>ScheduleTBL!G98</f>
        <v>0.81249999999999956</v>
      </c>
      <c r="H99" s="341" t="str">
        <f>IF(ScheduleTBL!I98="NULL", "", ScheduleTBL!I98)</f>
        <v>Foyer</v>
      </c>
      <c r="I99" s="344" t="str">
        <f>IF(ScheduleTBL!P98="NULL", "", ScheduleTBL!P98)&amp; IF(ScheduleTBL!R98="NULL", "", ", "&amp; ScheduleTBL!R98)</f>
        <v/>
      </c>
      <c r="J99" s="366" t="str">
        <f t="shared" si="7"/>
        <v/>
      </c>
      <c r="K99" s="345" t="str">
        <f>IF(ScheduleTBL!AM98="","",HYPERLINK(ScheduleTBL!AM98,K$2))</f>
        <v/>
      </c>
      <c r="L99" s="345" t="str">
        <f>IF(ScheduleTBL!AN98="","",HYPERLINK(ScheduleTBL!AN98,L$2))</f>
        <v/>
      </c>
      <c r="M99" s="79"/>
      <c r="N99" s="79"/>
      <c r="O99" s="416"/>
      <c r="P99" s="312"/>
      <c r="Q99" s="312"/>
      <c r="R99" s="312"/>
      <c r="S99" s="312"/>
      <c r="T99" s="312"/>
      <c r="U99" s="312"/>
      <c r="V99" s="312"/>
    </row>
    <row r="100" spans="1:22" s="59" customFormat="1" ht="15" customHeight="1" x14ac:dyDescent="0.25">
      <c r="A100" s="333" t="str">
        <f>ScheduleTBL!A99</f>
        <v>General</v>
      </c>
      <c r="B100" s="334" t="str">
        <f>ScheduleTBL!C99</f>
        <v>Breakfast</v>
      </c>
      <c r="C100" s="415">
        <f>ScheduleTBL!H99</f>
        <v>42781</v>
      </c>
      <c r="D100" s="372" t="str">
        <f>IF(ScheduleTBL!J99="NULL", "", ScheduleTBL!J99)</f>
        <v>Tech RD&amp;T and RC</v>
      </c>
      <c r="E100" s="336" t="str">
        <f>IF(ScheduleTBL!K99="NULL", "", ScheduleTBL!K99)</f>
        <v/>
      </c>
      <c r="F100" s="337">
        <f>ScheduleTBL!F99</f>
        <v>0.33333333333333331</v>
      </c>
      <c r="G100" s="295">
        <f>ScheduleTBL!G99</f>
        <v>0.36458333333333331</v>
      </c>
      <c r="H100" s="336" t="str">
        <f>IF(ScheduleTBL!I99="NULL", "", ScheduleTBL!I99)</f>
        <v>Commonwealth Ballroom</v>
      </c>
      <c r="I100" s="338" t="str">
        <f>IF(ScheduleTBL!P99="NULL", "", ScheduleTBL!P99)&amp; IF(ScheduleTBL!R99="NULL", "", ", "&amp; ScheduleTBL!R99)</f>
        <v/>
      </c>
      <c r="J100" s="93" t="str">
        <f t="shared" si="7"/>
        <v/>
      </c>
      <c r="K100" s="91" t="str">
        <f>IF(ScheduleTBL!AM99="","",HYPERLINK(ScheduleTBL!AM99,K$2))</f>
        <v/>
      </c>
      <c r="L100" s="91" t="str">
        <f>IF(ScheduleTBL!AN99="","",HYPERLINK(ScheduleTBL!AN99,L$2))</f>
        <v/>
      </c>
      <c r="M100" s="79"/>
      <c r="N100" s="79"/>
      <c r="O100" s="416"/>
      <c r="P100" s="313"/>
      <c r="Q100" s="313"/>
      <c r="R100" s="313"/>
      <c r="S100" s="313"/>
      <c r="T100" s="313"/>
      <c r="U100" s="313"/>
      <c r="V100" s="313"/>
    </row>
    <row r="101" spans="1:22" s="59" customFormat="1" ht="15" customHeight="1" x14ac:dyDescent="0.25">
      <c r="A101" s="240" t="str">
        <f>ScheduleTBL!A100</f>
        <v>General</v>
      </c>
      <c r="B101" s="205" t="str">
        <f>ScheduleTBL!C100</f>
        <v>Daily Recap</v>
      </c>
      <c r="C101" s="413">
        <f>ScheduleTBL!H100</f>
        <v>42781</v>
      </c>
      <c r="D101" s="153" t="str">
        <f>IF(ScheduleTBL!J100="NULL", "", ScheduleTBL!J100)</f>
        <v>Tech RD&amp;T and RC</v>
      </c>
      <c r="E101" s="142" t="str">
        <f>IF(ScheduleTBL!K100="NULL", "", ScheduleTBL!K100)</f>
        <v/>
      </c>
      <c r="F101" s="287">
        <f>ScheduleTBL!F100</f>
        <v>0.36458333333333331</v>
      </c>
      <c r="G101" s="286">
        <f>ScheduleTBL!G100</f>
        <v>0.375</v>
      </c>
      <c r="H101" s="142" t="str">
        <f>IF(ScheduleTBL!I100="NULL", "", ScheduleTBL!I100)</f>
        <v>Commonwealth Ballroom</v>
      </c>
      <c r="I101" s="127" t="str">
        <f>IF(ScheduleTBL!P100="NULL", "", ScheduleTBL!P100)&amp; IF(ScheduleTBL!R100="NULL", "", ", "&amp; ScheduleTBL!R100)</f>
        <v>Alex Lemke, DOE</v>
      </c>
      <c r="J101" s="79" t="str">
        <f t="shared" si="7"/>
        <v/>
      </c>
      <c r="K101" s="78" t="str">
        <f>IF(ScheduleTBL!AM100="","",HYPERLINK(ScheduleTBL!AM100,K$2))</f>
        <v/>
      </c>
      <c r="L101" s="78" t="str">
        <f>IF(ScheduleTBL!AN100="","",HYPERLINK(ScheduleTBL!AN100,L$2))</f>
        <v/>
      </c>
      <c r="M101" s="79"/>
      <c r="N101" s="79"/>
      <c r="O101" s="416"/>
      <c r="P101" s="312"/>
      <c r="Q101" s="312"/>
      <c r="R101" s="312"/>
      <c r="S101" s="312"/>
      <c r="T101" s="312"/>
      <c r="U101" s="312"/>
      <c r="V101" s="312"/>
    </row>
    <row r="102" spans="1:22" s="59" customFormat="1" ht="15.75" customHeight="1" thickBot="1" x14ac:dyDescent="0.3">
      <c r="A102" s="240" t="str">
        <f>ScheduleTBL!A101</f>
        <v>General</v>
      </c>
      <c r="B102" s="117" t="str">
        <f>ScheduleTBL!C101</f>
        <v>TRANSITION</v>
      </c>
      <c r="C102" s="413">
        <f>ScheduleTBL!H101</f>
        <v>42781</v>
      </c>
      <c r="D102" s="117" t="str">
        <f>IF(ScheduleTBL!J101="NULL", "", ScheduleTBL!J101)</f>
        <v>Tech RD&amp;T and RC</v>
      </c>
      <c r="E102" s="117" t="str">
        <f>IF(ScheduleTBL!K101="NULL", "", ScheduleTBL!K101)</f>
        <v/>
      </c>
      <c r="F102" s="288">
        <f>ScheduleTBL!F101</f>
        <v>0.375</v>
      </c>
      <c r="G102" s="289">
        <f>ScheduleTBL!G101</f>
        <v>0.37847222222222221</v>
      </c>
      <c r="H102" s="117" t="str">
        <f>IF(ScheduleTBL!I101="NULL", "", ScheduleTBL!I101)</f>
        <v/>
      </c>
      <c r="I102" s="117" t="str">
        <f>IF(ScheduleTBL!P101="NULL", "", ScheduleTBL!P101)&amp; IF(ScheduleTBL!R101="NULL", "", ", "&amp; ScheduleTBL!R101)</f>
        <v/>
      </c>
      <c r="J102" s="79" t="str">
        <f t="shared" si="7"/>
        <v/>
      </c>
      <c r="K102" s="78" t="str">
        <f>IF(ScheduleTBL!AM101="","",HYPERLINK(ScheduleTBL!AM101,K$2))</f>
        <v/>
      </c>
      <c r="L102" s="78" t="str">
        <f>IF(ScheduleTBL!AN101="","",HYPERLINK(ScheduleTBL!AN101,L$2))</f>
        <v/>
      </c>
      <c r="M102" s="79"/>
      <c r="N102" s="79"/>
      <c r="O102" s="416"/>
      <c r="P102" s="314"/>
      <c r="Q102" s="314"/>
      <c r="R102" s="314"/>
      <c r="S102" s="314"/>
      <c r="T102" s="314"/>
      <c r="U102" s="314"/>
      <c r="V102" s="314"/>
    </row>
    <row r="103" spans="1:22" s="59" customFormat="1" ht="16.5" customHeight="1" thickTop="1" thickBot="1" x14ac:dyDescent="0.3">
      <c r="A103" s="240" t="str">
        <f>ScheduleTBL!A102</f>
        <v>Recap</v>
      </c>
      <c r="B103" s="138" t="str">
        <f>ScheduleTBL!C102</f>
        <v>Recap – Innovation, Manufacturing, Reliability and Testing</v>
      </c>
      <c r="C103" s="413">
        <f>ScheduleTBL!H102</f>
        <v>42781</v>
      </c>
      <c r="D103" s="143" t="str">
        <f>IF(ScheduleTBL!J102="NULL", "", ScheduleTBL!J102)</f>
        <v>Tech RD&amp;T and RC</v>
      </c>
      <c r="E103" s="143" t="str">
        <f>IF(ScheduleTBL!K102="NULL", "", ScheduleTBL!K102)</f>
        <v>Innovation</v>
      </c>
      <c r="F103" s="287">
        <f>ScheduleTBL!F102</f>
        <v>0.37847222222222221</v>
      </c>
      <c r="G103" s="286">
        <f>ScheduleTBL!G102</f>
        <v>0.38194444444444442</v>
      </c>
      <c r="H103" s="143" t="str">
        <f>IF(ScheduleTBL!I102="NULL", "", ScheduleTBL!I102)</f>
        <v>Mezzanine 3</v>
      </c>
      <c r="I103" s="123" t="str">
        <f>IF(ScheduleTBL!P102="NULL", "", ScheduleTBL!P102)&amp; IF(ScheduleTBL!R102="NULL", "", ", "&amp; ScheduleTBL!R102)</f>
        <v>Megan McCluer, DOE</v>
      </c>
      <c r="J103" s="78" t="str">
        <f t="shared" si="7"/>
        <v/>
      </c>
      <c r="K103" s="78" t="str">
        <f>IF(ScheduleTBL!AM102="","",HYPERLINK(ScheduleTBL!AM102,K$2))</f>
        <v/>
      </c>
      <c r="L103" s="78" t="str">
        <f>IF(ScheduleTBL!AN102="","",HYPERLINK(ScheduleTBL!AN102,L$2))</f>
        <v/>
      </c>
      <c r="M103" s="78"/>
      <c r="N103" s="78"/>
      <c r="O103" s="306"/>
      <c r="P103" s="309"/>
      <c r="Q103" s="309"/>
      <c r="R103" s="309"/>
      <c r="S103" s="309"/>
      <c r="T103" s="309"/>
      <c r="U103" s="309"/>
      <c r="V103" s="309"/>
    </row>
    <row r="104" spans="1:22" s="59" customFormat="1" ht="15" x14ac:dyDescent="0.25">
      <c r="A104" s="240">
        <f>ScheduleTBL!A103</f>
        <v>130</v>
      </c>
      <c r="B104" s="142" t="str">
        <f>ScheduleTBL!C103</f>
        <v>Wind Standards Development</v>
      </c>
      <c r="C104" s="413">
        <f>ScheduleTBL!H103</f>
        <v>42781</v>
      </c>
      <c r="D104" s="153" t="str">
        <f>IF(ScheduleTBL!J103="NULL", "", ScheduleTBL!J103)</f>
        <v>Tech RD&amp;T and RC</v>
      </c>
      <c r="E104" s="142" t="str">
        <f>IF(ScheduleTBL!K103="NULL", "", ScheduleTBL!K103)</f>
        <v>Innovation</v>
      </c>
      <c r="F104" s="287">
        <f>ScheduleTBL!F103</f>
        <v>0.38194444444444442</v>
      </c>
      <c r="G104" s="286">
        <f>ScheduleTBL!G103</f>
        <v>0.39930555555555552</v>
      </c>
      <c r="H104" s="142" t="str">
        <f>IF(ScheduleTBL!I103="NULL", "", ScheduleTBL!I103)</f>
        <v>Mezzanine 3</v>
      </c>
      <c r="I104" s="127" t="str">
        <f>IF(ScheduleTBL!P103="NULL", "", ScheduleTBL!P103)&amp; IF(ScheduleTBL!R103="NULL", "", ", "&amp; ScheduleTBL!R103)</f>
        <v>Jeroen VanDam, NREL</v>
      </c>
      <c r="J104" s="78">
        <f t="shared" si="7"/>
        <v>130</v>
      </c>
      <c r="K104" s="78" t="str">
        <f>IF(ScheduleTBL!AM103="","",HYPERLINK(ScheduleTBL!AM103,K$2))</f>
        <v>Sum1</v>
      </c>
      <c r="L104" s="78" t="str">
        <f>IF(ScheduleTBL!AN103="","",HYPERLINK(ScheduleTBL!AN103,L$2))</f>
        <v>Pres1</v>
      </c>
      <c r="M104" s="78"/>
      <c r="N104" s="78"/>
      <c r="O104" s="306"/>
      <c r="P104" s="423" t="str">
        <f ca="1">IF(NOT(ISNUMBER($A104)), "", IF(ISERROR(INDEX(EvalDB!$I:$I, MATCH($A104, EvalDB!$A:$A, 0))), "", INDEX(EvalDB!$I:$I, MATCH($A104, EvalDB!$A:$A, 0))))</f>
        <v/>
      </c>
      <c r="Q104" s="424" t="str">
        <f ca="1">IF(NOT(ISNUMBER($A104)), "", IF(ISERROR(INDEX(EvalDB!$AB:$AB, MATCH($A104, EvalDB!$A:$A, 0))), "", INDEX(EvalDB!$AB:$AB, MATCH($A104, EvalDB!$A:$A, 0))))</f>
        <v/>
      </c>
      <c r="R104" s="424" t="str">
        <f ca="1">IF(NOT(ISNUMBER($A104)), "", IF(ISERROR(INDEX(EvalDB!$AU:$AU, MATCH($A104, EvalDB!$A:$A, 0))), "", INDEX(EvalDB!$AU:$AU, MATCH($A104, EvalDB!$A:$A, 0))))</f>
        <v/>
      </c>
      <c r="S104" s="424" t="str">
        <f ca="1">IF(NOT(ISNUMBER($A104)), "", IF(ISERROR(INDEX(EvalDB!$BN:$BN, MATCH($A104, EvalDB!$A:$A, 0))), "", INDEX(EvalDB!$BN:$BN, MATCH($A104, EvalDB!$A:$A, 0))))</f>
        <v/>
      </c>
      <c r="T104" s="424" t="str">
        <f ca="1">IF(NOT(ISNUMBER($A104)), "", IF(ISERROR(INDEX(EvalDB!$CG:$CG, MATCH($A104, EvalDB!$A:$A, 0))), "", INDEX(EvalDB!$CG:$CG, MATCH($A104, EvalDB!$A:$A, 0))))</f>
        <v/>
      </c>
      <c r="U104" s="424" t="str">
        <f ca="1">IF(NOT(ISNUMBER($A104)), "", IF(ISERROR(INDEX(EvalDB!$CZ:$CZ, MATCH($A104, EvalDB!$A:$A, 0))), "", INDEX(EvalDB!$CZ:$CZ, MATCH($A104, EvalDB!$A:$A, 0))))</f>
        <v/>
      </c>
      <c r="V104" s="424" t="e">
        <f t="shared" ref="V104:V106" ca="1" si="12">AVERAGE(P104:U104)</f>
        <v>#DIV/0!</v>
      </c>
    </row>
    <row r="105" spans="1:22" s="59" customFormat="1" ht="15" x14ac:dyDescent="0.25">
      <c r="A105" s="240">
        <f>ScheduleTBL!A104</f>
        <v>236</v>
      </c>
      <c r="B105" s="150" t="str">
        <f>ScheduleTBL!C104</f>
        <v>Advanced High Torque Density Magnetically Geared Generator</v>
      </c>
      <c r="C105" s="413">
        <f>ScheduleTBL!H104</f>
        <v>42781</v>
      </c>
      <c r="D105" s="153" t="str">
        <f>IF(ScheduleTBL!J104="NULL", "", ScheduleTBL!J104)</f>
        <v>Tech RD&amp;T and RC</v>
      </c>
      <c r="E105" s="150" t="str">
        <f>IF(ScheduleTBL!K104="NULL", "", ScheduleTBL!K104)</f>
        <v>Innovation</v>
      </c>
      <c r="F105" s="287">
        <f>ScheduleTBL!F104</f>
        <v>0.39930555555555552</v>
      </c>
      <c r="G105" s="286">
        <f>ScheduleTBL!G104</f>
        <v>0.41666666666666663</v>
      </c>
      <c r="H105" s="150" t="str">
        <f>IF(ScheduleTBL!I104="NULL", "", ScheduleTBL!I104)</f>
        <v>Mezzanine 3</v>
      </c>
      <c r="I105" s="154" t="str">
        <f>IF(ScheduleTBL!P104="NULL", "", ScheduleTBL!P104)&amp; IF(ScheduleTBL!R104="NULL", "", ", "&amp; ScheduleTBL!R104)</f>
        <v>Jonathan Bird, University of North Carolina at Charlotte</v>
      </c>
      <c r="J105" s="78">
        <f t="shared" si="7"/>
        <v>236</v>
      </c>
      <c r="K105" s="78" t="str">
        <f>IF(ScheduleTBL!AM104="","",HYPERLINK(ScheduleTBL!AM104,K$2))</f>
        <v>Sum1</v>
      </c>
      <c r="L105" s="78" t="str">
        <f>IF(ScheduleTBL!AN104="","",HYPERLINK(ScheduleTBL!AN104,L$2))</f>
        <v>Pres1</v>
      </c>
      <c r="M105" s="78"/>
      <c r="N105" s="78"/>
      <c r="O105" s="306"/>
      <c r="P105" s="423" t="str">
        <f ca="1">IF(NOT(ISNUMBER($A105)), "", IF(ISERROR(INDEX(EvalDB!$I:$I, MATCH($A105, EvalDB!$A:$A, 0))), "", INDEX(EvalDB!$I:$I, MATCH($A105, EvalDB!$A:$A, 0))))</f>
        <v/>
      </c>
      <c r="Q105" s="424" t="str">
        <f ca="1">IF(NOT(ISNUMBER($A105)), "", IF(ISERROR(INDEX(EvalDB!$AB:$AB, MATCH($A105, EvalDB!$A:$A, 0))), "", INDEX(EvalDB!$AB:$AB, MATCH($A105, EvalDB!$A:$A, 0))))</f>
        <v/>
      </c>
      <c r="R105" s="424" t="str">
        <f ca="1">IF(NOT(ISNUMBER($A105)), "", IF(ISERROR(INDEX(EvalDB!$AU:$AU, MATCH($A105, EvalDB!$A:$A, 0))), "", INDEX(EvalDB!$AU:$AU, MATCH($A105, EvalDB!$A:$A, 0))))</f>
        <v/>
      </c>
      <c r="S105" s="424" t="str">
        <f ca="1">IF(NOT(ISNUMBER($A105)), "", IF(ISERROR(INDEX(EvalDB!$BN:$BN, MATCH($A105, EvalDB!$A:$A, 0))), "", INDEX(EvalDB!$BN:$BN, MATCH($A105, EvalDB!$A:$A, 0))))</f>
        <v/>
      </c>
      <c r="T105" s="424" t="str">
        <f ca="1">IF(NOT(ISNUMBER($A105)), "", IF(ISERROR(INDEX(EvalDB!$CG:$CG, MATCH($A105, EvalDB!$A:$A, 0))), "", INDEX(EvalDB!$CG:$CG, MATCH($A105, EvalDB!$A:$A, 0))))</f>
        <v/>
      </c>
      <c r="U105" s="424" t="str">
        <f ca="1">IF(NOT(ISNUMBER($A105)), "", IF(ISERROR(INDEX(EvalDB!$CZ:$CZ, MATCH($A105, EvalDB!$A:$A, 0))), "", INDEX(EvalDB!$CZ:$CZ, MATCH($A105, EvalDB!$A:$A, 0))))</f>
        <v/>
      </c>
      <c r="V105" s="424" t="e">
        <f t="shared" ca="1" si="12"/>
        <v>#DIV/0!</v>
      </c>
    </row>
    <row r="106" spans="1:22" s="59" customFormat="1" ht="15.75" thickBot="1" x14ac:dyDescent="0.3">
      <c r="A106" s="240">
        <f>ScheduleTBL!A105</f>
        <v>240</v>
      </c>
      <c r="B106" s="150" t="str">
        <f>ScheduleTBL!C105</f>
        <v>The Incubation of Next-Generation Radar Technologies to Lower the Cost of Wind Energy</v>
      </c>
      <c r="C106" s="413">
        <f>ScheduleTBL!H105</f>
        <v>42781</v>
      </c>
      <c r="D106" s="153" t="str">
        <f>IF(ScheduleTBL!J105="NULL", "", ScheduleTBL!J105)</f>
        <v>Tech RD&amp;T and RC</v>
      </c>
      <c r="E106" s="150" t="str">
        <f>IF(ScheduleTBL!K105="NULL", "", ScheduleTBL!K105)</f>
        <v>Innovation</v>
      </c>
      <c r="F106" s="287">
        <f>ScheduleTBL!F105</f>
        <v>0.41666666666666663</v>
      </c>
      <c r="G106" s="286">
        <f>ScheduleTBL!G105</f>
        <v>0.43402777777777773</v>
      </c>
      <c r="H106" s="150" t="str">
        <f>IF(ScheduleTBL!I105="NULL", "", ScheduleTBL!I105)</f>
        <v>Mezzanine 3</v>
      </c>
      <c r="I106" s="154" t="str">
        <f>IF(ScheduleTBL!P105="NULL", "", ScheduleTBL!P105)&amp; IF(ScheduleTBL!R105="NULL", "", ", "&amp; ScheduleTBL!R105)</f>
        <v>John Schroeder, Texas Tech University</v>
      </c>
      <c r="J106" s="78">
        <f t="shared" si="7"/>
        <v>240</v>
      </c>
      <c r="K106" s="78" t="str">
        <f>IF(ScheduleTBL!AM105="","",HYPERLINK(ScheduleTBL!AM105,K$2))</f>
        <v>Sum1</v>
      </c>
      <c r="L106" s="78" t="str">
        <f>IF(ScheduleTBL!AN105="","",HYPERLINK(ScheduleTBL!AN105,L$2))</f>
        <v>Pres1</v>
      </c>
      <c r="M106" s="78"/>
      <c r="N106" s="78"/>
      <c r="O106" s="306"/>
      <c r="P106" s="423" t="str">
        <f ca="1">IF(NOT(ISNUMBER($A106)), "", IF(ISERROR(INDEX(EvalDB!$I:$I, MATCH($A106, EvalDB!$A:$A, 0))), "", INDEX(EvalDB!$I:$I, MATCH($A106, EvalDB!$A:$A, 0))))</f>
        <v/>
      </c>
      <c r="Q106" s="424" t="str">
        <f ca="1">IF(NOT(ISNUMBER($A106)), "", IF(ISERROR(INDEX(EvalDB!$AB:$AB, MATCH($A106, EvalDB!$A:$A, 0))), "", INDEX(EvalDB!$AB:$AB, MATCH($A106, EvalDB!$A:$A, 0))))</f>
        <v/>
      </c>
      <c r="R106" s="424" t="str">
        <f ca="1">IF(NOT(ISNUMBER($A106)), "", IF(ISERROR(INDEX(EvalDB!$AU:$AU, MATCH($A106, EvalDB!$A:$A, 0))), "", INDEX(EvalDB!$AU:$AU, MATCH($A106, EvalDB!$A:$A, 0))))</f>
        <v/>
      </c>
      <c r="S106" s="424" t="str">
        <f ca="1">IF(NOT(ISNUMBER($A106)), "", IF(ISERROR(INDEX(EvalDB!$BN:$BN, MATCH($A106, EvalDB!$A:$A, 0))), "", INDEX(EvalDB!$BN:$BN, MATCH($A106, EvalDB!$A:$A, 0))))</f>
        <v/>
      </c>
      <c r="T106" s="424" t="str">
        <f ca="1">IF(NOT(ISNUMBER($A106)), "", IF(ISERROR(INDEX(EvalDB!$CG:$CG, MATCH($A106, EvalDB!$A:$A, 0))), "", INDEX(EvalDB!$CG:$CG, MATCH($A106, EvalDB!$A:$A, 0))))</f>
        <v/>
      </c>
      <c r="U106" s="424" t="str">
        <f ca="1">IF(NOT(ISNUMBER($A106)), "", IF(ISERROR(INDEX(EvalDB!$CZ:$CZ, MATCH($A106, EvalDB!$A:$A, 0))), "", INDEX(EvalDB!$CZ:$CZ, MATCH($A106, EvalDB!$A:$A, 0))))</f>
        <v/>
      </c>
      <c r="V106" s="424" t="e">
        <f t="shared" ca="1" si="12"/>
        <v>#DIV/0!</v>
      </c>
    </row>
    <row r="107" spans="1:22" s="59" customFormat="1" ht="16.5" customHeight="1" thickTop="1" thickBot="1" x14ac:dyDescent="0.3">
      <c r="A107" s="240" t="str">
        <f>ScheduleTBL!A106</f>
        <v>WPG16009</v>
      </c>
      <c r="B107" s="138" t="str">
        <f>ScheduleTBL!C106</f>
        <v>Overview of A2e, HPC, RC, Flow Field Analysis, and Testing</v>
      </c>
      <c r="C107" s="413">
        <f>ScheduleTBL!H106</f>
        <v>42781</v>
      </c>
      <c r="D107" s="143" t="str">
        <f>IF(ScheduleTBL!J106="NULL", "", ScheduleTBL!J106)</f>
        <v>Tech RD&amp;T and RC</v>
      </c>
      <c r="E107" s="143" t="str">
        <f>IF(ScheduleTBL!K106="NULL", "", ScheduleTBL!K106)</f>
        <v>A2e</v>
      </c>
      <c r="F107" s="287">
        <f>ScheduleTBL!F106</f>
        <v>0.43402777777777773</v>
      </c>
      <c r="G107" s="286">
        <f>ScheduleTBL!G106</f>
        <v>0.44444444444444436</v>
      </c>
      <c r="H107" s="143" t="str">
        <f>IF(ScheduleTBL!I106="NULL", "", ScheduleTBL!I106)</f>
        <v>Mezzanine 3</v>
      </c>
      <c r="I107" s="123" t="str">
        <f>IF(ScheduleTBL!P106="NULL", "", ScheduleTBL!P106)&amp; IF(ScheduleTBL!R106="NULL", "", ", "&amp; ScheduleTBL!R106)</f>
        <v>Joel Cline, DOE</v>
      </c>
      <c r="J107" s="78" t="str">
        <f t="shared" si="7"/>
        <v/>
      </c>
      <c r="K107" s="78" t="str">
        <f>IF(ScheduleTBL!AM106="","",HYPERLINK(ScheduleTBL!AM106,K$2))</f>
        <v/>
      </c>
      <c r="L107" s="78" t="str">
        <f>IF(ScheduleTBL!AN106="","",HYPERLINK(ScheduleTBL!AN106,L$2))</f>
        <v>Pres1</v>
      </c>
      <c r="M107" s="78"/>
      <c r="N107" s="78"/>
      <c r="O107" s="306"/>
      <c r="P107" s="426" t="e">
        <f ca="1">AVERAGE(P108:P123)</f>
        <v>#DIV/0!</v>
      </c>
      <c r="Q107" s="426" t="e">
        <f t="shared" ref="Q107:V107" ca="1" si="13">AVERAGE(Q108:Q123)</f>
        <v>#DIV/0!</v>
      </c>
      <c r="R107" s="426" t="e">
        <f t="shared" ca="1" si="13"/>
        <v>#DIV/0!</v>
      </c>
      <c r="S107" s="426" t="e">
        <f t="shared" ca="1" si="13"/>
        <v>#DIV/0!</v>
      </c>
      <c r="T107" s="426" t="e">
        <f t="shared" ca="1" si="13"/>
        <v>#DIV/0!</v>
      </c>
      <c r="U107" s="426" t="e">
        <f t="shared" ca="1" si="13"/>
        <v>#DIV/0!</v>
      </c>
      <c r="V107" s="426" t="e">
        <f t="shared" ca="1" si="13"/>
        <v>#DIV/0!</v>
      </c>
    </row>
    <row r="108" spans="1:22" s="59" customFormat="1" ht="15" x14ac:dyDescent="0.25">
      <c r="A108" s="240">
        <f>ScheduleTBL!A107</f>
        <v>208</v>
      </c>
      <c r="B108" s="142" t="str">
        <f>ScheduleTBL!C107</f>
        <v>PRUF: Performance Risk, Uncertainty, and Finance</v>
      </c>
      <c r="C108" s="413">
        <f>ScheduleTBL!H107</f>
        <v>42781</v>
      </c>
      <c r="D108" s="153" t="str">
        <f>IF(ScheduleTBL!J107="NULL", "", ScheduleTBL!J107)</f>
        <v>Tech RD&amp;T and RC</v>
      </c>
      <c r="E108" s="142" t="str">
        <f>IF(ScheduleTBL!K107="NULL", "", ScheduleTBL!K107)</f>
        <v>A2e</v>
      </c>
      <c r="F108" s="287">
        <f>ScheduleTBL!F107</f>
        <v>0.44444444444444436</v>
      </c>
      <c r="G108" s="286">
        <f>ScheduleTBL!G107</f>
        <v>0.46180555555555547</v>
      </c>
      <c r="H108" s="142" t="str">
        <f>IF(ScheduleTBL!I107="NULL", "", ScheduleTBL!I107)</f>
        <v>Mezzanine 3</v>
      </c>
      <c r="I108" s="127" t="str">
        <f>IF(ScheduleTBL!P107="NULL", "", ScheduleTBL!P107)&amp; IF(ScheduleTBL!R107="NULL", "", ", "&amp; ScheduleTBL!R107)</f>
        <v>Jason Fields, NREL</v>
      </c>
      <c r="J108" s="79">
        <f t="shared" si="7"/>
        <v>208</v>
      </c>
      <c r="K108" s="78" t="str">
        <f>IF(ScheduleTBL!AM107="","",HYPERLINK(ScheduleTBL!AM107,K$2))</f>
        <v>Sum1</v>
      </c>
      <c r="L108" s="78" t="str">
        <f>IF(ScheduleTBL!AN107="","",HYPERLINK(ScheduleTBL!AN107,L$2))</f>
        <v>Pres1</v>
      </c>
      <c r="M108" s="79"/>
      <c r="N108" s="79"/>
      <c r="O108" s="416"/>
      <c r="P108" s="423" t="str">
        <f ca="1">IF(NOT(ISNUMBER($A108)), "", IF(ISERROR(INDEX(EvalDB!$I:$I, MATCH($A108, EvalDB!$A:$A, 0))), "", INDEX(EvalDB!$I:$I, MATCH($A108, EvalDB!$A:$A, 0))))</f>
        <v/>
      </c>
      <c r="Q108" s="424" t="str">
        <f ca="1">IF(NOT(ISNUMBER($A108)), "", IF(ISERROR(INDEX(EvalDB!$AB:$AB, MATCH($A108, EvalDB!$A:$A, 0))), "", INDEX(EvalDB!$AB:$AB, MATCH($A108, EvalDB!$A:$A, 0))))</f>
        <v/>
      </c>
      <c r="R108" s="424" t="str">
        <f ca="1">IF(NOT(ISNUMBER($A108)), "", IF(ISERROR(INDEX(EvalDB!$AU:$AU, MATCH($A108, EvalDB!$A:$A, 0))), "", INDEX(EvalDB!$AU:$AU, MATCH($A108, EvalDB!$A:$A, 0))))</f>
        <v/>
      </c>
      <c r="S108" s="424" t="str">
        <f ca="1">IF(NOT(ISNUMBER($A108)), "", IF(ISERROR(INDEX(EvalDB!$BN:$BN, MATCH($A108, EvalDB!$A:$A, 0))), "", INDEX(EvalDB!$BN:$BN, MATCH($A108, EvalDB!$A:$A, 0))))</f>
        <v/>
      </c>
      <c r="T108" s="424" t="str">
        <f ca="1">IF(NOT(ISNUMBER($A108)), "", IF(ISERROR(INDEX(EvalDB!$CG:$CG, MATCH($A108, EvalDB!$A:$A, 0))), "", INDEX(EvalDB!$CG:$CG, MATCH($A108, EvalDB!$A:$A, 0))))</f>
        <v/>
      </c>
      <c r="U108" s="424" t="str">
        <f ca="1">IF(NOT(ISNUMBER($A108)), "", IF(ISERROR(INDEX(EvalDB!$CZ:$CZ, MATCH($A108, EvalDB!$A:$A, 0))), "", INDEX(EvalDB!$CZ:$CZ, MATCH($A108, EvalDB!$A:$A, 0))))</f>
        <v/>
      </c>
      <c r="V108" s="424" t="e">
        <f t="shared" ref="V108:V109" ca="1" si="14">AVERAGE(P108:U108)</f>
        <v>#DIV/0!</v>
      </c>
    </row>
    <row r="109" spans="1:22" s="59" customFormat="1" ht="15" x14ac:dyDescent="0.25">
      <c r="A109" s="240">
        <f>ScheduleTBL!A108</f>
        <v>206</v>
      </c>
      <c r="B109" s="142" t="str">
        <f>ScheduleTBL!C108</f>
        <v>High-Fidelity Modeling</v>
      </c>
      <c r="C109" s="413">
        <f>ScheduleTBL!H108</f>
        <v>42781</v>
      </c>
      <c r="D109" s="153" t="str">
        <f>IF(ScheduleTBL!J108="NULL", "", ScheduleTBL!J108)</f>
        <v>Tech RD&amp;T and RC</v>
      </c>
      <c r="E109" s="142" t="str">
        <f>IF(ScheduleTBL!K108="NULL", "", ScheduleTBL!K108)</f>
        <v>A2e</v>
      </c>
      <c r="F109" s="287">
        <f>ScheduleTBL!F108</f>
        <v>0.46180555555555547</v>
      </c>
      <c r="G109" s="286">
        <f>ScheduleTBL!G108</f>
        <v>0.47916666666666657</v>
      </c>
      <c r="H109" s="142" t="str">
        <f>IF(ScheduleTBL!I108="NULL", "", ScheduleTBL!I108)</f>
        <v>Mezzanine 3</v>
      </c>
      <c r="I109" s="127" t="str">
        <f>IF(ScheduleTBL!P108="NULL", "", ScheduleTBL!P108)&amp; IF(ScheduleTBL!R108="NULL", "", ", "&amp; ScheduleTBL!R108)</f>
        <v>Mike Sprague, NREL</v>
      </c>
      <c r="J109" s="80">
        <f t="shared" si="7"/>
        <v>206</v>
      </c>
      <c r="K109" s="78" t="str">
        <f>IF(ScheduleTBL!AM108="","",HYPERLINK(ScheduleTBL!AM108,K$2))</f>
        <v>Sum1</v>
      </c>
      <c r="L109" s="78" t="str">
        <f>IF(ScheduleTBL!AN108="","",HYPERLINK(ScheduleTBL!AN108,L$2))</f>
        <v>Pres1</v>
      </c>
      <c r="M109" s="80"/>
      <c r="N109" s="80"/>
      <c r="O109" s="416"/>
      <c r="P109" s="423" t="str">
        <f ca="1">IF(NOT(ISNUMBER($A109)), "", IF(ISERROR(INDEX(EvalDB!$I:$I, MATCH($A109, EvalDB!$A:$A, 0))), "", INDEX(EvalDB!$I:$I, MATCH($A109, EvalDB!$A:$A, 0))))</f>
        <v/>
      </c>
      <c r="Q109" s="424" t="str">
        <f ca="1">IF(NOT(ISNUMBER($A109)), "", IF(ISERROR(INDEX(EvalDB!$AB:$AB, MATCH($A109, EvalDB!$A:$A, 0))), "", INDEX(EvalDB!$AB:$AB, MATCH($A109, EvalDB!$A:$A, 0))))</f>
        <v/>
      </c>
      <c r="R109" s="424" t="str">
        <f ca="1">IF(NOT(ISNUMBER($A109)), "", IF(ISERROR(INDEX(EvalDB!$AU:$AU, MATCH($A109, EvalDB!$A:$A, 0))), "", INDEX(EvalDB!$AU:$AU, MATCH($A109, EvalDB!$A:$A, 0))))</f>
        <v/>
      </c>
      <c r="S109" s="424" t="str">
        <f ca="1">IF(NOT(ISNUMBER($A109)), "", IF(ISERROR(INDEX(EvalDB!$BN:$BN, MATCH($A109, EvalDB!$A:$A, 0))), "", INDEX(EvalDB!$BN:$BN, MATCH($A109, EvalDB!$A:$A, 0))))</f>
        <v/>
      </c>
      <c r="T109" s="424" t="str">
        <f ca="1">IF(NOT(ISNUMBER($A109)), "", IF(ISERROR(INDEX(EvalDB!$CG:$CG, MATCH($A109, EvalDB!$A:$A, 0))), "", INDEX(EvalDB!$CG:$CG, MATCH($A109, EvalDB!$A:$A, 0))))</f>
        <v/>
      </c>
      <c r="U109" s="424" t="str">
        <f ca="1">IF(NOT(ISNUMBER($A109)), "", IF(ISERROR(INDEX(EvalDB!$CZ:$CZ, MATCH($A109, EvalDB!$A:$A, 0))), "", INDEX(EvalDB!$CZ:$CZ, MATCH($A109, EvalDB!$A:$A, 0))))</f>
        <v/>
      </c>
      <c r="V109" s="424" t="e">
        <f t="shared" ca="1" si="14"/>
        <v>#DIV/0!</v>
      </c>
    </row>
    <row r="110" spans="1:22" s="59" customFormat="1" ht="15" customHeight="1" x14ac:dyDescent="0.25">
      <c r="A110" s="240" t="str">
        <f>ScheduleTBL!A109</f>
        <v>General</v>
      </c>
      <c r="B110" s="130" t="str">
        <f>ScheduleTBL!C109</f>
        <v>BREAK</v>
      </c>
      <c r="C110" s="413">
        <f>ScheduleTBL!H109</f>
        <v>42781</v>
      </c>
      <c r="D110" s="130" t="str">
        <f>IF(ScheduleTBL!J109="NULL", "", ScheduleTBL!J109)</f>
        <v>Tech RD&amp;T and RC</v>
      </c>
      <c r="E110" s="130" t="str">
        <f>IF(ScheduleTBL!K109="NULL", "", ScheduleTBL!K109)</f>
        <v/>
      </c>
      <c r="F110" s="298">
        <f>ScheduleTBL!F109</f>
        <v>0.47916666666666657</v>
      </c>
      <c r="G110" s="299">
        <f>ScheduleTBL!G109</f>
        <v>0.48611111111111099</v>
      </c>
      <c r="H110" s="130" t="str">
        <f>IF(ScheduleTBL!I109="NULL", "", ScheduleTBL!I109)</f>
        <v>Foyer</v>
      </c>
      <c r="I110" s="130" t="str">
        <f>IF(ScheduleTBL!P109="NULL", "", ScheduleTBL!P109)&amp; IF(ScheduleTBL!R109="NULL", "", ", "&amp; ScheduleTBL!R109)</f>
        <v/>
      </c>
      <c r="J110" s="80" t="str">
        <f t="shared" si="7"/>
        <v/>
      </c>
      <c r="K110" s="78" t="str">
        <f>IF(ScheduleTBL!AM109="","",HYPERLINK(ScheduleTBL!AM109,K$2))</f>
        <v/>
      </c>
      <c r="L110" s="78" t="str">
        <f>IF(ScheduleTBL!AN109="","",HYPERLINK(ScheduleTBL!AN109,L$2))</f>
        <v/>
      </c>
      <c r="M110" s="80"/>
      <c r="N110" s="80"/>
      <c r="O110" s="389"/>
      <c r="P110" s="310"/>
      <c r="Q110" s="310"/>
      <c r="R110" s="310"/>
      <c r="S110" s="310"/>
      <c r="T110" s="310"/>
      <c r="U110" s="310"/>
      <c r="V110" s="310"/>
    </row>
    <row r="111" spans="1:22" s="59" customFormat="1" ht="15" x14ac:dyDescent="0.25">
      <c r="A111" s="240">
        <f>ScheduleTBL!A110</f>
        <v>222</v>
      </c>
      <c r="B111" s="142" t="str">
        <f>ScheduleTBL!C110</f>
        <v>Wake Dynamics Measurement, Testing, and Validation</v>
      </c>
      <c r="C111" s="413">
        <f>ScheduleTBL!H110</f>
        <v>42781</v>
      </c>
      <c r="D111" s="153" t="str">
        <f>IF(ScheduleTBL!J110="NULL", "", ScheduleTBL!J110)</f>
        <v>Tech RD&amp;T and RC</v>
      </c>
      <c r="E111" s="142" t="str">
        <f>IF(ScheduleTBL!K110="NULL", "", ScheduleTBL!K110)</f>
        <v>A2e</v>
      </c>
      <c r="F111" s="287">
        <f>ScheduleTBL!F110</f>
        <v>0.48611111111111099</v>
      </c>
      <c r="G111" s="286">
        <f>ScheduleTBL!G110</f>
        <v>0.5034722222222221</v>
      </c>
      <c r="H111" s="142" t="str">
        <f>IF(ScheduleTBL!I110="NULL", "", ScheduleTBL!I110)</f>
        <v>Mezzanine 3</v>
      </c>
      <c r="I111" s="127" t="str">
        <f>IF(ScheduleTBL!P110="NULL", "", ScheduleTBL!P110)&amp; IF(ScheduleTBL!R110="NULL", "", ", "&amp; ScheduleTBL!R110)</f>
        <v>Brian Naughton, SNL</v>
      </c>
      <c r="J111" s="79">
        <f t="shared" si="7"/>
        <v>222</v>
      </c>
      <c r="K111" s="78" t="str">
        <f>IF(ScheduleTBL!AM110="","",HYPERLINK(ScheduleTBL!AM110,K$2))</f>
        <v>Sum1</v>
      </c>
      <c r="L111" s="78" t="str">
        <f>IF(ScheduleTBL!AN110="","",HYPERLINK(ScheduleTBL!AN110,L$2))</f>
        <v>Pres1</v>
      </c>
      <c r="M111" s="79"/>
      <c r="N111" s="79"/>
      <c r="O111" s="416"/>
      <c r="P111" s="423" t="str">
        <f ca="1">IF(NOT(ISNUMBER($A111)), "", IF(ISERROR(INDEX(EvalDB!$I:$I, MATCH($A111, EvalDB!$A:$A, 0))), "", INDEX(EvalDB!$I:$I, MATCH($A111, EvalDB!$A:$A, 0))))</f>
        <v/>
      </c>
      <c r="Q111" s="424" t="str">
        <f ca="1">IF(NOT(ISNUMBER($A111)), "", IF(ISERROR(INDEX(EvalDB!$AB:$AB, MATCH($A111, EvalDB!$A:$A, 0))), "", INDEX(EvalDB!$AB:$AB, MATCH($A111, EvalDB!$A:$A, 0))))</f>
        <v/>
      </c>
      <c r="R111" s="424" t="str">
        <f ca="1">IF(NOT(ISNUMBER($A111)), "", IF(ISERROR(INDEX(EvalDB!$AU:$AU, MATCH($A111, EvalDB!$A:$A, 0))), "", INDEX(EvalDB!$AU:$AU, MATCH($A111, EvalDB!$A:$A, 0))))</f>
        <v/>
      </c>
      <c r="S111" s="424" t="str">
        <f ca="1">IF(NOT(ISNUMBER($A111)), "", IF(ISERROR(INDEX(EvalDB!$BN:$BN, MATCH($A111, EvalDB!$A:$A, 0))), "", INDEX(EvalDB!$BN:$BN, MATCH($A111, EvalDB!$A:$A, 0))))</f>
        <v/>
      </c>
      <c r="T111" s="424" t="str">
        <f ca="1">IF(NOT(ISNUMBER($A111)), "", IF(ISERROR(INDEX(EvalDB!$CG:$CG, MATCH($A111, EvalDB!$A:$A, 0))), "", INDEX(EvalDB!$CG:$CG, MATCH($A111, EvalDB!$A:$A, 0))))</f>
        <v/>
      </c>
      <c r="U111" s="424" t="str">
        <f ca="1">IF(NOT(ISNUMBER($A111)), "", IF(ISERROR(INDEX(EvalDB!$CZ:$CZ, MATCH($A111, EvalDB!$A:$A, 0))), "", INDEX(EvalDB!$CZ:$CZ, MATCH($A111, EvalDB!$A:$A, 0))))</f>
        <v/>
      </c>
      <c r="V111" s="424" t="e">
        <f t="shared" ref="V111:V112" ca="1" si="15">AVERAGE(P111:U111)</f>
        <v>#DIV/0!</v>
      </c>
    </row>
    <row r="112" spans="1:22" s="59" customFormat="1" ht="15.75" thickBot="1" x14ac:dyDescent="0.3">
      <c r="A112" s="240">
        <f>ScheduleTBL!A111</f>
        <v>207</v>
      </c>
      <c r="B112" s="142" t="str">
        <f>ScheduleTBL!C111</f>
        <v>Wind Plant Flow Control</v>
      </c>
      <c r="C112" s="413">
        <f>ScheduleTBL!H111</f>
        <v>42781</v>
      </c>
      <c r="D112" s="153" t="str">
        <f>IF(ScheduleTBL!J111="NULL", "", ScheduleTBL!J111)</f>
        <v>Tech RD&amp;T and RC</v>
      </c>
      <c r="E112" s="142" t="str">
        <f>IF(ScheduleTBL!K111="NULL", "", ScheduleTBL!K111)</f>
        <v>A2e</v>
      </c>
      <c r="F112" s="287">
        <f>ScheduleTBL!F111</f>
        <v>0.5034722222222221</v>
      </c>
      <c r="G112" s="286">
        <f>ScheduleTBL!G111</f>
        <v>0.52083333333333315</v>
      </c>
      <c r="H112" s="142" t="str">
        <f>IF(ScheduleTBL!I111="NULL", "", ScheduleTBL!I111)</f>
        <v>Mezzanine 3</v>
      </c>
      <c r="I112" s="127" t="str">
        <f>IF(ScheduleTBL!P111="NULL", "", ScheduleTBL!P111)&amp; IF(ScheduleTBL!R111="NULL", "", ", "&amp; ScheduleTBL!R111)</f>
        <v>Alan Wright, NREL</v>
      </c>
      <c r="J112" s="80">
        <f t="shared" si="7"/>
        <v>207</v>
      </c>
      <c r="K112" s="78" t="str">
        <f>IF(ScheduleTBL!AM111="","",HYPERLINK(ScheduleTBL!AM111,K$2))</f>
        <v>Sum1</v>
      </c>
      <c r="L112" s="78" t="str">
        <f>IF(ScheduleTBL!AN111="","",HYPERLINK(ScheduleTBL!AN111,L$2))</f>
        <v>Pres1</v>
      </c>
      <c r="M112" s="80"/>
      <c r="N112" s="80"/>
      <c r="O112" s="389"/>
      <c r="P112" s="423" t="str">
        <f ca="1">IF(NOT(ISNUMBER($A112)), "", IF(ISERROR(INDEX(EvalDB!$I:$I, MATCH($A112, EvalDB!$A:$A, 0))), "", INDEX(EvalDB!$I:$I, MATCH($A112, EvalDB!$A:$A, 0))))</f>
        <v/>
      </c>
      <c r="Q112" s="424" t="str">
        <f ca="1">IF(NOT(ISNUMBER($A112)), "", IF(ISERROR(INDEX(EvalDB!$AB:$AB, MATCH($A112, EvalDB!$A:$A, 0))), "", INDEX(EvalDB!$AB:$AB, MATCH($A112, EvalDB!$A:$A, 0))))</f>
        <v/>
      </c>
      <c r="R112" s="424" t="str">
        <f ca="1">IF(NOT(ISNUMBER($A112)), "", IF(ISERROR(INDEX(EvalDB!$AU:$AU, MATCH($A112, EvalDB!$A:$A, 0))), "", INDEX(EvalDB!$AU:$AU, MATCH($A112, EvalDB!$A:$A, 0))))</f>
        <v/>
      </c>
      <c r="S112" s="424" t="str">
        <f ca="1">IF(NOT(ISNUMBER($A112)), "", IF(ISERROR(INDEX(EvalDB!$BN:$BN, MATCH($A112, EvalDB!$A:$A, 0))), "", INDEX(EvalDB!$BN:$BN, MATCH($A112, EvalDB!$A:$A, 0))))</f>
        <v/>
      </c>
      <c r="T112" s="424" t="str">
        <f ca="1">IF(NOT(ISNUMBER($A112)), "", IF(ISERROR(INDEX(EvalDB!$CG:$CG, MATCH($A112, EvalDB!$A:$A, 0))), "", INDEX(EvalDB!$CG:$CG, MATCH($A112, EvalDB!$A:$A, 0))))</f>
        <v/>
      </c>
      <c r="U112" s="424" t="str">
        <f ca="1">IF(NOT(ISNUMBER($A112)), "", IF(ISERROR(INDEX(EvalDB!$CZ:$CZ, MATCH($A112, EvalDB!$A:$A, 0))), "", INDEX(EvalDB!$CZ:$CZ, MATCH($A112, EvalDB!$A:$A, 0))))</f>
        <v/>
      </c>
      <c r="V112" s="424" t="e">
        <f t="shared" ca="1" si="15"/>
        <v>#DIV/0!</v>
      </c>
    </row>
    <row r="113" spans="1:22" s="59" customFormat="1" ht="16.5" customHeight="1" thickTop="1" thickBot="1" x14ac:dyDescent="0.3">
      <c r="A113" s="239" t="str">
        <f>ScheduleTBL!A112</f>
        <v>General</v>
      </c>
      <c r="B113" s="376" t="str">
        <f>ScheduleTBL!C112</f>
        <v>LUNCH</v>
      </c>
      <c r="C113" s="413">
        <f>ScheduleTBL!H112</f>
        <v>42781</v>
      </c>
      <c r="D113" s="376" t="str">
        <f>IF(ScheduleTBL!J112="NULL", "", ScheduleTBL!J112)</f>
        <v>Tech RD&amp;T and RC</v>
      </c>
      <c r="E113" s="376" t="str">
        <f>IF(ScheduleTBL!K112="NULL", "", ScheduleTBL!K112)</f>
        <v/>
      </c>
      <c r="F113" s="377">
        <f>ScheduleTBL!F112</f>
        <v>0.52083333333333315</v>
      </c>
      <c r="G113" s="378">
        <f>ScheduleTBL!G112</f>
        <v>0.56249999999999978</v>
      </c>
      <c r="H113" s="376" t="str">
        <f>IF(ScheduleTBL!I112="NULL", "", ScheduleTBL!I112)</f>
        <v>Commonwealth Ballroom</v>
      </c>
      <c r="I113" s="376" t="str">
        <f>IF(ScheduleTBL!P112="NULL", "", ScheduleTBL!P112)&amp; IF(ScheduleTBL!R112="NULL", "", ", "&amp; ScheduleTBL!R112)</f>
        <v>Senate Member</v>
      </c>
      <c r="J113" s="79" t="str">
        <f t="shared" si="7"/>
        <v/>
      </c>
      <c r="K113" s="78" t="str">
        <f>IF(ScheduleTBL!AM112="","",HYPERLINK(ScheduleTBL!AM112,K$2))</f>
        <v/>
      </c>
      <c r="L113" s="78" t="str">
        <f>IF(ScheduleTBL!AN112="","",HYPERLINK(ScheduleTBL!AN112,L$2))</f>
        <v/>
      </c>
      <c r="M113" s="79"/>
      <c r="N113" s="79"/>
      <c r="O113" s="416"/>
      <c r="P113" s="321"/>
      <c r="Q113" s="321"/>
      <c r="R113" s="321"/>
      <c r="S113" s="321"/>
      <c r="T113" s="321"/>
      <c r="U113" s="321"/>
      <c r="V113" s="321"/>
    </row>
    <row r="114" spans="1:22" s="59" customFormat="1" ht="16.5" thickTop="1" thickBot="1" x14ac:dyDescent="0.3">
      <c r="A114" s="240">
        <f>ScheduleTBL!A113</f>
        <v>211</v>
      </c>
      <c r="B114" s="142" t="str">
        <f>ScheduleTBL!C113</f>
        <v>ISDA: Integrated Systems Design and Analysis</v>
      </c>
      <c r="C114" s="413">
        <f>ScheduleTBL!H113</f>
        <v>42781</v>
      </c>
      <c r="D114" s="153" t="str">
        <f>IF(ScheduleTBL!J113="NULL", "", ScheduleTBL!J113)</f>
        <v>Tech RD&amp;T and RC</v>
      </c>
      <c r="E114" s="142" t="str">
        <f>IF(ScheduleTBL!K113="NULL", "", ScheduleTBL!K113)</f>
        <v>A2e</v>
      </c>
      <c r="F114" s="287">
        <f>ScheduleTBL!F113</f>
        <v>0.56249999999999978</v>
      </c>
      <c r="G114" s="286">
        <f>ScheduleTBL!G113</f>
        <v>0.57638888888888862</v>
      </c>
      <c r="H114" s="142" t="str">
        <f>IF(ScheduleTBL!I113="NULL", "", ScheduleTBL!I113)</f>
        <v>Mezzanine 3</v>
      </c>
      <c r="I114" s="127" t="str">
        <f>IF(ScheduleTBL!P113="NULL", "", ScheduleTBL!P113)&amp; IF(ScheduleTBL!R113="NULL", "", ", "&amp; ScheduleTBL!R113)</f>
        <v>Katherine Dykes, NREL</v>
      </c>
      <c r="J114" s="78">
        <f t="shared" si="7"/>
        <v>211</v>
      </c>
      <c r="K114" s="78" t="str">
        <f>IF(ScheduleTBL!AM113="","",HYPERLINK(ScheduleTBL!AM113,K$2))</f>
        <v>Sum1</v>
      </c>
      <c r="L114" s="78" t="str">
        <f>IF(ScheduleTBL!AN113="","",HYPERLINK(ScheduleTBL!AN113,L$2))</f>
        <v>Pres1</v>
      </c>
      <c r="M114" s="78"/>
      <c r="N114" s="78"/>
      <c r="O114" s="306"/>
      <c r="P114" s="423" t="str">
        <f ca="1">IF(NOT(ISNUMBER($A114)), "", IF(ISERROR(INDEX(EvalDB!$I:$I, MATCH($A114, EvalDB!$A:$A, 0))), "", INDEX(EvalDB!$I:$I, MATCH($A114, EvalDB!$A:$A, 0))))</f>
        <v/>
      </c>
      <c r="Q114" s="424" t="str">
        <f ca="1">IF(NOT(ISNUMBER($A114)), "", IF(ISERROR(INDEX(EvalDB!$AB:$AB, MATCH($A114, EvalDB!$A:$A, 0))), "", INDEX(EvalDB!$AB:$AB, MATCH($A114, EvalDB!$A:$A, 0))))</f>
        <v/>
      </c>
      <c r="R114" s="424" t="str">
        <f ca="1">IF(NOT(ISNUMBER($A114)), "", IF(ISERROR(INDEX(EvalDB!$AU:$AU, MATCH($A114, EvalDB!$A:$A, 0))), "", INDEX(EvalDB!$AU:$AU, MATCH($A114, EvalDB!$A:$A, 0))))</f>
        <v/>
      </c>
      <c r="S114" s="424" t="str">
        <f ca="1">IF(NOT(ISNUMBER($A114)), "", IF(ISERROR(INDEX(EvalDB!$BN:$BN, MATCH($A114, EvalDB!$A:$A, 0))), "", INDEX(EvalDB!$BN:$BN, MATCH($A114, EvalDB!$A:$A, 0))))</f>
        <v/>
      </c>
      <c r="T114" s="424" t="str">
        <f ca="1">IF(NOT(ISNUMBER($A114)), "", IF(ISERROR(INDEX(EvalDB!$CG:$CG, MATCH($A114, EvalDB!$A:$A, 0))), "", INDEX(EvalDB!$CG:$CG, MATCH($A114, EvalDB!$A:$A, 0))))</f>
        <v/>
      </c>
      <c r="U114" s="424" t="str">
        <f ca="1">IF(NOT(ISNUMBER($A114)), "", IF(ISERROR(INDEX(EvalDB!$CZ:$CZ, MATCH($A114, EvalDB!$A:$A, 0))), "", INDEX(EvalDB!$CZ:$CZ, MATCH($A114, EvalDB!$A:$A, 0))))</f>
        <v/>
      </c>
      <c r="V114" s="424" t="e">
        <f ca="1">AVERAGE(P114:U114)</f>
        <v>#DIV/0!</v>
      </c>
    </row>
    <row r="115" spans="1:22" s="59" customFormat="1" ht="16.5" customHeight="1" thickTop="1" thickBot="1" x14ac:dyDescent="0.3">
      <c r="A115" s="240" t="str">
        <f>ScheduleTBL!A114</f>
        <v>Recap</v>
      </c>
      <c r="B115" s="138" t="str">
        <f>ScheduleTBL!C114</f>
        <v>Recap – A2e, HPC, RC, Flow Field Analysis, and Testing</v>
      </c>
      <c r="C115" s="413">
        <f>ScheduleTBL!H114</f>
        <v>42781</v>
      </c>
      <c r="D115" s="143" t="str">
        <f>IF(ScheduleTBL!J114="NULL", "", ScheduleTBL!J114)</f>
        <v>Tech RD&amp;T and RC</v>
      </c>
      <c r="E115" s="143" t="str">
        <f>IF(ScheduleTBL!K114="NULL", "", ScheduleTBL!K114)</f>
        <v>A2e</v>
      </c>
      <c r="F115" s="287">
        <f>ScheduleTBL!F114</f>
        <v>0.57638888888888862</v>
      </c>
      <c r="G115" s="286">
        <f>ScheduleTBL!G114</f>
        <v>0.57986111111111083</v>
      </c>
      <c r="H115" s="143" t="str">
        <f>IF(ScheduleTBL!I114="NULL", "", ScheduleTBL!I114)</f>
        <v>Mezzanine 3</v>
      </c>
      <c r="I115" s="123" t="str">
        <f>IF(ScheduleTBL!P114="NULL", "", ScheduleTBL!P114)&amp; IF(ScheduleTBL!R114="NULL", "", ", "&amp; ScheduleTBL!R114)</f>
        <v>Joel Cline, DOE</v>
      </c>
      <c r="J115" s="80" t="str">
        <f t="shared" si="7"/>
        <v/>
      </c>
      <c r="K115" s="78" t="str">
        <f>IF(ScheduleTBL!AM114="","",HYPERLINK(ScheduleTBL!AM114,K$2))</f>
        <v/>
      </c>
      <c r="L115" s="78" t="str">
        <f>IF(ScheduleTBL!AN114="","",HYPERLINK(ScheduleTBL!AN114,L$2))</f>
        <v/>
      </c>
      <c r="M115" s="80"/>
      <c r="N115" s="80"/>
      <c r="O115" s="389"/>
      <c r="P115" s="309"/>
      <c r="Q115" s="309"/>
      <c r="R115" s="309"/>
      <c r="S115" s="309"/>
      <c r="T115" s="309"/>
      <c r="U115" s="309"/>
      <c r="V115" s="309"/>
    </row>
    <row r="116" spans="1:22" s="59" customFormat="1" ht="15" x14ac:dyDescent="0.25">
      <c r="A116" s="240">
        <f>ScheduleTBL!A115</f>
        <v>218</v>
      </c>
      <c r="B116" s="142" t="str">
        <f>ScheduleTBL!C115</f>
        <v>MMC: Model Development and Validation</v>
      </c>
      <c r="C116" s="413">
        <f>ScheduleTBL!H115</f>
        <v>42781</v>
      </c>
      <c r="D116" s="153" t="str">
        <f>IF(ScheduleTBL!J115="NULL", "", ScheduleTBL!J115)</f>
        <v>Tech RD&amp;T and RC</v>
      </c>
      <c r="E116" s="142" t="str">
        <f>IF(ScheduleTBL!K115="NULL", "", ScheduleTBL!K115)</f>
        <v>A2e</v>
      </c>
      <c r="F116" s="287">
        <f>ScheduleTBL!F115</f>
        <v>0.57986111111111083</v>
      </c>
      <c r="G116" s="286">
        <f>ScheduleTBL!G115</f>
        <v>0.59374999999999967</v>
      </c>
      <c r="H116" s="142" t="str">
        <f>IF(ScheduleTBL!I115="NULL", "", ScheduleTBL!I115)</f>
        <v>Mezzanine 3</v>
      </c>
      <c r="I116" s="127" t="str">
        <f>IF(ScheduleTBL!P115="NULL", "", ScheduleTBL!P115)&amp; IF(ScheduleTBL!R115="NULL", "", ", "&amp; ScheduleTBL!R115)</f>
        <v>Sue Haupt, PNNL</v>
      </c>
      <c r="J116" s="80">
        <f t="shared" si="7"/>
        <v>218</v>
      </c>
      <c r="K116" s="78" t="str">
        <f>IF(ScheduleTBL!AM115="","",HYPERLINK(ScheduleTBL!AM115,K$2))</f>
        <v>Sum1</v>
      </c>
      <c r="L116" s="78" t="str">
        <f>IF(ScheduleTBL!AN115="","",HYPERLINK(ScheduleTBL!AN115,L$2))</f>
        <v>Pres1</v>
      </c>
      <c r="M116" s="80"/>
      <c r="N116" s="80"/>
      <c r="O116" s="418"/>
      <c r="P116" s="423" t="str">
        <f ca="1">IF(NOT(ISNUMBER($A116)), "", IF(ISERROR(INDEX(EvalDB!$I:$I, MATCH($A116, EvalDB!$A:$A, 0))), "", INDEX(EvalDB!$I:$I, MATCH($A116, EvalDB!$A:$A, 0))))</f>
        <v/>
      </c>
      <c r="Q116" s="424" t="str">
        <f ca="1">IF(NOT(ISNUMBER($A116)), "", IF(ISERROR(INDEX(EvalDB!$AB:$AB, MATCH($A116, EvalDB!$A:$A, 0))), "", INDEX(EvalDB!$AB:$AB, MATCH($A116, EvalDB!$A:$A, 0))))</f>
        <v/>
      </c>
      <c r="R116" s="424" t="str">
        <f ca="1">IF(NOT(ISNUMBER($A116)), "", IF(ISERROR(INDEX(EvalDB!$AU:$AU, MATCH($A116, EvalDB!$A:$A, 0))), "", INDEX(EvalDB!$AU:$AU, MATCH($A116, EvalDB!$A:$A, 0))))</f>
        <v/>
      </c>
      <c r="S116" s="424" t="str">
        <f ca="1">IF(NOT(ISNUMBER($A116)), "", IF(ISERROR(INDEX(EvalDB!$BN:$BN, MATCH($A116, EvalDB!$A:$A, 0))), "", INDEX(EvalDB!$BN:$BN, MATCH($A116, EvalDB!$A:$A, 0))))</f>
        <v/>
      </c>
      <c r="T116" s="424" t="str">
        <f ca="1">IF(NOT(ISNUMBER($A116)), "", IF(ISERROR(INDEX(EvalDB!$CG:$CG, MATCH($A116, EvalDB!$A:$A, 0))), "", INDEX(EvalDB!$CG:$CG, MATCH($A116, EvalDB!$A:$A, 0))))</f>
        <v/>
      </c>
      <c r="U116" s="424" t="str">
        <f ca="1">IF(NOT(ISNUMBER($A116)), "", IF(ISERROR(INDEX(EvalDB!$CZ:$CZ, MATCH($A116, EvalDB!$A:$A, 0))), "", INDEX(EvalDB!$CZ:$CZ, MATCH($A116, EvalDB!$A:$A, 0))))</f>
        <v/>
      </c>
      <c r="V116" s="424" t="e">
        <f t="shared" ref="V116:V119" ca="1" si="16">AVERAGE(P116:U116)</f>
        <v>#DIV/0!</v>
      </c>
    </row>
    <row r="117" spans="1:22" s="59" customFormat="1" x14ac:dyDescent="0.35">
      <c r="A117" s="240">
        <f>ScheduleTBL!A116</f>
        <v>217</v>
      </c>
      <c r="B117" s="142" t="str">
        <f>ScheduleTBL!C116</f>
        <v>WFIP II: Mesoscale Physics and Inflow</v>
      </c>
      <c r="C117" s="413">
        <f>ScheduleTBL!H116</f>
        <v>42781</v>
      </c>
      <c r="D117" s="153" t="str">
        <f>IF(ScheduleTBL!J116="NULL", "", ScheduleTBL!J116)</f>
        <v>Tech RD&amp;T and RC</v>
      </c>
      <c r="E117" s="142" t="str">
        <f>IF(ScheduleTBL!K116="NULL", "", ScheduleTBL!K116)</f>
        <v>A2e</v>
      </c>
      <c r="F117" s="287">
        <f>ScheduleTBL!F116</f>
        <v>0.59374999999999967</v>
      </c>
      <c r="G117" s="286">
        <f>ScheduleTBL!G116</f>
        <v>0.60069444444444409</v>
      </c>
      <c r="H117" s="142" t="str">
        <f>IF(ScheduleTBL!I116="NULL", "", ScheduleTBL!I116)</f>
        <v>Mezzanine 3</v>
      </c>
      <c r="I117" s="127" t="str">
        <f>IF(ScheduleTBL!P116="NULL", "", ScheduleTBL!P116)&amp; IF(ScheduleTBL!R116="NULL", "", ", "&amp; ScheduleTBL!R116)</f>
        <v>Will Shaw, PNNL</v>
      </c>
      <c r="J117" s="80">
        <f t="shared" si="7"/>
        <v>217</v>
      </c>
      <c r="K117" s="78" t="str">
        <f>IF(ScheduleTBL!AM116="","",HYPERLINK(ScheduleTBL!AM116,K$2))</f>
        <v>Sum1</v>
      </c>
      <c r="L117" s="78" t="str">
        <f>IF(ScheduleTBL!AN116="","",HYPERLINK(ScheduleTBL!AN116,L$2))</f>
        <v>Pres1</v>
      </c>
      <c r="M117" s="80"/>
      <c r="N117" s="80"/>
      <c r="O117" s="389"/>
      <c r="P117" s="423" t="str">
        <f ca="1">IF(NOT(ISNUMBER($A117)), "", IF(ISERROR(INDEX(EvalDB!$I:$I, MATCH($A117, EvalDB!$A:$A, 0))), "", INDEX(EvalDB!$I:$I, MATCH($A117, EvalDB!$A:$A, 0))))</f>
        <v/>
      </c>
      <c r="Q117" s="424" t="str">
        <f ca="1">IF(NOT(ISNUMBER($A117)), "", IF(ISERROR(INDEX(EvalDB!$AB:$AB, MATCH($A117, EvalDB!$A:$A, 0))), "", INDEX(EvalDB!$AB:$AB, MATCH($A117, EvalDB!$A:$A, 0))))</f>
        <v/>
      </c>
      <c r="R117" s="424" t="str">
        <f ca="1">IF(NOT(ISNUMBER($A117)), "", IF(ISERROR(INDEX(EvalDB!$AU:$AU, MATCH($A117, EvalDB!$A:$A, 0))), "", INDEX(EvalDB!$AU:$AU, MATCH($A117, EvalDB!$A:$A, 0))))</f>
        <v/>
      </c>
      <c r="S117" s="424" t="str">
        <f ca="1">IF(NOT(ISNUMBER($A117)), "", IF(ISERROR(INDEX(EvalDB!$BN:$BN, MATCH($A117, EvalDB!$A:$A, 0))), "", INDEX(EvalDB!$BN:$BN, MATCH($A117, EvalDB!$A:$A, 0))))</f>
        <v/>
      </c>
      <c r="T117" s="424" t="str">
        <f ca="1">IF(NOT(ISNUMBER($A117)), "", IF(ISERROR(INDEX(EvalDB!$CG:$CG, MATCH($A117, EvalDB!$A:$A, 0))), "", INDEX(EvalDB!$CG:$CG, MATCH($A117, EvalDB!$A:$A, 0))))</f>
        <v/>
      </c>
      <c r="U117" s="424" t="str">
        <f ca="1">IF(NOT(ISNUMBER($A117)), "", IF(ISERROR(INDEX(EvalDB!$CZ:$CZ, MATCH($A117, EvalDB!$A:$A, 0))), "", INDEX(EvalDB!$CZ:$CZ, MATCH($A117, EvalDB!$A:$A, 0))))</f>
        <v/>
      </c>
      <c r="V117" s="424" t="e">
        <f t="shared" ca="1" si="16"/>
        <v>#DIV/0!</v>
      </c>
    </row>
    <row r="118" spans="1:22" s="59" customFormat="1" x14ac:dyDescent="0.35">
      <c r="A118" s="240">
        <f>ScheduleTBL!A117</f>
        <v>192</v>
      </c>
      <c r="B118" s="226" t="str">
        <f>ScheduleTBL!C117</f>
        <v>WFIP II: Field Testing</v>
      </c>
      <c r="C118" s="413">
        <f>ScheduleTBL!H117</f>
        <v>42781</v>
      </c>
      <c r="D118" s="153" t="str">
        <f>IF(ScheduleTBL!J117="NULL", "", ScheduleTBL!J117)</f>
        <v>Tech RD&amp;T and RC</v>
      </c>
      <c r="E118" s="142" t="str">
        <f>IF(ScheduleTBL!K117="NULL", "", ScheduleTBL!K117)</f>
        <v>A2e</v>
      </c>
      <c r="F118" s="287">
        <f>ScheduleTBL!F117</f>
        <v>0.60069444444444409</v>
      </c>
      <c r="G118" s="286">
        <f>ScheduleTBL!G117</f>
        <v>0.60763888888888851</v>
      </c>
      <c r="H118" s="142" t="str">
        <f>IF(ScheduleTBL!I117="NULL", "", ScheduleTBL!I117)</f>
        <v>Mezzanine 3</v>
      </c>
      <c r="I118" s="127" t="str">
        <f>IF(ScheduleTBL!P117="NULL", "", ScheduleTBL!P117)&amp; IF(ScheduleTBL!R117="NULL", "", ", "&amp; ScheduleTBL!R117)</f>
        <v>Jim Wilczak, PNNL</v>
      </c>
      <c r="J118" s="78">
        <f t="shared" si="7"/>
        <v>192</v>
      </c>
      <c r="K118" s="421" t="s">
        <v>790</v>
      </c>
      <c r="L118" s="421" t="s">
        <v>790</v>
      </c>
      <c r="M118" s="78"/>
      <c r="N118" s="78"/>
      <c r="O118" s="306"/>
      <c r="P118" s="423" t="str">
        <f ca="1">IF(NOT(ISNUMBER($A118)), "", IF(ISERROR(INDEX(EvalDB!$I:$I, MATCH($A118, EvalDB!$A:$A, 0))), "", INDEX(EvalDB!$I:$I, MATCH($A118, EvalDB!$A:$A, 0))))</f>
        <v/>
      </c>
      <c r="Q118" s="424" t="str">
        <f ca="1">IF(NOT(ISNUMBER($A118)), "", IF(ISERROR(INDEX(EvalDB!$AB:$AB, MATCH($A118, EvalDB!$A:$A, 0))), "", INDEX(EvalDB!$AB:$AB, MATCH($A118, EvalDB!$A:$A, 0))))</f>
        <v/>
      </c>
      <c r="R118" s="424" t="str">
        <f ca="1">IF(NOT(ISNUMBER($A118)), "", IF(ISERROR(INDEX(EvalDB!$AU:$AU, MATCH($A118, EvalDB!$A:$A, 0))), "", INDEX(EvalDB!$AU:$AU, MATCH($A118, EvalDB!$A:$A, 0))))</f>
        <v/>
      </c>
      <c r="S118" s="424" t="str">
        <f ca="1">IF(NOT(ISNUMBER($A118)), "", IF(ISERROR(INDEX(EvalDB!$BN:$BN, MATCH($A118, EvalDB!$A:$A, 0))), "", INDEX(EvalDB!$BN:$BN, MATCH($A118, EvalDB!$A:$A, 0))))</f>
        <v/>
      </c>
      <c r="T118" s="424" t="str">
        <f ca="1">IF(NOT(ISNUMBER($A118)), "", IF(ISERROR(INDEX(EvalDB!$CG:$CG, MATCH($A118, EvalDB!$A:$A, 0))), "", INDEX(EvalDB!$CG:$CG, MATCH($A118, EvalDB!$A:$A, 0))))</f>
        <v/>
      </c>
      <c r="U118" s="424" t="str">
        <f ca="1">IF(NOT(ISNUMBER($A118)), "", IF(ISERROR(INDEX(EvalDB!$CZ:$CZ, MATCH($A118, EvalDB!$A:$A, 0))), "", INDEX(EvalDB!$CZ:$CZ, MATCH($A118, EvalDB!$A:$A, 0))))</f>
        <v/>
      </c>
      <c r="V118" s="424" t="e">
        <f t="shared" ca="1" si="16"/>
        <v>#DIV/0!</v>
      </c>
    </row>
    <row r="119" spans="1:22" s="59" customFormat="1" x14ac:dyDescent="0.35">
      <c r="A119" s="240">
        <f>ScheduleTBL!A118</f>
        <v>148</v>
      </c>
      <c r="B119" s="226" t="str">
        <f>ScheduleTBL!C118</f>
        <v>WFIP II: Modeling</v>
      </c>
      <c r="C119" s="413">
        <f>ScheduleTBL!H118</f>
        <v>42781</v>
      </c>
      <c r="D119" s="153" t="str">
        <f>IF(ScheduleTBL!J118="NULL", "", ScheduleTBL!J118)</f>
        <v>Tech RD&amp;T and RC</v>
      </c>
      <c r="E119" s="142" t="str">
        <f>IF(ScheduleTBL!K118="NULL", "", ScheduleTBL!K118)</f>
        <v>A2e</v>
      </c>
      <c r="F119" s="287">
        <f>ScheduleTBL!F118</f>
        <v>0.60763888888888851</v>
      </c>
      <c r="G119" s="286">
        <f>ScheduleTBL!G118</f>
        <v>0.61458333333333293</v>
      </c>
      <c r="H119" s="142" t="str">
        <f>IF(ScheduleTBL!I118="NULL", "", ScheduleTBL!I118)</f>
        <v>Mezzanine 3</v>
      </c>
      <c r="I119" s="127" t="str">
        <f>IF(ScheduleTBL!P118="NULL", "", ScheduleTBL!P118)&amp; IF(ScheduleTBL!R118="NULL", "", ", "&amp; ScheduleTBL!R118)</f>
        <v>Jim McCaa, Vaisala</v>
      </c>
      <c r="J119" s="80">
        <f t="shared" si="7"/>
        <v>148</v>
      </c>
      <c r="K119" s="421" t="s">
        <v>790</v>
      </c>
      <c r="L119" s="421" t="s">
        <v>790</v>
      </c>
      <c r="M119" s="80"/>
      <c r="N119" s="80"/>
      <c r="O119" s="306"/>
      <c r="P119" s="423" t="str">
        <f ca="1">IF(NOT(ISNUMBER($A119)), "", IF(ISERROR(INDEX(EvalDB!$I:$I, MATCH($A119, EvalDB!$A:$A, 0))), "", INDEX(EvalDB!$I:$I, MATCH($A119, EvalDB!$A:$A, 0))))</f>
        <v/>
      </c>
      <c r="Q119" s="424" t="str">
        <f ca="1">IF(NOT(ISNUMBER($A119)), "", IF(ISERROR(INDEX(EvalDB!$AB:$AB, MATCH($A119, EvalDB!$A:$A, 0))), "", INDEX(EvalDB!$AB:$AB, MATCH($A119, EvalDB!$A:$A, 0))))</f>
        <v/>
      </c>
      <c r="R119" s="424" t="str">
        <f ca="1">IF(NOT(ISNUMBER($A119)), "", IF(ISERROR(INDEX(EvalDB!$AU:$AU, MATCH($A119, EvalDB!$A:$A, 0))), "", INDEX(EvalDB!$AU:$AU, MATCH($A119, EvalDB!$A:$A, 0))))</f>
        <v/>
      </c>
      <c r="S119" s="424" t="str">
        <f ca="1">IF(NOT(ISNUMBER($A119)), "", IF(ISERROR(INDEX(EvalDB!$BN:$BN, MATCH($A119, EvalDB!$A:$A, 0))), "", INDEX(EvalDB!$BN:$BN, MATCH($A119, EvalDB!$A:$A, 0))))</f>
        <v/>
      </c>
      <c r="T119" s="424" t="str">
        <f ca="1">IF(NOT(ISNUMBER($A119)), "", IF(ISERROR(INDEX(EvalDB!$CG:$CG, MATCH($A119, EvalDB!$A:$A, 0))), "", INDEX(EvalDB!$CG:$CG, MATCH($A119, EvalDB!$A:$A, 0))))</f>
        <v/>
      </c>
      <c r="U119" s="424" t="str">
        <f ca="1">IF(NOT(ISNUMBER($A119)), "", IF(ISERROR(INDEX(EvalDB!$CZ:$CZ, MATCH($A119, EvalDB!$A:$A, 0))), "", INDEX(EvalDB!$CZ:$CZ, MATCH($A119, EvalDB!$A:$A, 0))))</f>
        <v/>
      </c>
      <c r="V119" s="424" t="e">
        <f t="shared" ca="1" si="16"/>
        <v>#DIV/0!</v>
      </c>
    </row>
    <row r="120" spans="1:22" s="59" customFormat="1" ht="15" customHeight="1" x14ac:dyDescent="0.35">
      <c r="A120" s="242" t="str">
        <f>ScheduleTBL!A119</f>
        <v>General</v>
      </c>
      <c r="B120" s="227" t="str">
        <f>ScheduleTBL!C119</f>
        <v>217, 192, 148 - WFIP II: Q&amp;A</v>
      </c>
      <c r="C120" s="413">
        <f>ScheduleTBL!H119</f>
        <v>42781</v>
      </c>
      <c r="D120" s="327" t="str">
        <f>IF(ScheduleTBL!J119="NULL", "", ScheduleTBL!J119)</f>
        <v>Tech RD&amp;T and RC</v>
      </c>
      <c r="E120" s="151" t="str">
        <f>IF(ScheduleTBL!K119="NULL", "", ScheduleTBL!K119)</f>
        <v>A2e</v>
      </c>
      <c r="F120" s="287">
        <f>ScheduleTBL!F119</f>
        <v>0.61458333333333293</v>
      </c>
      <c r="G120" s="286">
        <f>ScheduleTBL!G119</f>
        <v>0.62499999999999956</v>
      </c>
      <c r="H120" s="151" t="str">
        <f>IF(ScheduleTBL!I119="NULL", "", ScheduleTBL!I119)</f>
        <v>Mezzanine 3</v>
      </c>
      <c r="I120" s="148" t="str">
        <f>IF(ScheduleTBL!P119="NULL", "", ScheduleTBL!P119)&amp; IF(ScheduleTBL!R119="NULL", "", ", "&amp; ScheduleTBL!R119)</f>
        <v>Will Shaw, Jim Wilczak, Jim McCaa</v>
      </c>
      <c r="J120" s="80" t="str">
        <f t="shared" si="7"/>
        <v/>
      </c>
      <c r="K120" s="78" t="str">
        <f>IF(ScheduleTBL!AM119="","",HYPERLINK(ScheduleTBL!AM119,K$2))</f>
        <v/>
      </c>
      <c r="L120" s="78" t="str">
        <f>IF(ScheduleTBL!AN119="","",HYPERLINK(ScheduleTBL!AN119,L$2))</f>
        <v/>
      </c>
      <c r="M120" s="80"/>
      <c r="N120" s="80"/>
      <c r="O120" s="389"/>
      <c r="P120" s="313"/>
      <c r="Q120" s="313"/>
      <c r="R120" s="313"/>
      <c r="S120" s="313"/>
      <c r="T120" s="313"/>
      <c r="U120" s="313"/>
      <c r="V120" s="313"/>
    </row>
    <row r="121" spans="1:22" s="59" customFormat="1" ht="15.75" customHeight="1" thickBot="1" x14ac:dyDescent="0.4">
      <c r="A121" s="240" t="str">
        <f>ScheduleTBL!A120</f>
        <v>General</v>
      </c>
      <c r="B121" s="130" t="str">
        <f>ScheduleTBL!C120</f>
        <v>BREAK</v>
      </c>
      <c r="C121" s="413">
        <f>ScheduleTBL!H120</f>
        <v>42781</v>
      </c>
      <c r="D121" s="130" t="str">
        <f>IF(ScheduleTBL!J120="NULL", "", ScheduleTBL!J120)</f>
        <v>Tech RD&amp;T and RC</v>
      </c>
      <c r="E121" s="130" t="str">
        <f>IF(ScheduleTBL!K120="NULL", "", ScheduleTBL!K120)</f>
        <v/>
      </c>
      <c r="F121" s="298">
        <f>ScheduleTBL!F120</f>
        <v>0.62499999999999956</v>
      </c>
      <c r="G121" s="299">
        <f>ScheduleTBL!G120</f>
        <v>0.63541666666666619</v>
      </c>
      <c r="H121" s="130" t="str">
        <f>IF(ScheduleTBL!I120="NULL", "", ScheduleTBL!I120)</f>
        <v>Foyer</v>
      </c>
      <c r="I121" s="130" t="str">
        <f>IF(ScheduleTBL!P120="NULL", "", ScheduleTBL!P120)&amp; IF(ScheduleTBL!R120="NULL", "", ", "&amp; ScheduleTBL!R120)</f>
        <v/>
      </c>
      <c r="J121" s="80" t="str">
        <f t="shared" si="7"/>
        <v/>
      </c>
      <c r="K121" s="78" t="str">
        <f>IF(ScheduleTBL!AM120="","",HYPERLINK(ScheduleTBL!AM120,K$2))</f>
        <v/>
      </c>
      <c r="L121" s="78" t="str">
        <f>IF(ScheduleTBL!AN120="","",HYPERLINK(ScheduleTBL!AN120,L$2))</f>
        <v/>
      </c>
      <c r="M121" s="80"/>
      <c r="N121" s="80"/>
      <c r="O121" s="389"/>
      <c r="P121" s="308"/>
      <c r="Q121" s="308"/>
      <c r="R121" s="308"/>
      <c r="S121" s="308"/>
      <c r="T121" s="308"/>
      <c r="U121" s="308"/>
      <c r="V121" s="308"/>
    </row>
    <row r="122" spans="1:22" s="59" customFormat="1" ht="16.5" customHeight="1" thickTop="1" thickBot="1" x14ac:dyDescent="0.4">
      <c r="A122" s="240" t="str">
        <f>ScheduleTBL!A121</f>
        <v>Recap</v>
      </c>
      <c r="B122" s="138" t="str">
        <f>ScheduleTBL!C121</f>
        <v>Recap – A2e, HPC, RC, Flow Field Analysis, and Testing</v>
      </c>
      <c r="C122" s="413">
        <f>ScheduleTBL!H121</f>
        <v>42781</v>
      </c>
      <c r="D122" s="143" t="str">
        <f>IF(ScheduleTBL!J121="NULL", "", ScheduleTBL!J121)</f>
        <v>Tech RD&amp;T and RC</v>
      </c>
      <c r="E122" s="143" t="str">
        <f>IF(ScheduleTBL!K121="NULL", "", ScheduleTBL!K121)</f>
        <v>A2e</v>
      </c>
      <c r="F122" s="287">
        <f>ScheduleTBL!F121</f>
        <v>0.63541666666666619</v>
      </c>
      <c r="G122" s="286">
        <f>ScheduleTBL!G121</f>
        <v>0.6388888888888884</v>
      </c>
      <c r="H122" s="143" t="str">
        <f>IF(ScheduleTBL!I121="NULL", "", ScheduleTBL!I121)</f>
        <v>Mezzanine 3</v>
      </c>
      <c r="I122" s="123" t="str">
        <f>IF(ScheduleTBL!P121="NULL", "", ScheduleTBL!P121)&amp; IF(ScheduleTBL!R121="NULL", "", ", "&amp; ScheduleTBL!R121)</f>
        <v>Joel Cline, DOE</v>
      </c>
      <c r="J122" s="80" t="str">
        <f t="shared" si="7"/>
        <v/>
      </c>
      <c r="K122" s="78" t="str">
        <f>IF(ScheduleTBL!AM121="","",HYPERLINK(ScheduleTBL!AM121,K$2))</f>
        <v/>
      </c>
      <c r="L122" s="78" t="str">
        <f>IF(ScheduleTBL!AN121="","",HYPERLINK(ScheduleTBL!AN121,L$2))</f>
        <v/>
      </c>
      <c r="M122" s="80"/>
      <c r="N122" s="80"/>
      <c r="O122" s="389"/>
      <c r="P122" s="309"/>
      <c r="Q122" s="309"/>
      <c r="R122" s="309"/>
      <c r="S122" s="309"/>
      <c r="T122" s="309"/>
      <c r="U122" s="309"/>
      <c r="V122" s="309"/>
    </row>
    <row r="123" spans="1:22" s="59" customFormat="1" ht="15" thickBot="1" x14ac:dyDescent="0.4">
      <c r="A123" s="240">
        <f>ScheduleTBL!A122</f>
        <v>219</v>
      </c>
      <c r="B123" s="142" t="str">
        <f>ScheduleTBL!C122</f>
        <v>DAP: Data Archive and Portal</v>
      </c>
      <c r="C123" s="413">
        <f>ScheduleTBL!H122</f>
        <v>42781</v>
      </c>
      <c r="D123" s="153" t="str">
        <f>IF(ScheduleTBL!J122="NULL", "", ScheduleTBL!J122)</f>
        <v>Tech RD&amp;T and RC</v>
      </c>
      <c r="E123" s="142" t="str">
        <f>IF(ScheduleTBL!K122="NULL", "", ScheduleTBL!K122)</f>
        <v>A2e</v>
      </c>
      <c r="F123" s="287">
        <f>ScheduleTBL!F122</f>
        <v>0.6388888888888884</v>
      </c>
      <c r="G123" s="286">
        <f>ScheduleTBL!G122</f>
        <v>0.65277777777777724</v>
      </c>
      <c r="H123" s="142" t="str">
        <f>IF(ScheduleTBL!I122="NULL", "", ScheduleTBL!I122)</f>
        <v>Mezzanine 3</v>
      </c>
      <c r="I123" s="127" t="str">
        <f>IF(ScheduleTBL!P122="NULL", "", ScheduleTBL!P122)&amp; IF(ScheduleTBL!R122="NULL", "", ", "&amp; ScheduleTBL!R122)</f>
        <v>Chitra Sivaraman, PNNL</v>
      </c>
      <c r="J123" s="80">
        <f t="shared" si="7"/>
        <v>219</v>
      </c>
      <c r="K123" s="78" t="str">
        <f>IF(ScheduleTBL!AM122="","",HYPERLINK(ScheduleTBL!AM122,K$2))</f>
        <v>Sum1</v>
      </c>
      <c r="L123" s="78" t="str">
        <f>IF(ScheduleTBL!AN122="","",HYPERLINK(ScheduleTBL!AN122,L$2))</f>
        <v>Pres1</v>
      </c>
      <c r="M123" s="80"/>
      <c r="N123" s="80"/>
      <c r="O123" s="389"/>
      <c r="P123" s="423" t="str">
        <f ca="1">IF(NOT(ISNUMBER($A123)), "", IF(ISERROR(INDEX(EvalDB!$I:$I, MATCH($A123, EvalDB!$A:$A, 0))), "", INDEX(EvalDB!$I:$I, MATCH($A123, EvalDB!$A:$A, 0))))</f>
        <v/>
      </c>
      <c r="Q123" s="424" t="str">
        <f ca="1">IF(NOT(ISNUMBER($A123)), "", IF(ISERROR(INDEX(EvalDB!$AB:$AB, MATCH($A123, EvalDB!$A:$A, 0))), "", INDEX(EvalDB!$AB:$AB, MATCH($A123, EvalDB!$A:$A, 0))))</f>
        <v/>
      </c>
      <c r="R123" s="424" t="str">
        <f ca="1">IF(NOT(ISNUMBER($A123)), "", IF(ISERROR(INDEX(EvalDB!$AU:$AU, MATCH($A123, EvalDB!$A:$A, 0))), "", INDEX(EvalDB!$AU:$AU, MATCH($A123, EvalDB!$A:$A, 0))))</f>
        <v/>
      </c>
      <c r="S123" s="424" t="str">
        <f ca="1">IF(NOT(ISNUMBER($A123)), "", IF(ISERROR(INDEX(EvalDB!$BN:$BN, MATCH($A123, EvalDB!$A:$A, 0))), "", INDEX(EvalDB!$BN:$BN, MATCH($A123, EvalDB!$A:$A, 0))))</f>
        <v/>
      </c>
      <c r="T123" s="424" t="str">
        <f ca="1">IF(NOT(ISNUMBER($A123)), "", IF(ISERROR(INDEX(EvalDB!$CG:$CG, MATCH($A123, EvalDB!$A:$A, 0))), "", INDEX(EvalDB!$CG:$CG, MATCH($A123, EvalDB!$A:$A, 0))))</f>
        <v/>
      </c>
      <c r="U123" s="424" t="str">
        <f ca="1">IF(NOT(ISNUMBER($A123)), "", IF(ISERROR(INDEX(EvalDB!$CZ:$CZ, MATCH($A123, EvalDB!$A:$A, 0))), "", INDEX(EvalDB!$CZ:$CZ, MATCH($A123, EvalDB!$A:$A, 0))))</f>
        <v/>
      </c>
      <c r="V123" s="424" t="e">
        <f ca="1">AVERAGE(P123:U123)</f>
        <v>#DIV/0!</v>
      </c>
    </row>
    <row r="124" spans="1:22" s="59" customFormat="1" ht="16.5" customHeight="1" thickTop="1" thickBot="1" x14ac:dyDescent="0.4">
      <c r="A124" s="240" t="str">
        <f>ScheduleTBL!A123</f>
        <v>WPG16010</v>
      </c>
      <c r="B124" s="138" t="str">
        <f>ScheduleTBL!C123</f>
        <v>Overview of Distributed Wind Research, Development, and Testing</v>
      </c>
      <c r="C124" s="413">
        <f>ScheduleTBL!H123</f>
        <v>42781</v>
      </c>
      <c r="D124" s="143" t="str">
        <f>IF(ScheduleTBL!J123="NULL", "", ScheduleTBL!J123)</f>
        <v>Tech RD&amp;T and RC</v>
      </c>
      <c r="E124" s="143" t="str">
        <f>IF(ScheduleTBL!K123="NULL", "", ScheduleTBL!K123)</f>
        <v>DWT</v>
      </c>
      <c r="F124" s="287">
        <f>ScheduleTBL!F123</f>
        <v>0.65277777777777724</v>
      </c>
      <c r="G124" s="286">
        <f>ScheduleTBL!G123</f>
        <v>0.66319444444444386</v>
      </c>
      <c r="H124" s="143" t="str">
        <f>IF(ScheduleTBL!I123="NULL", "", ScheduleTBL!I123)</f>
        <v>Mezzanine 3</v>
      </c>
      <c r="I124" s="123" t="str">
        <f>IF(ScheduleTBL!P123="NULL", "", ScheduleTBL!P123)&amp; IF(ScheduleTBL!R123="NULL", "", ", "&amp; ScheduleTBL!R123)</f>
        <v>Patrick Gilman, DOE</v>
      </c>
      <c r="J124" s="80" t="str">
        <f t="shared" si="7"/>
        <v/>
      </c>
      <c r="K124" s="78" t="str">
        <f>IF(ScheduleTBL!AM123="","",HYPERLINK(ScheduleTBL!AM123,K$2))</f>
        <v/>
      </c>
      <c r="L124" s="78" t="str">
        <f>IF(ScheduleTBL!AN123="","",HYPERLINK(ScheduleTBL!AN123,L$2))</f>
        <v>Pres1</v>
      </c>
      <c r="M124" s="80"/>
      <c r="N124" s="80"/>
      <c r="O124" s="389"/>
      <c r="P124" s="426" t="e">
        <f ca="1">AVERAGE(P125:P126)</f>
        <v>#DIV/0!</v>
      </c>
      <c r="Q124" s="426" t="e">
        <f t="shared" ref="Q124:V124" ca="1" si="17">AVERAGE(Q125:Q126)</f>
        <v>#DIV/0!</v>
      </c>
      <c r="R124" s="426" t="e">
        <f t="shared" ca="1" si="17"/>
        <v>#DIV/0!</v>
      </c>
      <c r="S124" s="426" t="e">
        <f t="shared" ca="1" si="17"/>
        <v>#DIV/0!</v>
      </c>
      <c r="T124" s="426" t="e">
        <f t="shared" ca="1" si="17"/>
        <v>#DIV/0!</v>
      </c>
      <c r="U124" s="426" t="e">
        <f t="shared" ca="1" si="17"/>
        <v>#DIV/0!</v>
      </c>
      <c r="V124" s="426" t="e">
        <f t="shared" ca="1" si="17"/>
        <v>#DIV/0!</v>
      </c>
    </row>
    <row r="125" spans="1:22" s="59" customFormat="1" x14ac:dyDescent="0.35">
      <c r="A125" s="240">
        <f>ScheduleTBL!A124</f>
        <v>209</v>
      </c>
      <c r="B125" s="142" t="str">
        <f>ScheduleTBL!C124</f>
        <v>Distributed Wind Research, Development, and Testing</v>
      </c>
      <c r="C125" s="413">
        <f>ScheduleTBL!H124</f>
        <v>42781</v>
      </c>
      <c r="D125" s="153" t="str">
        <f>IF(ScheduleTBL!J124="NULL", "", ScheduleTBL!J124)</f>
        <v>Tech RD&amp;T and RC</v>
      </c>
      <c r="E125" s="142" t="str">
        <f>IF(ScheduleTBL!K124="NULL", "", ScheduleTBL!K124)</f>
        <v>DWT</v>
      </c>
      <c r="F125" s="287">
        <f>ScheduleTBL!F124</f>
        <v>0.66319444444444386</v>
      </c>
      <c r="G125" s="286">
        <f>ScheduleTBL!G124</f>
        <v>0.6770833333333327</v>
      </c>
      <c r="H125" s="142" t="str">
        <f>IF(ScheduleTBL!I124="NULL", "", ScheduleTBL!I124)</f>
        <v>Mezzanine 3</v>
      </c>
      <c r="I125" s="127" t="str">
        <f>IF(ScheduleTBL!P124="NULL", "", ScheduleTBL!P124)&amp; IF(ScheduleTBL!R124="NULL", "", ", "&amp; ScheduleTBL!R124)</f>
        <v>Ian Baring-Gould, NREL</v>
      </c>
      <c r="J125" s="80">
        <f t="shared" si="7"/>
        <v>209</v>
      </c>
      <c r="K125" s="78" t="str">
        <f>IF(ScheduleTBL!AM124="","",HYPERLINK(ScheduleTBL!AM124,K$2))</f>
        <v>Sum1</v>
      </c>
      <c r="L125" s="78" t="str">
        <f>IF(ScheduleTBL!AN124="","",HYPERLINK(ScheduleTBL!AN124,L$2))</f>
        <v>Pres1</v>
      </c>
      <c r="M125" s="80"/>
      <c r="N125" s="80"/>
      <c r="O125" s="389"/>
      <c r="P125" s="423" t="str">
        <f ca="1">IF(NOT(ISNUMBER($A125)), "", IF(ISERROR(INDEX(EvalDB!$I:$I, MATCH($A125, EvalDB!$A:$A, 0))), "", INDEX(EvalDB!$I:$I, MATCH($A125, EvalDB!$A:$A, 0))))</f>
        <v/>
      </c>
      <c r="Q125" s="424" t="str">
        <f ca="1">IF(NOT(ISNUMBER($A125)), "", IF(ISERROR(INDEX(EvalDB!$AB:$AB, MATCH($A125, EvalDB!$A:$A, 0))), "", INDEX(EvalDB!$AB:$AB, MATCH($A125, EvalDB!$A:$A, 0))))</f>
        <v/>
      </c>
      <c r="R125" s="424" t="str">
        <f ca="1">IF(NOT(ISNUMBER($A125)), "", IF(ISERROR(INDEX(EvalDB!$AU:$AU, MATCH($A125, EvalDB!$A:$A, 0))), "", INDEX(EvalDB!$AU:$AU, MATCH($A125, EvalDB!$A:$A, 0))))</f>
        <v/>
      </c>
      <c r="S125" s="424" t="str">
        <f ca="1">IF(NOT(ISNUMBER($A125)), "", IF(ISERROR(INDEX(EvalDB!$BN:$BN, MATCH($A125, EvalDB!$A:$A, 0))), "", INDEX(EvalDB!$BN:$BN, MATCH($A125, EvalDB!$A:$A, 0))))</f>
        <v/>
      </c>
      <c r="T125" s="424" t="str">
        <f ca="1">IF(NOT(ISNUMBER($A125)), "", IF(ISERROR(INDEX(EvalDB!$CG:$CG, MATCH($A125, EvalDB!$A:$A, 0))), "", INDEX(EvalDB!$CG:$CG, MATCH($A125, EvalDB!$A:$A, 0))))</f>
        <v/>
      </c>
      <c r="U125" s="424" t="str">
        <f ca="1">IF(NOT(ISNUMBER($A125)), "", IF(ISERROR(INDEX(EvalDB!$CZ:$CZ, MATCH($A125, EvalDB!$A:$A, 0))), "", INDEX(EvalDB!$CZ:$CZ, MATCH($A125, EvalDB!$A:$A, 0))))</f>
        <v/>
      </c>
      <c r="V125" s="424" t="e">
        <f t="shared" ref="V125:V126" ca="1" si="18">AVERAGE(P125:U125)</f>
        <v>#DIV/0!</v>
      </c>
    </row>
    <row r="126" spans="1:22" s="59" customFormat="1" ht="15" thickBot="1" x14ac:dyDescent="0.4">
      <c r="A126" s="339">
        <f>ScheduleTBL!A125</f>
        <v>231</v>
      </c>
      <c r="B126" s="379" t="str">
        <f>ScheduleTBL!C125</f>
        <v>Competitive Improvement Project</v>
      </c>
      <c r="C126" s="414">
        <f>ScheduleTBL!H125</f>
        <v>42781</v>
      </c>
      <c r="D126" s="368" t="str">
        <f>IF(ScheduleTBL!J125="NULL", "", ScheduleTBL!J125)</f>
        <v>Tech RD&amp;T and RC</v>
      </c>
      <c r="E126" s="379" t="str">
        <f>IF(ScheduleTBL!K125="NULL", "", ScheduleTBL!K125)</f>
        <v>DWT</v>
      </c>
      <c r="F126" s="352">
        <f>ScheduleTBL!F125</f>
        <v>0.6770833333333327</v>
      </c>
      <c r="G126" s="353">
        <f>ScheduleTBL!G125</f>
        <v>0.69097222222222154</v>
      </c>
      <c r="H126" s="379" t="str">
        <f>IF(ScheduleTBL!I125="NULL", "", ScheduleTBL!I125)</f>
        <v>Mezzanine 3</v>
      </c>
      <c r="I126" s="380" t="str">
        <f>IF(ScheduleTBL!P125="NULL", "", ScheduleTBL!P125)&amp; IF(ScheduleTBL!R125="NULL", "", ", "&amp; ScheduleTBL!R125)</f>
        <v>Ian Baring-Gould, NREL</v>
      </c>
      <c r="J126" s="366">
        <f t="shared" si="7"/>
        <v>231</v>
      </c>
      <c r="K126" s="345" t="str">
        <f>IF(ScheduleTBL!AM125="","",HYPERLINK(ScheduleTBL!AM125,K$2))</f>
        <v>Sum1</v>
      </c>
      <c r="L126" s="345" t="str">
        <f>IF(ScheduleTBL!AN125="","",HYPERLINK(ScheduleTBL!AN125,L$2))</f>
        <v>Pres1</v>
      </c>
      <c r="M126" s="79"/>
      <c r="N126" s="79"/>
      <c r="O126" s="306"/>
      <c r="P126" s="423" t="str">
        <f ca="1">IF(NOT(ISNUMBER($A126)), "", IF(ISERROR(INDEX(EvalDB!$I:$I, MATCH($A126, EvalDB!$A:$A, 0))), "", INDEX(EvalDB!$I:$I, MATCH($A126, EvalDB!$A:$A, 0))))</f>
        <v/>
      </c>
      <c r="Q126" s="424" t="str">
        <f ca="1">IF(NOT(ISNUMBER($A126)), "", IF(ISERROR(INDEX(EvalDB!$AB:$AB, MATCH($A126, EvalDB!$A:$A, 0))), "", INDEX(EvalDB!$AB:$AB, MATCH($A126, EvalDB!$A:$A, 0))))</f>
        <v/>
      </c>
      <c r="R126" s="424" t="str">
        <f ca="1">IF(NOT(ISNUMBER($A126)), "", IF(ISERROR(INDEX(EvalDB!$AU:$AU, MATCH($A126, EvalDB!$A:$A, 0))), "", INDEX(EvalDB!$AU:$AU, MATCH($A126, EvalDB!$A:$A, 0))))</f>
        <v/>
      </c>
      <c r="S126" s="424" t="str">
        <f ca="1">IF(NOT(ISNUMBER($A126)), "", IF(ISERROR(INDEX(EvalDB!$BN:$BN, MATCH($A126, EvalDB!$A:$A, 0))), "", INDEX(EvalDB!$BN:$BN, MATCH($A126, EvalDB!$A:$A, 0))))</f>
        <v/>
      </c>
      <c r="T126" s="424" t="str">
        <f ca="1">IF(NOT(ISNUMBER($A126)), "", IF(ISERROR(INDEX(EvalDB!$CG:$CG, MATCH($A126, EvalDB!$A:$A, 0))), "", INDEX(EvalDB!$CG:$CG, MATCH($A126, EvalDB!$A:$A, 0))))</f>
        <v/>
      </c>
      <c r="U126" s="424" t="str">
        <f ca="1">IF(NOT(ISNUMBER($A126)), "", IF(ISERROR(INDEX(EvalDB!$CZ:$CZ, MATCH($A126, EvalDB!$A:$A, 0))), "", INDEX(EvalDB!$CZ:$CZ, MATCH($A126, EvalDB!$A:$A, 0))))</f>
        <v/>
      </c>
      <c r="V126" s="424" t="e">
        <f t="shared" ca="1" si="18"/>
        <v>#DIV/0!</v>
      </c>
    </row>
    <row r="127" spans="1:22" s="59" customFormat="1" ht="15" customHeight="1" x14ac:dyDescent="0.35">
      <c r="A127" s="333" t="str">
        <f>ScheduleTBL!A126</f>
        <v>General</v>
      </c>
      <c r="B127" s="346" t="str">
        <f>ScheduleTBL!C126</f>
        <v>Breakfast</v>
      </c>
      <c r="C127" s="415">
        <f>ScheduleTBL!H126</f>
        <v>42782</v>
      </c>
      <c r="D127" s="372" t="str">
        <f>IF(ScheduleTBL!J126="NULL", "", ScheduleTBL!J126)</f>
        <v>Tech RD&amp;T and RC</v>
      </c>
      <c r="E127" s="347" t="str">
        <f>IF(ScheduleTBL!K126="NULL", "", ScheduleTBL!K126)</f>
        <v/>
      </c>
      <c r="F127" s="337">
        <f>ScheduleTBL!F126</f>
        <v>0.33333333333333331</v>
      </c>
      <c r="G127" s="295">
        <f>ScheduleTBL!G126</f>
        <v>0.36458333333333331</v>
      </c>
      <c r="H127" s="347" t="str">
        <f>IF(ScheduleTBL!I126="NULL", "", ScheduleTBL!I126)</f>
        <v>Commonwealth Ballroom</v>
      </c>
      <c r="I127" s="348" t="str">
        <f>IF(ScheduleTBL!P126="NULL", "", ScheduleTBL!P126)&amp; IF(ScheduleTBL!R126="NULL", "", ", "&amp; ScheduleTBL!R126)</f>
        <v/>
      </c>
      <c r="J127" s="92" t="str">
        <f t="shared" si="7"/>
        <v/>
      </c>
      <c r="K127" s="91" t="str">
        <f>IF(ScheduleTBL!AM126="","",HYPERLINK(ScheduleTBL!AM126,K$2))</f>
        <v/>
      </c>
      <c r="L127" s="91" t="str">
        <f>IF(ScheduleTBL!AN126="","",HYPERLINK(ScheduleTBL!AN126,L$2))</f>
        <v/>
      </c>
      <c r="M127" s="80"/>
      <c r="N127" s="80"/>
      <c r="O127" s="389"/>
      <c r="P127" s="322"/>
      <c r="Q127" s="322"/>
      <c r="R127" s="322"/>
      <c r="S127" s="322"/>
      <c r="T127" s="322"/>
      <c r="U127" s="322"/>
      <c r="V127" s="322"/>
    </row>
    <row r="128" spans="1:22" s="59" customFormat="1" ht="15" customHeight="1" x14ac:dyDescent="0.35">
      <c r="A128" s="240" t="str">
        <f>ScheduleTBL!A127</f>
        <v>General</v>
      </c>
      <c r="B128" s="205" t="str">
        <f>ScheduleTBL!C127</f>
        <v>Daily Recap</v>
      </c>
      <c r="C128" s="413">
        <f>ScheduleTBL!H127</f>
        <v>42782</v>
      </c>
      <c r="D128" s="153" t="str">
        <f>IF(ScheduleTBL!J127="NULL", "", ScheduleTBL!J127)</f>
        <v>Tech RD&amp;T and RC</v>
      </c>
      <c r="E128" s="142" t="str">
        <f>IF(ScheduleTBL!K127="NULL", "", ScheduleTBL!K127)</f>
        <v/>
      </c>
      <c r="F128" s="287">
        <f>ScheduleTBL!F127</f>
        <v>0.36458333333333331</v>
      </c>
      <c r="G128" s="286">
        <f>ScheduleTBL!G127</f>
        <v>0.375</v>
      </c>
      <c r="H128" s="142" t="str">
        <f>IF(ScheduleTBL!I127="NULL", "", ScheduleTBL!I127)</f>
        <v>Commonwealth Ballroom</v>
      </c>
      <c r="I128" s="127" t="str">
        <f>IF(ScheduleTBL!P127="NULL", "", ScheduleTBL!P127)&amp; IF(ScheduleTBL!R127="NULL", "", ", "&amp; ScheduleTBL!R127)</f>
        <v>Alex Lemke, DOE</v>
      </c>
      <c r="J128" s="80" t="str">
        <f t="shared" si="7"/>
        <v/>
      </c>
      <c r="K128" s="78" t="str">
        <f>IF(ScheduleTBL!AM127="","",HYPERLINK(ScheduleTBL!AM127,K$2))</f>
        <v/>
      </c>
      <c r="L128" s="78" t="str">
        <f>IF(ScheduleTBL!AN127="","",HYPERLINK(ScheduleTBL!AN127,L$2))</f>
        <v/>
      </c>
      <c r="M128" s="80"/>
      <c r="N128" s="80"/>
      <c r="O128" s="389"/>
      <c r="P128" s="319"/>
      <c r="Q128" s="319"/>
      <c r="R128" s="319"/>
      <c r="S128" s="319"/>
      <c r="T128" s="319"/>
      <c r="U128" s="319"/>
      <c r="V128" s="319"/>
    </row>
    <row r="129" spans="1:22" s="59" customFormat="1" ht="15.75" customHeight="1" thickBot="1" x14ac:dyDescent="0.4">
      <c r="A129" s="240" t="str">
        <f>ScheduleTBL!A128</f>
        <v>General</v>
      </c>
      <c r="B129" s="117" t="str">
        <f>ScheduleTBL!C128</f>
        <v>TRANSITION</v>
      </c>
      <c r="C129" s="413">
        <f>ScheduleTBL!H128</f>
        <v>42782</v>
      </c>
      <c r="D129" s="117" t="str">
        <f>IF(ScheduleTBL!J128="NULL", "", ScheduleTBL!J128)</f>
        <v>Tech RD&amp;T and RC</v>
      </c>
      <c r="E129" s="117" t="str">
        <f>IF(ScheduleTBL!K128="NULL", "", ScheduleTBL!K128)</f>
        <v/>
      </c>
      <c r="F129" s="288">
        <f>ScheduleTBL!F128</f>
        <v>0.375</v>
      </c>
      <c r="G129" s="289">
        <f>ScheduleTBL!G128</f>
        <v>0.37847222222222221</v>
      </c>
      <c r="H129" s="117" t="str">
        <f>IF(ScheduleTBL!I128="NULL", "", ScheduleTBL!I128)</f>
        <v/>
      </c>
      <c r="I129" s="117" t="str">
        <f>IF(ScheduleTBL!P128="NULL", "", ScheduleTBL!P128)&amp; IF(ScheduleTBL!R128="NULL", "", ", "&amp; ScheduleTBL!R128)</f>
        <v/>
      </c>
      <c r="J129" s="80" t="str">
        <f t="shared" si="7"/>
        <v/>
      </c>
      <c r="K129" s="78" t="str">
        <f>IF(ScheduleTBL!AM128="","",HYPERLINK(ScheduleTBL!AM128,K$2))</f>
        <v/>
      </c>
      <c r="L129" s="78" t="str">
        <f>IF(ScheduleTBL!AN128="","",HYPERLINK(ScheduleTBL!AN128,L$2))</f>
        <v/>
      </c>
      <c r="M129" s="80"/>
      <c r="N129" s="80"/>
      <c r="O129" s="389"/>
      <c r="P129" s="315"/>
      <c r="Q129" s="315"/>
      <c r="R129" s="315"/>
      <c r="S129" s="315"/>
      <c r="T129" s="315"/>
      <c r="U129" s="315"/>
      <c r="V129" s="315"/>
    </row>
    <row r="130" spans="1:22" s="59" customFormat="1" ht="16.5" customHeight="1" thickTop="1" thickBot="1" x14ac:dyDescent="0.4">
      <c r="A130" s="240" t="str">
        <f>ScheduleTBL!A129</f>
        <v>WPG16011</v>
      </c>
      <c r="B130" s="138" t="str">
        <f>ScheduleTBL!C129</f>
        <v xml:space="preserve">Overview of Offshore Wind Unique RD&amp;T </v>
      </c>
      <c r="C130" s="413">
        <f>ScheduleTBL!H129</f>
        <v>42782</v>
      </c>
      <c r="D130" s="143" t="str">
        <f>IF(ScheduleTBL!J129="NULL", "", ScheduleTBL!J129)</f>
        <v>Tech RD&amp;T and RC</v>
      </c>
      <c r="E130" s="143" t="str">
        <f>IF(ScheduleTBL!K129="NULL", "", ScheduleTBL!K129)</f>
        <v>OSW</v>
      </c>
      <c r="F130" s="287">
        <f>ScheduleTBL!F129</f>
        <v>0.37847222222222221</v>
      </c>
      <c r="G130" s="286">
        <f>ScheduleTBL!G129</f>
        <v>0.3923611111111111</v>
      </c>
      <c r="H130" s="143" t="str">
        <f>IF(ScheduleTBL!I129="NULL", "", ScheduleTBL!I129)</f>
        <v>Mezzanine 3</v>
      </c>
      <c r="I130" s="123" t="str">
        <f>IF(ScheduleTBL!P129="NULL", "", ScheduleTBL!P129)&amp; IF(ScheduleTBL!R129="NULL", "", ", "&amp; ScheduleTBL!R129)</f>
        <v>Alana Duerr, DOE</v>
      </c>
      <c r="J130" s="80" t="str">
        <f t="shared" si="7"/>
        <v/>
      </c>
      <c r="K130" s="78" t="str">
        <f>IF(ScheduleTBL!AM129="","",HYPERLINK(ScheduleTBL!AM129,K$2))</f>
        <v/>
      </c>
      <c r="L130" s="78" t="str">
        <f>IF(ScheduleTBL!AN129="","",HYPERLINK(ScheduleTBL!AN129,L$2))</f>
        <v>Pres1</v>
      </c>
      <c r="M130" s="80"/>
      <c r="N130" s="80"/>
      <c r="O130" s="389"/>
      <c r="P130" s="426" t="e">
        <f ca="1">AVERAGE(P131:P149)</f>
        <v>#DIV/0!</v>
      </c>
      <c r="Q130" s="426" t="e">
        <f t="shared" ref="Q130:V130" ca="1" si="19">AVERAGE(Q131:Q149)</f>
        <v>#DIV/0!</v>
      </c>
      <c r="R130" s="426" t="e">
        <f t="shared" ca="1" si="19"/>
        <v>#DIV/0!</v>
      </c>
      <c r="S130" s="426" t="e">
        <f t="shared" ca="1" si="19"/>
        <v>#DIV/0!</v>
      </c>
      <c r="T130" s="426" t="e">
        <f t="shared" ca="1" si="19"/>
        <v>#DIV/0!</v>
      </c>
      <c r="U130" s="426" t="e">
        <f t="shared" ca="1" si="19"/>
        <v>#DIV/0!</v>
      </c>
      <c r="V130" s="426" t="e">
        <f t="shared" ca="1" si="19"/>
        <v>#DIV/0!</v>
      </c>
    </row>
    <row r="131" spans="1:22" s="59" customFormat="1" x14ac:dyDescent="0.35">
      <c r="A131" s="243">
        <f>ScheduleTBL!A130</f>
        <v>214</v>
      </c>
      <c r="B131" s="142" t="str">
        <f>ScheduleTBL!C130</f>
        <v>Modeling and Validation for Offshore Wind</v>
      </c>
      <c r="C131" s="413">
        <f>ScheduleTBL!H130</f>
        <v>42782</v>
      </c>
      <c r="D131" s="153" t="str">
        <f>IF(ScheduleTBL!J130="NULL", "", ScheduleTBL!J130)</f>
        <v>Tech RD&amp;T and RC</v>
      </c>
      <c r="E131" s="142" t="str">
        <f>IF(ScheduleTBL!K130="NULL", "", ScheduleTBL!K130)</f>
        <v>OSW</v>
      </c>
      <c r="F131" s="287">
        <f>ScheduleTBL!F130</f>
        <v>0.3923611111111111</v>
      </c>
      <c r="G131" s="286">
        <f>ScheduleTBL!G130</f>
        <v>0.40972222222222221</v>
      </c>
      <c r="H131" s="142" t="str">
        <f>IF(ScheduleTBL!I130="NULL", "", ScheduleTBL!I130)</f>
        <v>Mezzanine 3</v>
      </c>
      <c r="I131" s="127" t="str">
        <f>IF(ScheduleTBL!P130="NULL", "", ScheduleTBL!P130)&amp; IF(ScheduleTBL!R130="NULL", "", ", "&amp; ScheduleTBL!R130)</f>
        <v>Amy Robertson, NREL</v>
      </c>
      <c r="J131" s="79">
        <f t="shared" si="7"/>
        <v>214</v>
      </c>
      <c r="K131" s="78" t="str">
        <f>IF(ScheduleTBL!AM130="","",HYPERLINK(ScheduleTBL!AM130,K$2))</f>
        <v>Sum1</v>
      </c>
      <c r="L131" s="78" t="str">
        <f>IF(ScheduleTBL!AN130="","",HYPERLINK(ScheduleTBL!AN130,L$2))</f>
        <v>Pres1</v>
      </c>
      <c r="M131" s="79"/>
      <c r="N131" s="79"/>
      <c r="O131" s="416"/>
      <c r="P131" s="423" t="str">
        <f ca="1">IF(NOT(ISNUMBER($A131)), "", IF(ISERROR(INDEX(EvalDB!$I:$I, MATCH($A131, EvalDB!$A:$A, 0))), "", INDEX(EvalDB!$I:$I, MATCH($A131, EvalDB!$A:$A, 0))))</f>
        <v/>
      </c>
      <c r="Q131" s="424" t="str">
        <f ca="1">IF(NOT(ISNUMBER($A131)), "", IF(ISERROR(INDEX(EvalDB!$AB:$AB, MATCH($A131, EvalDB!$A:$A, 0))), "", INDEX(EvalDB!$AB:$AB, MATCH($A131, EvalDB!$A:$A, 0))))</f>
        <v/>
      </c>
      <c r="R131" s="424" t="str">
        <f ca="1">IF(NOT(ISNUMBER($A131)), "", IF(ISERROR(INDEX(EvalDB!$AU:$AU, MATCH($A131, EvalDB!$A:$A, 0))), "", INDEX(EvalDB!$AU:$AU, MATCH($A131, EvalDB!$A:$A, 0))))</f>
        <v/>
      </c>
      <c r="S131" s="424" t="str">
        <f ca="1">IF(NOT(ISNUMBER($A131)), "", IF(ISERROR(INDEX(EvalDB!$BN:$BN, MATCH($A131, EvalDB!$A:$A, 0))), "", INDEX(EvalDB!$BN:$BN, MATCH($A131, EvalDB!$A:$A, 0))))</f>
        <v/>
      </c>
      <c r="T131" s="424" t="str">
        <f ca="1">IF(NOT(ISNUMBER($A131)), "", IF(ISERROR(INDEX(EvalDB!$CG:$CG, MATCH($A131, EvalDB!$A:$A, 0))), "", INDEX(EvalDB!$CG:$CG, MATCH($A131, EvalDB!$A:$A, 0))))</f>
        <v/>
      </c>
      <c r="U131" s="424" t="str">
        <f ca="1">IF(NOT(ISNUMBER($A131)), "", IF(ISERROR(INDEX(EvalDB!$CZ:$CZ, MATCH($A131, EvalDB!$A:$A, 0))), "", INDEX(EvalDB!$CZ:$CZ, MATCH($A131, EvalDB!$A:$A, 0))))</f>
        <v/>
      </c>
      <c r="V131" s="424" t="e">
        <f t="shared" ref="V131:V133" ca="1" si="20">AVERAGE(P131:U131)</f>
        <v>#DIV/0!</v>
      </c>
    </row>
    <row r="132" spans="1:22" s="59" customFormat="1" x14ac:dyDescent="0.35">
      <c r="A132" s="243">
        <f>ScheduleTBL!A131</f>
        <v>227</v>
      </c>
      <c r="B132" s="142" t="str">
        <f>ScheduleTBL!C131</f>
        <v>Wave Impacts on Fixed Offshore Wind Foundations</v>
      </c>
      <c r="C132" s="413">
        <f>ScheduleTBL!H131</f>
        <v>42782</v>
      </c>
      <c r="D132" s="153" t="str">
        <f>IF(ScheduleTBL!J131="NULL", "", ScheduleTBL!J131)</f>
        <v>Tech RD&amp;T and RC</v>
      </c>
      <c r="E132" s="142" t="str">
        <f>IF(ScheduleTBL!K131="NULL", "", ScheduleTBL!K131)</f>
        <v>OSW</v>
      </c>
      <c r="F132" s="287">
        <f>ScheduleTBL!F131</f>
        <v>0.40972222222222221</v>
      </c>
      <c r="G132" s="286">
        <f>ScheduleTBL!G131</f>
        <v>0.42708333333333331</v>
      </c>
      <c r="H132" s="142" t="str">
        <f>IF(ScheduleTBL!I131="NULL", "", ScheduleTBL!I131)</f>
        <v>Mezzanine 3</v>
      </c>
      <c r="I132" s="127" t="str">
        <f>IF(ScheduleTBL!P131="NULL", "", ScheduleTBL!P131)&amp; IF(ScheduleTBL!R131="NULL", "", ", "&amp; ScheduleTBL!R131)</f>
        <v>Ralph Nichols, SRNL</v>
      </c>
      <c r="J132" s="80">
        <f t="shared" si="7"/>
        <v>227</v>
      </c>
      <c r="K132" s="78" t="str">
        <f>IF(ScheduleTBL!AM131="","",HYPERLINK(ScheduleTBL!AM131,K$2))</f>
        <v>Sum1</v>
      </c>
      <c r="L132" s="78" t="str">
        <f>IF(ScheduleTBL!AN131="","",HYPERLINK(ScheduleTBL!AN131,L$2))</f>
        <v>Pres1</v>
      </c>
      <c r="M132" s="80"/>
      <c r="N132" s="80"/>
      <c r="O132" s="389"/>
      <c r="P132" s="423" t="str">
        <f ca="1">IF(NOT(ISNUMBER($A132)), "", IF(ISERROR(INDEX(EvalDB!$I:$I, MATCH($A132, EvalDB!$A:$A, 0))), "", INDEX(EvalDB!$I:$I, MATCH($A132, EvalDB!$A:$A, 0))))</f>
        <v/>
      </c>
      <c r="Q132" s="424" t="str">
        <f ca="1">IF(NOT(ISNUMBER($A132)), "", IF(ISERROR(INDEX(EvalDB!$AB:$AB, MATCH($A132, EvalDB!$A:$A, 0))), "", INDEX(EvalDB!$AB:$AB, MATCH($A132, EvalDB!$A:$A, 0))))</f>
        <v/>
      </c>
      <c r="R132" s="424" t="str">
        <f ca="1">IF(NOT(ISNUMBER($A132)), "", IF(ISERROR(INDEX(EvalDB!$AU:$AU, MATCH($A132, EvalDB!$A:$A, 0))), "", INDEX(EvalDB!$AU:$AU, MATCH($A132, EvalDB!$A:$A, 0))))</f>
        <v/>
      </c>
      <c r="S132" s="424" t="str">
        <f ca="1">IF(NOT(ISNUMBER($A132)), "", IF(ISERROR(INDEX(EvalDB!$BN:$BN, MATCH($A132, EvalDB!$A:$A, 0))), "", INDEX(EvalDB!$BN:$BN, MATCH($A132, EvalDB!$A:$A, 0))))</f>
        <v/>
      </c>
      <c r="T132" s="424" t="str">
        <f ca="1">IF(NOT(ISNUMBER($A132)), "", IF(ISERROR(INDEX(EvalDB!$CG:$CG, MATCH($A132, EvalDB!$A:$A, 0))), "", INDEX(EvalDB!$CG:$CG, MATCH($A132, EvalDB!$A:$A, 0))))</f>
        <v/>
      </c>
      <c r="U132" s="424" t="str">
        <f ca="1">IF(NOT(ISNUMBER($A132)), "", IF(ISERROR(INDEX(EvalDB!$CZ:$CZ, MATCH($A132, EvalDB!$A:$A, 0))), "", INDEX(EvalDB!$CZ:$CZ, MATCH($A132, EvalDB!$A:$A, 0))))</f>
        <v/>
      </c>
      <c r="V132" s="424" t="e">
        <f t="shared" ca="1" si="20"/>
        <v>#DIV/0!</v>
      </c>
    </row>
    <row r="133" spans="1:22" s="59" customFormat="1" x14ac:dyDescent="0.35">
      <c r="A133" s="243">
        <f>ScheduleTBL!A132</f>
        <v>226</v>
      </c>
      <c r="B133" s="142" t="str">
        <f>ScheduleTBL!C132</f>
        <v>Sediment Transport Impacts on Offshore Wind Projects</v>
      </c>
      <c r="C133" s="413">
        <f>ScheduleTBL!H132</f>
        <v>42782</v>
      </c>
      <c r="D133" s="153" t="str">
        <f>IF(ScheduleTBL!J132="NULL", "", ScheduleTBL!J132)</f>
        <v>Tech RD&amp;T and RC</v>
      </c>
      <c r="E133" s="142" t="str">
        <f>IF(ScheduleTBL!K132="NULL", "", ScheduleTBL!K132)</f>
        <v>OSW</v>
      </c>
      <c r="F133" s="287">
        <f>ScheduleTBL!F132</f>
        <v>0.42708333333333331</v>
      </c>
      <c r="G133" s="286">
        <f>ScheduleTBL!G132</f>
        <v>0.44444444444444442</v>
      </c>
      <c r="H133" s="142" t="str">
        <f>IF(ScheduleTBL!I132="NULL", "", ScheduleTBL!I132)</f>
        <v>Mezzanine 3</v>
      </c>
      <c r="I133" s="127" t="str">
        <f>IF(ScheduleTBL!P132="NULL", "", ScheduleTBL!P132)&amp; IF(ScheduleTBL!R132="NULL", "", ", "&amp; ScheduleTBL!R132)</f>
        <v>Jesse Roberts, SNL</v>
      </c>
      <c r="J133" s="80">
        <f t="shared" si="7"/>
        <v>226</v>
      </c>
      <c r="K133" s="78" t="str">
        <f>IF(ScheduleTBL!AM132="","",HYPERLINK(ScheduleTBL!AM132,K$2))</f>
        <v>Sum1</v>
      </c>
      <c r="L133" s="78" t="str">
        <f>IF(ScheduleTBL!AN132="","",HYPERLINK(ScheduleTBL!AN132,L$2))</f>
        <v>Pres1</v>
      </c>
      <c r="M133" s="80"/>
      <c r="N133" s="80"/>
      <c r="O133" s="389"/>
      <c r="P133" s="423" t="str">
        <f ca="1">IF(NOT(ISNUMBER($A133)), "", IF(ISERROR(INDEX(EvalDB!$I:$I, MATCH($A133, EvalDB!$A:$A, 0))), "", INDEX(EvalDB!$I:$I, MATCH($A133, EvalDB!$A:$A, 0))))</f>
        <v/>
      </c>
      <c r="Q133" s="424" t="str">
        <f ca="1">IF(NOT(ISNUMBER($A133)), "", IF(ISERROR(INDEX(EvalDB!$AB:$AB, MATCH($A133, EvalDB!$A:$A, 0))), "", INDEX(EvalDB!$AB:$AB, MATCH($A133, EvalDB!$A:$A, 0))))</f>
        <v/>
      </c>
      <c r="R133" s="424" t="str">
        <f ca="1">IF(NOT(ISNUMBER($A133)), "", IF(ISERROR(INDEX(EvalDB!$AU:$AU, MATCH($A133, EvalDB!$A:$A, 0))), "", INDEX(EvalDB!$AU:$AU, MATCH($A133, EvalDB!$A:$A, 0))))</f>
        <v/>
      </c>
      <c r="S133" s="424" t="str">
        <f ca="1">IF(NOT(ISNUMBER($A133)), "", IF(ISERROR(INDEX(EvalDB!$BN:$BN, MATCH($A133, EvalDB!$A:$A, 0))), "", INDEX(EvalDB!$BN:$BN, MATCH($A133, EvalDB!$A:$A, 0))))</f>
        <v/>
      </c>
      <c r="T133" s="424" t="str">
        <f ca="1">IF(NOT(ISNUMBER($A133)), "", IF(ISERROR(INDEX(EvalDB!$CG:$CG, MATCH($A133, EvalDB!$A:$A, 0))), "", INDEX(EvalDB!$CG:$CG, MATCH($A133, EvalDB!$A:$A, 0))))</f>
        <v/>
      </c>
      <c r="U133" s="424" t="str">
        <f ca="1">IF(NOT(ISNUMBER($A133)), "", IF(ISERROR(INDEX(EvalDB!$CZ:$CZ, MATCH($A133, EvalDB!$A:$A, 0))), "", INDEX(EvalDB!$CZ:$CZ, MATCH($A133, EvalDB!$A:$A, 0))))</f>
        <v/>
      </c>
      <c r="V133" s="424" t="e">
        <f t="shared" ca="1" si="20"/>
        <v>#DIV/0!</v>
      </c>
    </row>
    <row r="134" spans="1:22" s="59" customFormat="1" ht="15.75" customHeight="1" thickBot="1" x14ac:dyDescent="0.4">
      <c r="A134" s="240" t="str">
        <f>ScheduleTBL!A133</f>
        <v>General</v>
      </c>
      <c r="B134" s="130" t="str">
        <f>ScheduleTBL!C133</f>
        <v>BREAK</v>
      </c>
      <c r="C134" s="413">
        <f>ScheduleTBL!H133</f>
        <v>42782</v>
      </c>
      <c r="D134" s="130" t="str">
        <f>IF(ScheduleTBL!J133="NULL", "", ScheduleTBL!J133)</f>
        <v>Tech RD&amp;T and RC</v>
      </c>
      <c r="E134" s="130" t="str">
        <f>IF(ScheduleTBL!K133="NULL", "", ScheduleTBL!K133)</f>
        <v/>
      </c>
      <c r="F134" s="298">
        <f>ScheduleTBL!F133</f>
        <v>0.44444444444444442</v>
      </c>
      <c r="G134" s="299">
        <f>ScheduleTBL!G133</f>
        <v>0.4548611111111111</v>
      </c>
      <c r="H134" s="130" t="str">
        <f>IF(ScheduleTBL!I133="NULL", "", ScheduleTBL!I133)</f>
        <v>Foyer</v>
      </c>
      <c r="I134" s="130" t="str">
        <f>IF(ScheduleTBL!P133="NULL", "", ScheduleTBL!P133)&amp; IF(ScheduleTBL!R133="NULL", "", ", "&amp; ScheduleTBL!R133)</f>
        <v/>
      </c>
      <c r="J134" s="80" t="str">
        <f t="shared" si="7"/>
        <v/>
      </c>
      <c r="K134" s="78" t="str">
        <f>IF(ScheduleTBL!AM133="","",HYPERLINK(ScheduleTBL!AM133,K$2))</f>
        <v/>
      </c>
      <c r="L134" s="78" t="str">
        <f>IF(ScheduleTBL!AN133="","",HYPERLINK(ScheduleTBL!AN133,L$2))</f>
        <v/>
      </c>
      <c r="M134" s="80"/>
      <c r="N134" s="80"/>
      <c r="O134" s="389"/>
      <c r="P134" s="318"/>
      <c r="Q134" s="318"/>
      <c r="R134" s="318"/>
      <c r="S134" s="318"/>
      <c r="T134" s="318"/>
      <c r="U134" s="318"/>
      <c r="V134" s="318"/>
    </row>
    <row r="135" spans="1:22" ht="16.5" customHeight="1" thickTop="1" thickBot="1" x14ac:dyDescent="0.4">
      <c r="A135" s="240" t="str">
        <f>ScheduleTBL!A134</f>
        <v>Recap</v>
      </c>
      <c r="B135" s="138" t="str">
        <f>ScheduleTBL!C134</f>
        <v>Recap – Offshore Wind Unique RD&amp;T</v>
      </c>
      <c r="C135" s="413">
        <f>ScheduleTBL!H134</f>
        <v>42782</v>
      </c>
      <c r="D135" s="143" t="str">
        <f>IF(ScheduleTBL!J134="NULL", "", ScheduleTBL!J134)</f>
        <v>Tech RD&amp;T and RC</v>
      </c>
      <c r="E135" s="143" t="str">
        <f>IF(ScheduleTBL!K134="NULL", "", ScheduleTBL!K134)</f>
        <v>OSW</v>
      </c>
      <c r="F135" s="287">
        <f>ScheduleTBL!F134</f>
        <v>0.4548611111111111</v>
      </c>
      <c r="G135" s="286">
        <f>ScheduleTBL!G134</f>
        <v>0.45833333333333331</v>
      </c>
      <c r="H135" s="143" t="str">
        <f>IF(ScheduleTBL!I134="NULL", "", ScheduleTBL!I134)</f>
        <v>Mezzanine 3</v>
      </c>
      <c r="I135" s="123" t="str">
        <f>IF(ScheduleTBL!P134="NULL", "", ScheduleTBL!P134)&amp; IF(ScheduleTBL!R134="NULL", "", ", "&amp; ScheduleTBL!R134)</f>
        <v>Alana Duerr, DOE</v>
      </c>
      <c r="J135" s="80" t="str">
        <f t="shared" si="7"/>
        <v/>
      </c>
      <c r="K135" s="78" t="str">
        <f>IF(ScheduleTBL!AM134="","",HYPERLINK(ScheduleTBL!AM134,K$2))</f>
        <v/>
      </c>
      <c r="L135" s="78" t="str">
        <f>IF(ScheduleTBL!AN134="","",HYPERLINK(ScheduleTBL!AN134,L$2))</f>
        <v/>
      </c>
      <c r="M135" s="80"/>
      <c r="N135" s="80"/>
      <c r="O135" s="389"/>
      <c r="P135" s="309"/>
      <c r="Q135" s="309"/>
      <c r="R135" s="309"/>
      <c r="S135" s="309"/>
      <c r="T135" s="309"/>
      <c r="U135" s="309"/>
      <c r="V135" s="309"/>
    </row>
    <row r="136" spans="1:22" x14ac:dyDescent="0.35">
      <c r="A136" s="243">
        <f>ScheduleTBL!A135</f>
        <v>215</v>
      </c>
      <c r="B136" s="142" t="str">
        <f>ScheduleTBL!C135</f>
        <v>Instrumentation Planning for the Offshore Wind Advanced Technology Demonstration Projects</v>
      </c>
      <c r="C136" s="413">
        <f>ScheduleTBL!H135</f>
        <v>42782</v>
      </c>
      <c r="D136" s="153" t="str">
        <f>IF(ScheduleTBL!J135="NULL", "", ScheduleTBL!J135)</f>
        <v>Tech RD&amp;T and RC</v>
      </c>
      <c r="E136" s="142" t="str">
        <f>IF(ScheduleTBL!K135="NULL", "", ScheduleTBL!K135)</f>
        <v>OSW</v>
      </c>
      <c r="F136" s="287">
        <f>ScheduleTBL!F135</f>
        <v>0.45833333333333331</v>
      </c>
      <c r="G136" s="286">
        <f>ScheduleTBL!G135</f>
        <v>0.47222222222222221</v>
      </c>
      <c r="H136" s="142" t="str">
        <f>IF(ScheduleTBL!I135="NULL", "", ScheduleTBL!I135)</f>
        <v>Mezzanine 3</v>
      </c>
      <c r="I136" s="127" t="str">
        <f>IF(ScheduleTBL!P135="NULL", "", ScheduleTBL!P135)&amp; IF(ScheduleTBL!R135="NULL", "", ", "&amp; ScheduleTBL!R135)</f>
        <v>Walt Musial, NREL</v>
      </c>
      <c r="J136" s="80">
        <f t="shared" si="7"/>
        <v>215</v>
      </c>
      <c r="K136" s="78" t="str">
        <f>IF(ScheduleTBL!AM135="","",HYPERLINK(ScheduleTBL!AM135,K$2))</f>
        <v>Sum1</v>
      </c>
      <c r="L136" s="78" t="str">
        <f>IF(ScheduleTBL!AN135="","",HYPERLINK(ScheduleTBL!AN135,L$2))</f>
        <v>Pres1</v>
      </c>
      <c r="M136" s="80"/>
      <c r="N136" s="80"/>
      <c r="O136" s="418"/>
      <c r="P136" s="423" t="str">
        <f ca="1">IF(NOT(ISNUMBER($A136)), "", IF(ISERROR(INDEX(EvalDB!$I:$I, MATCH($A136, EvalDB!$A:$A, 0))), "", INDEX(EvalDB!$I:$I, MATCH($A136, EvalDB!$A:$A, 0))))</f>
        <v/>
      </c>
      <c r="Q136" s="424" t="str">
        <f ca="1">IF(NOT(ISNUMBER($A136)), "", IF(ISERROR(INDEX(EvalDB!$AB:$AB, MATCH($A136, EvalDB!$A:$A, 0))), "", INDEX(EvalDB!$AB:$AB, MATCH($A136, EvalDB!$A:$A, 0))))</f>
        <v/>
      </c>
      <c r="R136" s="424" t="str">
        <f ca="1">IF(NOT(ISNUMBER($A136)), "", IF(ISERROR(INDEX(EvalDB!$AU:$AU, MATCH($A136, EvalDB!$A:$A, 0))), "", INDEX(EvalDB!$AU:$AU, MATCH($A136, EvalDB!$A:$A, 0))))</f>
        <v/>
      </c>
      <c r="S136" s="424" t="str">
        <f ca="1">IF(NOT(ISNUMBER($A136)), "", IF(ISERROR(INDEX(EvalDB!$BN:$BN, MATCH($A136, EvalDB!$A:$A, 0))), "", INDEX(EvalDB!$BN:$BN, MATCH($A136, EvalDB!$A:$A, 0))))</f>
        <v/>
      </c>
      <c r="T136" s="424" t="str">
        <f ca="1">IF(NOT(ISNUMBER($A136)), "", IF(ISERROR(INDEX(EvalDB!$CG:$CG, MATCH($A136, EvalDB!$A:$A, 0))), "", INDEX(EvalDB!$CG:$CG, MATCH($A136, EvalDB!$A:$A, 0))))</f>
        <v/>
      </c>
      <c r="U136" s="424" t="str">
        <f ca="1">IF(NOT(ISNUMBER($A136)), "", IF(ISERROR(INDEX(EvalDB!$CZ:$CZ, MATCH($A136, EvalDB!$A:$A, 0))), "", INDEX(EvalDB!$CZ:$CZ, MATCH($A136, EvalDB!$A:$A, 0))))</f>
        <v/>
      </c>
      <c r="V136" s="424" t="e">
        <f t="shared" ref="V136:V139" ca="1" si="21">AVERAGE(P136:U136)</f>
        <v>#DIV/0!</v>
      </c>
    </row>
    <row r="137" spans="1:22" x14ac:dyDescent="0.35">
      <c r="A137" s="243">
        <f>ScheduleTBL!A136</f>
        <v>225</v>
      </c>
      <c r="B137" s="142" t="str">
        <f>ScheduleTBL!C136</f>
        <v>Structural Health and Prognostic Management for Offshore Wind Projects</v>
      </c>
      <c r="C137" s="413">
        <f>ScheduleTBL!H136</f>
        <v>42782</v>
      </c>
      <c r="D137" s="153" t="str">
        <f>IF(ScheduleTBL!J136="NULL", "", ScheduleTBL!J136)</f>
        <v>Tech RD&amp;T and RC</v>
      </c>
      <c r="E137" s="142" t="str">
        <f>IF(ScheduleTBL!K136="NULL", "", ScheduleTBL!K136)</f>
        <v>OSW</v>
      </c>
      <c r="F137" s="287">
        <f>ScheduleTBL!F136</f>
        <v>0.47222222222222221</v>
      </c>
      <c r="G137" s="286">
        <f>ScheduleTBL!G136</f>
        <v>0.4861111111111111</v>
      </c>
      <c r="H137" s="142" t="str">
        <f>IF(ScheduleTBL!I136="NULL", "", ScheduleTBL!I136)</f>
        <v>Mezzanine 3</v>
      </c>
      <c r="I137" s="127" t="str">
        <f>IF(ScheduleTBL!P136="NULL", "", ScheduleTBL!P136)&amp; IF(ScheduleTBL!R136="NULL", "", ", "&amp; ScheduleTBL!R136)</f>
        <v>Todd Griffith, SNL</v>
      </c>
      <c r="J137" s="80">
        <f t="shared" si="7"/>
        <v>225</v>
      </c>
      <c r="K137" s="78" t="str">
        <f>IF(ScheduleTBL!AM136="","",HYPERLINK(ScheduleTBL!AM136,K$2))</f>
        <v>Sum1</v>
      </c>
      <c r="L137" s="78" t="str">
        <f>IF(ScheduleTBL!AN136="","",HYPERLINK(ScheduleTBL!AN136,L$2))</f>
        <v>Pres1</v>
      </c>
      <c r="M137" s="80"/>
      <c r="N137" s="80"/>
      <c r="O137" s="389"/>
      <c r="P137" s="423" t="str">
        <f ca="1">IF(NOT(ISNUMBER($A137)), "", IF(ISERROR(INDEX(EvalDB!$I:$I, MATCH($A137, EvalDB!$A:$A, 0))), "", INDEX(EvalDB!$I:$I, MATCH($A137, EvalDB!$A:$A, 0))))</f>
        <v/>
      </c>
      <c r="Q137" s="424" t="str">
        <f ca="1">IF(NOT(ISNUMBER($A137)), "", IF(ISERROR(INDEX(EvalDB!$AB:$AB, MATCH($A137, EvalDB!$A:$A, 0))), "", INDEX(EvalDB!$AB:$AB, MATCH($A137, EvalDB!$A:$A, 0))))</f>
        <v/>
      </c>
      <c r="R137" s="424" t="str">
        <f ca="1">IF(NOT(ISNUMBER($A137)), "", IF(ISERROR(INDEX(EvalDB!$AU:$AU, MATCH($A137, EvalDB!$A:$A, 0))), "", INDEX(EvalDB!$AU:$AU, MATCH($A137, EvalDB!$A:$A, 0))))</f>
        <v/>
      </c>
      <c r="S137" s="424" t="str">
        <f ca="1">IF(NOT(ISNUMBER($A137)), "", IF(ISERROR(INDEX(EvalDB!$BN:$BN, MATCH($A137, EvalDB!$A:$A, 0))), "", INDEX(EvalDB!$BN:$BN, MATCH($A137, EvalDB!$A:$A, 0))))</f>
        <v/>
      </c>
      <c r="T137" s="424" t="str">
        <f ca="1">IF(NOT(ISNUMBER($A137)), "", IF(ISERROR(INDEX(EvalDB!$CG:$CG, MATCH($A137, EvalDB!$A:$A, 0))), "", INDEX(EvalDB!$CG:$CG, MATCH($A137, EvalDB!$A:$A, 0))))</f>
        <v/>
      </c>
      <c r="U137" s="424" t="str">
        <f ca="1">IF(NOT(ISNUMBER($A137)), "", IF(ISERROR(INDEX(EvalDB!$CZ:$CZ, MATCH($A137, EvalDB!$A:$A, 0))), "", INDEX(EvalDB!$CZ:$CZ, MATCH($A137, EvalDB!$A:$A, 0))))</f>
        <v/>
      </c>
      <c r="V137" s="424" t="e">
        <f t="shared" ca="1" si="21"/>
        <v>#DIV/0!</v>
      </c>
    </row>
    <row r="138" spans="1:22" x14ac:dyDescent="0.35">
      <c r="A138" s="243">
        <f>ScheduleTBL!A137</f>
        <v>220</v>
      </c>
      <c r="B138" s="142" t="str">
        <f>ScheduleTBL!C137</f>
        <v>DOE Offshore Wind Lidar Buoy Deployment Program</v>
      </c>
      <c r="C138" s="413">
        <f>ScheduleTBL!H137</f>
        <v>42782</v>
      </c>
      <c r="D138" s="153" t="str">
        <f>IF(ScheduleTBL!J137="NULL", "", ScheduleTBL!J137)</f>
        <v>Tech RD&amp;T and RC</v>
      </c>
      <c r="E138" s="142" t="str">
        <f>IF(ScheduleTBL!K137="NULL", "", ScheduleTBL!K137)</f>
        <v>OSW</v>
      </c>
      <c r="F138" s="287">
        <f>ScheduleTBL!F137</f>
        <v>0.4861111111111111</v>
      </c>
      <c r="G138" s="286">
        <f>ScheduleTBL!G137</f>
        <v>0.50347222222222221</v>
      </c>
      <c r="H138" s="142" t="str">
        <f>IF(ScheduleTBL!I137="NULL", "", ScheduleTBL!I137)</f>
        <v>Mezzanine 3</v>
      </c>
      <c r="I138" s="127" t="str">
        <f>IF(ScheduleTBL!P137="NULL", "", ScheduleTBL!P137)&amp; IF(ScheduleTBL!R137="NULL", "", ", "&amp; ScheduleTBL!R137)</f>
        <v>Will Shaw, PNNL</v>
      </c>
      <c r="J138" s="80">
        <f t="shared" si="7"/>
        <v>220</v>
      </c>
      <c r="K138" s="78" t="str">
        <f>IF(ScheduleTBL!AM137="","",HYPERLINK(ScheduleTBL!AM137,K$2))</f>
        <v>Sum1</v>
      </c>
      <c r="L138" s="78" t="str">
        <f>IF(ScheduleTBL!AN137="","",HYPERLINK(ScheduleTBL!AN137,L$2))</f>
        <v>Pres1</v>
      </c>
      <c r="M138" s="80"/>
      <c r="N138" s="80"/>
      <c r="O138" s="389"/>
      <c r="P138" s="423" t="str">
        <f ca="1">IF(NOT(ISNUMBER($A138)), "", IF(ISERROR(INDEX(EvalDB!$I:$I, MATCH($A138, EvalDB!$A:$A, 0))), "", INDEX(EvalDB!$I:$I, MATCH($A138, EvalDB!$A:$A, 0))))</f>
        <v/>
      </c>
      <c r="Q138" s="424" t="str">
        <f ca="1">IF(NOT(ISNUMBER($A138)), "", IF(ISERROR(INDEX(EvalDB!$AB:$AB, MATCH($A138, EvalDB!$A:$A, 0))), "", INDEX(EvalDB!$AB:$AB, MATCH($A138, EvalDB!$A:$A, 0))))</f>
        <v/>
      </c>
      <c r="R138" s="424" t="str">
        <f ca="1">IF(NOT(ISNUMBER($A138)), "", IF(ISERROR(INDEX(EvalDB!$AU:$AU, MATCH($A138, EvalDB!$A:$A, 0))), "", INDEX(EvalDB!$AU:$AU, MATCH($A138, EvalDB!$A:$A, 0))))</f>
        <v/>
      </c>
      <c r="S138" s="424" t="str">
        <f ca="1">IF(NOT(ISNUMBER($A138)), "", IF(ISERROR(INDEX(EvalDB!$BN:$BN, MATCH($A138, EvalDB!$A:$A, 0))), "", INDEX(EvalDB!$BN:$BN, MATCH($A138, EvalDB!$A:$A, 0))))</f>
        <v/>
      </c>
      <c r="T138" s="424" t="str">
        <f ca="1">IF(NOT(ISNUMBER($A138)), "", IF(ISERROR(INDEX(EvalDB!$CG:$CG, MATCH($A138, EvalDB!$A:$A, 0))), "", INDEX(EvalDB!$CG:$CG, MATCH($A138, EvalDB!$A:$A, 0))))</f>
        <v/>
      </c>
      <c r="U138" s="424" t="str">
        <f ca="1">IF(NOT(ISNUMBER($A138)), "", IF(ISERROR(INDEX(EvalDB!$CZ:$CZ, MATCH($A138, EvalDB!$A:$A, 0))), "", INDEX(EvalDB!$CZ:$CZ, MATCH($A138, EvalDB!$A:$A, 0))))</f>
        <v/>
      </c>
      <c r="V138" s="424" t="e">
        <f t="shared" ca="1" si="21"/>
        <v>#DIV/0!</v>
      </c>
    </row>
    <row r="139" spans="1:22" ht="15" thickBot="1" x14ac:dyDescent="0.4">
      <c r="A139" s="243">
        <f>ScheduleTBL!A138</f>
        <v>213</v>
      </c>
      <c r="B139" s="142" t="str">
        <f>ScheduleTBL!C138</f>
        <v>National Offshore Wind Strategy Supporting Analysis</v>
      </c>
      <c r="C139" s="413">
        <f>ScheduleTBL!H138</f>
        <v>42782</v>
      </c>
      <c r="D139" s="153" t="str">
        <f>IF(ScheduleTBL!J138="NULL", "", ScheduleTBL!J138)</f>
        <v>Tech RD&amp;T and RC</v>
      </c>
      <c r="E139" s="142" t="str">
        <f>IF(ScheduleTBL!K138="NULL", "", ScheduleTBL!K138)</f>
        <v>OSW</v>
      </c>
      <c r="F139" s="287">
        <f>ScheduleTBL!F138</f>
        <v>0.50347222222222221</v>
      </c>
      <c r="G139" s="286">
        <f>ScheduleTBL!G138</f>
        <v>0.52083333333333326</v>
      </c>
      <c r="H139" s="142" t="str">
        <f>IF(ScheduleTBL!I138="NULL", "", ScheduleTBL!I138)</f>
        <v>Mezzanine 3</v>
      </c>
      <c r="I139" s="127" t="str">
        <f>IF(ScheduleTBL!P138="NULL", "", ScheduleTBL!P138)&amp; IF(ScheduleTBL!R138="NULL", "", ", "&amp; ScheduleTBL!R138)</f>
        <v>Walt Musial, NREL</v>
      </c>
      <c r="J139" s="79">
        <f t="shared" si="7"/>
        <v>213</v>
      </c>
      <c r="K139" s="78" t="str">
        <f>IF(ScheduleTBL!AM138="","",HYPERLINK(ScheduleTBL!AM138,K$2))</f>
        <v>Sum1</v>
      </c>
      <c r="L139" s="78" t="str">
        <f>IF(ScheduleTBL!AN138="","",HYPERLINK(ScheduleTBL!AN138,L$2))</f>
        <v>Pres1</v>
      </c>
      <c r="M139" s="79"/>
      <c r="N139" s="79"/>
      <c r="O139" s="416"/>
      <c r="P139" s="423" t="str">
        <f ca="1">IF(NOT(ISNUMBER($A139)), "", IF(ISERROR(INDEX(EvalDB!$I:$I, MATCH($A139, EvalDB!$A:$A, 0))), "", INDEX(EvalDB!$I:$I, MATCH($A139, EvalDB!$A:$A, 0))))</f>
        <v/>
      </c>
      <c r="Q139" s="424" t="str">
        <f ca="1">IF(NOT(ISNUMBER($A139)), "", IF(ISERROR(INDEX(EvalDB!$AB:$AB, MATCH($A139, EvalDB!$A:$A, 0))), "", INDEX(EvalDB!$AB:$AB, MATCH($A139, EvalDB!$A:$A, 0))))</f>
        <v/>
      </c>
      <c r="R139" s="424" t="str">
        <f ca="1">IF(NOT(ISNUMBER($A139)), "", IF(ISERROR(INDEX(EvalDB!$AU:$AU, MATCH($A139, EvalDB!$A:$A, 0))), "", INDEX(EvalDB!$AU:$AU, MATCH($A139, EvalDB!$A:$A, 0))))</f>
        <v/>
      </c>
      <c r="S139" s="424" t="str">
        <f ca="1">IF(NOT(ISNUMBER($A139)), "", IF(ISERROR(INDEX(EvalDB!$BN:$BN, MATCH($A139, EvalDB!$A:$A, 0))), "", INDEX(EvalDB!$BN:$BN, MATCH($A139, EvalDB!$A:$A, 0))))</f>
        <v/>
      </c>
      <c r="T139" s="424" t="str">
        <f ca="1">IF(NOT(ISNUMBER($A139)), "", IF(ISERROR(INDEX(EvalDB!$CG:$CG, MATCH($A139, EvalDB!$A:$A, 0))), "", INDEX(EvalDB!$CG:$CG, MATCH($A139, EvalDB!$A:$A, 0))))</f>
        <v/>
      </c>
      <c r="U139" s="424" t="str">
        <f ca="1">IF(NOT(ISNUMBER($A139)), "", IF(ISERROR(INDEX(EvalDB!$CZ:$CZ, MATCH($A139, EvalDB!$A:$A, 0))), "", INDEX(EvalDB!$CZ:$CZ, MATCH($A139, EvalDB!$A:$A, 0))))</f>
        <v/>
      </c>
      <c r="V139" s="424" t="e">
        <f t="shared" ca="1" si="21"/>
        <v>#DIV/0!</v>
      </c>
    </row>
    <row r="140" spans="1:22" ht="16.5" customHeight="1" thickTop="1" thickBot="1" x14ac:dyDescent="0.4">
      <c r="A140" s="239" t="str">
        <f>ScheduleTBL!A139</f>
        <v>General</v>
      </c>
      <c r="B140" s="376" t="str">
        <f>ScheduleTBL!C139</f>
        <v>LUNCH</v>
      </c>
      <c r="C140" s="413">
        <f>ScheduleTBL!H139</f>
        <v>42782</v>
      </c>
      <c r="D140" s="376" t="str">
        <f>IF(ScheduleTBL!J139="NULL", "", ScheduleTBL!J139)</f>
        <v>Tech RD&amp;T and RC</v>
      </c>
      <c r="E140" s="376" t="str">
        <f>IF(ScheduleTBL!K139="NULL", "", ScheduleTBL!K139)</f>
        <v/>
      </c>
      <c r="F140" s="377">
        <f>ScheduleTBL!F139</f>
        <v>0.52083333333333326</v>
      </c>
      <c r="G140" s="378">
        <f>ScheduleTBL!G139</f>
        <v>0.56249999999999989</v>
      </c>
      <c r="H140" s="376" t="str">
        <f>IF(ScheduleTBL!I139="NULL", "", ScheduleTBL!I139)</f>
        <v>Commonwealth Ballroom</v>
      </c>
      <c r="I140" s="376" t="str">
        <f>IF(ScheduleTBL!P139="NULL", "", ScheduleTBL!P139)&amp; IF(ScheduleTBL!R139="NULL", "", ", "&amp; ScheduleTBL!R139)</f>
        <v/>
      </c>
      <c r="J140" s="80" t="str">
        <f t="shared" si="7"/>
        <v/>
      </c>
      <c r="K140" s="78" t="str">
        <f>IF(ScheduleTBL!AM139="","",HYPERLINK(ScheduleTBL!AM139,K$2))</f>
        <v/>
      </c>
      <c r="L140" s="78" t="str">
        <f>IF(ScheduleTBL!AN139="","",HYPERLINK(ScheduleTBL!AN139,L$2))</f>
        <v/>
      </c>
      <c r="M140" s="80"/>
      <c r="N140" s="80"/>
      <c r="O140" s="389"/>
      <c r="P140" s="331"/>
      <c r="Q140" s="331"/>
      <c r="R140" s="331"/>
      <c r="S140" s="331"/>
      <c r="T140" s="331"/>
      <c r="U140" s="331"/>
      <c r="V140" s="331"/>
    </row>
    <row r="141" spans="1:22" ht="16.5" customHeight="1" thickTop="1" thickBot="1" x14ac:dyDescent="0.4">
      <c r="A141" s="240" t="str">
        <f>ScheduleTBL!A140</f>
        <v>Recap</v>
      </c>
      <c r="B141" s="138" t="str">
        <f>ScheduleTBL!C140</f>
        <v>Recap – Offshore Wind Unique RD&amp;T</v>
      </c>
      <c r="C141" s="413">
        <f>ScheduleTBL!H140</f>
        <v>42782</v>
      </c>
      <c r="D141" s="143" t="str">
        <f>IF(ScheduleTBL!J140="NULL", "", ScheduleTBL!J140)</f>
        <v>Tech RD&amp;T and RC</v>
      </c>
      <c r="E141" s="143" t="str">
        <f>IF(ScheduleTBL!K140="NULL", "", ScheduleTBL!K140)</f>
        <v>OSW</v>
      </c>
      <c r="F141" s="287">
        <f>ScheduleTBL!F140</f>
        <v>0.56249999999999989</v>
      </c>
      <c r="G141" s="286">
        <f>ScheduleTBL!G140</f>
        <v>0.56944444444444431</v>
      </c>
      <c r="H141" s="143" t="str">
        <f>IF(ScheduleTBL!I140="NULL", "", ScheduleTBL!I140)</f>
        <v>Mezzanine 3</v>
      </c>
      <c r="I141" s="123" t="str">
        <f>IF(ScheduleTBL!P140="NULL", "", ScheduleTBL!P140)&amp; IF(ScheduleTBL!R140="NULL", "", ", "&amp; ScheduleTBL!R140)</f>
        <v>Alana Duerr, DOE</v>
      </c>
      <c r="J141" s="80" t="str">
        <f t="shared" si="7"/>
        <v/>
      </c>
      <c r="K141" s="78" t="str">
        <f>IF(ScheduleTBL!AM140="","",HYPERLINK(ScheduleTBL!AM140,K$2))</f>
        <v/>
      </c>
      <c r="L141" s="78" t="str">
        <f>IF(ScheduleTBL!AN140="","",HYPERLINK(ScheduleTBL!AN140,L$2))</f>
        <v/>
      </c>
      <c r="M141" s="80"/>
      <c r="N141" s="80"/>
      <c r="O141" s="389"/>
      <c r="P141" s="309"/>
      <c r="Q141" s="309"/>
      <c r="R141" s="309"/>
      <c r="S141" s="309"/>
      <c r="T141" s="309"/>
      <c r="U141" s="309"/>
      <c r="V141" s="309"/>
    </row>
    <row r="142" spans="1:22" x14ac:dyDescent="0.35">
      <c r="A142" s="243">
        <f>ScheduleTBL!A141</f>
        <v>241</v>
      </c>
      <c r="B142" s="142" t="str">
        <f>ScheduleTBL!C141</f>
        <v>Turbine Advanced Controls for Offshore Wind Floating Applications</v>
      </c>
      <c r="C142" s="413">
        <f>ScheduleTBL!H141</f>
        <v>42782</v>
      </c>
      <c r="D142" s="153" t="str">
        <f>IF(ScheduleTBL!J141="NULL", "", ScheduleTBL!J141)</f>
        <v>Tech RD&amp;T and RC</v>
      </c>
      <c r="E142" s="142" t="str">
        <f>IF(ScheduleTBL!K141="NULL", "", ScheduleTBL!K141)</f>
        <v>OSW</v>
      </c>
      <c r="F142" s="287">
        <f>ScheduleTBL!F141</f>
        <v>0.56944444444444431</v>
      </c>
      <c r="G142" s="286">
        <f>ScheduleTBL!G141</f>
        <v>0.58333333333333315</v>
      </c>
      <c r="H142" s="142" t="str">
        <f>IF(ScheduleTBL!I141="NULL", "", ScheduleTBL!I141)</f>
        <v>Mezzanine 3</v>
      </c>
      <c r="I142" s="127" t="str">
        <f>IF(ScheduleTBL!P141="NULL", "", ScheduleTBL!P141)&amp; IF(ScheduleTBL!R141="NULL", "", ", "&amp; ScheduleTBL!R141)</f>
        <v>Dhiraj Arora, General Electric</v>
      </c>
      <c r="J142" s="80">
        <f t="shared" ref="J142:J157" si="22">IF(ISNUMBER(A142), HYPERLINK("#'"&amp; A142&amp; "'!C16", A142), "")</f>
        <v>241</v>
      </c>
      <c r="K142" s="78" t="str">
        <f>IF(ScheduleTBL!AM141="","",HYPERLINK(ScheduleTBL!AM141,K$2))</f>
        <v>Sum1</v>
      </c>
      <c r="L142" s="78" t="str">
        <f>IF(ScheduleTBL!AN141="","",HYPERLINK(ScheduleTBL!AN141,L$2))</f>
        <v>Pres1</v>
      </c>
      <c r="M142" s="80"/>
      <c r="N142" s="80"/>
      <c r="O142" s="389"/>
      <c r="P142" s="423" t="str">
        <f ca="1">IF(NOT(ISNUMBER($A142)), "", IF(ISERROR(INDEX(EvalDB!$I:$I, MATCH($A142, EvalDB!$A:$A, 0))), "", INDEX(EvalDB!$I:$I, MATCH($A142, EvalDB!$A:$A, 0))))</f>
        <v/>
      </c>
      <c r="Q142" s="424" t="str">
        <f ca="1">IF(NOT(ISNUMBER($A142)), "", IF(ISERROR(INDEX(EvalDB!$AB:$AB, MATCH($A142, EvalDB!$A:$A, 0))), "", INDEX(EvalDB!$AB:$AB, MATCH($A142, EvalDB!$A:$A, 0))))</f>
        <v/>
      </c>
      <c r="R142" s="424" t="str">
        <f ca="1">IF(NOT(ISNUMBER($A142)), "", IF(ISERROR(INDEX(EvalDB!$AU:$AU, MATCH($A142, EvalDB!$A:$A, 0))), "", INDEX(EvalDB!$AU:$AU, MATCH($A142, EvalDB!$A:$A, 0))))</f>
        <v/>
      </c>
      <c r="S142" s="424" t="str">
        <f ca="1">IF(NOT(ISNUMBER($A142)), "", IF(ISERROR(INDEX(EvalDB!$BN:$BN, MATCH($A142, EvalDB!$A:$A, 0))), "", INDEX(EvalDB!$BN:$BN, MATCH($A142, EvalDB!$A:$A, 0))))</f>
        <v/>
      </c>
      <c r="T142" s="424" t="str">
        <f ca="1">IF(NOT(ISNUMBER($A142)), "", IF(ISERROR(INDEX(EvalDB!$CG:$CG, MATCH($A142, EvalDB!$A:$A, 0))), "", INDEX(EvalDB!$CG:$CG, MATCH($A142, EvalDB!$A:$A, 0))))</f>
        <v/>
      </c>
      <c r="U142" s="424" t="str">
        <f ca="1">IF(NOT(ISNUMBER($A142)), "", IF(ISERROR(INDEX(EvalDB!$CZ:$CZ, MATCH($A142, EvalDB!$A:$A, 0))), "", INDEX(EvalDB!$CZ:$CZ, MATCH($A142, EvalDB!$A:$A, 0))))</f>
        <v/>
      </c>
      <c r="V142" s="424" t="e">
        <f t="shared" ref="V142:V145" ca="1" si="23">AVERAGE(P142:U142)</f>
        <v>#DIV/0!</v>
      </c>
    </row>
    <row r="143" spans="1:22" x14ac:dyDescent="0.35">
      <c r="A143" s="243">
        <f>ScheduleTBL!A142</f>
        <v>248</v>
      </c>
      <c r="B143" s="142" t="str">
        <f>ScheduleTBL!C142</f>
        <v>The University of Maine's New England Aqua Ventus I Program</v>
      </c>
      <c r="C143" s="413">
        <f>ScheduleTBL!H142</f>
        <v>42782</v>
      </c>
      <c r="D143" s="153" t="str">
        <f>IF(ScheduleTBL!J142="NULL", "", ScheduleTBL!J142)</f>
        <v>Tech RD&amp;T and RC</v>
      </c>
      <c r="E143" s="142" t="str">
        <f>IF(ScheduleTBL!K142="NULL", "", ScheduleTBL!K142)</f>
        <v>OSW</v>
      </c>
      <c r="F143" s="287">
        <f>ScheduleTBL!F142</f>
        <v>0.58333333333333315</v>
      </c>
      <c r="G143" s="286">
        <f>ScheduleTBL!G142</f>
        <v>0.59722222222222199</v>
      </c>
      <c r="H143" s="142" t="str">
        <f>IF(ScheduleTBL!I142="NULL", "", ScheduleTBL!I142)</f>
        <v>Mezzanine 3</v>
      </c>
      <c r="I143" s="127" t="str">
        <f>IF(ScheduleTBL!P142="NULL", "", ScheduleTBL!P142)&amp; IF(ScheduleTBL!R142="NULL", "", ", "&amp; ScheduleTBL!R142)</f>
        <v>Habib Dagher, University of Maine</v>
      </c>
      <c r="J143" s="80">
        <f t="shared" si="22"/>
        <v>248</v>
      </c>
      <c r="K143" s="78" t="str">
        <f>IF(ScheduleTBL!AM142="","",HYPERLINK(ScheduleTBL!AM142,K$2))</f>
        <v>Sum1</v>
      </c>
      <c r="L143" s="78" t="str">
        <f>IF(ScheduleTBL!AN142="","",HYPERLINK(ScheduleTBL!AN142,L$2))</f>
        <v>Pres1</v>
      </c>
      <c r="M143" s="80"/>
      <c r="N143" s="80"/>
      <c r="O143" s="389"/>
      <c r="P143" s="423" t="str">
        <f ca="1">IF(NOT(ISNUMBER($A143)), "", IF(ISERROR(INDEX(EvalDB!$I:$I, MATCH($A143, EvalDB!$A:$A, 0))), "", INDEX(EvalDB!$I:$I, MATCH($A143, EvalDB!$A:$A, 0))))</f>
        <v/>
      </c>
      <c r="Q143" s="424" t="str">
        <f ca="1">IF(NOT(ISNUMBER($A143)), "", IF(ISERROR(INDEX(EvalDB!$AB:$AB, MATCH($A143, EvalDB!$A:$A, 0))), "", INDEX(EvalDB!$AB:$AB, MATCH($A143, EvalDB!$A:$A, 0))))</f>
        <v/>
      </c>
      <c r="R143" s="424" t="str">
        <f ca="1">IF(NOT(ISNUMBER($A143)), "", IF(ISERROR(INDEX(EvalDB!$AU:$AU, MATCH($A143, EvalDB!$A:$A, 0))), "", INDEX(EvalDB!$AU:$AU, MATCH($A143, EvalDB!$A:$A, 0))))</f>
        <v/>
      </c>
      <c r="S143" s="424" t="str">
        <f ca="1">IF(NOT(ISNUMBER($A143)), "", IF(ISERROR(INDEX(EvalDB!$BN:$BN, MATCH($A143, EvalDB!$A:$A, 0))), "", INDEX(EvalDB!$BN:$BN, MATCH($A143, EvalDB!$A:$A, 0))))</f>
        <v/>
      </c>
      <c r="T143" s="424" t="str">
        <f ca="1">IF(NOT(ISNUMBER($A143)), "", IF(ISERROR(INDEX(EvalDB!$CG:$CG, MATCH($A143, EvalDB!$A:$A, 0))), "", INDEX(EvalDB!$CG:$CG, MATCH($A143, EvalDB!$A:$A, 0))))</f>
        <v/>
      </c>
      <c r="U143" s="424" t="str">
        <f ca="1">IF(NOT(ISNUMBER($A143)), "", IF(ISERROR(INDEX(EvalDB!$CZ:$CZ, MATCH($A143, EvalDB!$A:$A, 0))), "", INDEX(EvalDB!$CZ:$CZ, MATCH($A143, EvalDB!$A:$A, 0))))</f>
        <v/>
      </c>
      <c r="V143" s="424" t="e">
        <f t="shared" ca="1" si="23"/>
        <v>#DIV/0!</v>
      </c>
    </row>
    <row r="144" spans="1:22" x14ac:dyDescent="0.35">
      <c r="A144" s="243">
        <f>ScheduleTBL!A143</f>
        <v>245</v>
      </c>
      <c r="B144" s="142" t="str">
        <f>ScheduleTBL!C143</f>
        <v>Hywind Maine Project</v>
      </c>
      <c r="C144" s="413">
        <f>ScheduleTBL!H143</f>
        <v>42782</v>
      </c>
      <c r="D144" s="153" t="str">
        <f>IF(ScheduleTBL!J143="NULL", "", ScheduleTBL!J143)</f>
        <v>Tech RD&amp;T and RC</v>
      </c>
      <c r="E144" s="142" t="str">
        <f>IF(ScheduleTBL!K143="NULL", "", ScheduleTBL!K143)</f>
        <v>OSW</v>
      </c>
      <c r="F144" s="287">
        <f>ScheduleTBL!F143</f>
        <v>0.59722222222222199</v>
      </c>
      <c r="G144" s="286">
        <f>ScheduleTBL!G143</f>
        <v>0.61458333333333304</v>
      </c>
      <c r="H144" s="142" t="str">
        <f>IF(ScheduleTBL!I143="NULL", "", ScheduleTBL!I143)</f>
        <v>Mezzanine 3</v>
      </c>
      <c r="I144" s="127" t="str">
        <f>IF(ScheduleTBL!P143="NULL", "", ScheduleTBL!P143)&amp; IF(ScheduleTBL!R143="NULL", "", ", "&amp; ScheduleTBL!R143)</f>
        <v>Andrea Nina Eugster, Statoil</v>
      </c>
      <c r="J144" s="80">
        <f t="shared" si="22"/>
        <v>245</v>
      </c>
      <c r="K144" s="78" t="str">
        <f>IF(ScheduleTBL!AM143="","",HYPERLINK(ScheduleTBL!AM143,K$2))</f>
        <v>Sum1</v>
      </c>
      <c r="L144" s="78" t="str">
        <f>IF(ScheduleTBL!AN143="","",HYPERLINK(ScheduleTBL!AN143,L$2))</f>
        <v>Pres1</v>
      </c>
      <c r="M144" s="80"/>
      <c r="N144" s="80"/>
      <c r="O144" s="389"/>
      <c r="P144" s="423" t="str">
        <f ca="1">IF(NOT(ISNUMBER($A144)), "", IF(ISERROR(INDEX(EvalDB!$I:$I, MATCH($A144, EvalDB!$A:$A, 0))), "", INDEX(EvalDB!$I:$I, MATCH($A144, EvalDB!$A:$A, 0))))</f>
        <v/>
      </c>
      <c r="Q144" s="424" t="str">
        <f ca="1">IF(NOT(ISNUMBER($A144)), "", IF(ISERROR(INDEX(EvalDB!$AB:$AB, MATCH($A144, EvalDB!$A:$A, 0))), "", INDEX(EvalDB!$AB:$AB, MATCH($A144, EvalDB!$A:$A, 0))))</f>
        <v/>
      </c>
      <c r="R144" s="424" t="str">
        <f ca="1">IF(NOT(ISNUMBER($A144)), "", IF(ISERROR(INDEX(EvalDB!$AU:$AU, MATCH($A144, EvalDB!$A:$A, 0))), "", INDEX(EvalDB!$AU:$AU, MATCH($A144, EvalDB!$A:$A, 0))))</f>
        <v/>
      </c>
      <c r="S144" s="424" t="str">
        <f ca="1">IF(NOT(ISNUMBER($A144)), "", IF(ISERROR(INDEX(EvalDB!$BN:$BN, MATCH($A144, EvalDB!$A:$A, 0))), "", INDEX(EvalDB!$BN:$BN, MATCH($A144, EvalDB!$A:$A, 0))))</f>
        <v/>
      </c>
      <c r="T144" s="424" t="str">
        <f ca="1">IF(NOT(ISNUMBER($A144)), "", IF(ISERROR(INDEX(EvalDB!$CG:$CG, MATCH($A144, EvalDB!$A:$A, 0))), "", INDEX(EvalDB!$CG:$CG, MATCH($A144, EvalDB!$A:$A, 0))))</f>
        <v/>
      </c>
      <c r="U144" s="424" t="str">
        <f ca="1">IF(NOT(ISNUMBER($A144)), "", IF(ISERROR(INDEX(EvalDB!$CZ:$CZ, MATCH($A144, EvalDB!$A:$A, 0))), "", INDEX(EvalDB!$CZ:$CZ, MATCH($A144, EvalDB!$A:$A, 0))))</f>
        <v/>
      </c>
      <c r="V144" s="424" t="e">
        <f t="shared" ca="1" si="23"/>
        <v>#DIV/0!</v>
      </c>
    </row>
    <row r="145" spans="1:22" x14ac:dyDescent="0.35">
      <c r="A145" s="243">
        <f>ScheduleTBL!A144</f>
        <v>244</v>
      </c>
      <c r="B145" s="142" t="str">
        <f>ScheduleTBL!C144</f>
        <v>WindFloat Pacific Project</v>
      </c>
      <c r="C145" s="413">
        <f>ScheduleTBL!H144</f>
        <v>42782</v>
      </c>
      <c r="D145" s="153" t="str">
        <f>IF(ScheduleTBL!J144="NULL", "", ScheduleTBL!J144)</f>
        <v>Tech RD&amp;T and RC</v>
      </c>
      <c r="E145" s="142" t="str">
        <f>IF(ScheduleTBL!K144="NULL", "", ScheduleTBL!K144)</f>
        <v>OSW</v>
      </c>
      <c r="F145" s="287">
        <f>ScheduleTBL!F144</f>
        <v>0.61458333333333304</v>
      </c>
      <c r="G145" s="286">
        <f>ScheduleTBL!G144</f>
        <v>0.63194444444444409</v>
      </c>
      <c r="H145" s="142" t="str">
        <f>IF(ScheduleTBL!I144="NULL", "", ScheduleTBL!I144)</f>
        <v>Mezzanine 3</v>
      </c>
      <c r="I145" s="127" t="str">
        <f>IF(ScheduleTBL!P144="NULL", "", ScheduleTBL!P144)&amp; IF(ScheduleTBL!R144="NULL", "", ", "&amp; ScheduleTBL!R144)</f>
        <v>Kevin Banister, Principle Power, Inc.</v>
      </c>
      <c r="J145" s="80">
        <f t="shared" si="22"/>
        <v>244</v>
      </c>
      <c r="K145" s="78" t="str">
        <f>IF(ScheduleTBL!AM144="","",HYPERLINK(ScheduleTBL!AM144,K$2))</f>
        <v>Sum1</v>
      </c>
      <c r="L145" s="78" t="str">
        <f>IF(ScheduleTBL!AN144="","",HYPERLINK(ScheduleTBL!AN144,L$2))</f>
        <v>Pres1</v>
      </c>
      <c r="M145" s="80"/>
      <c r="N145" s="80"/>
      <c r="O145" s="389"/>
      <c r="P145" s="423" t="str">
        <f ca="1">IF(NOT(ISNUMBER($A145)), "", IF(ISERROR(INDEX(EvalDB!$I:$I, MATCH($A145, EvalDB!$A:$A, 0))), "", INDEX(EvalDB!$I:$I, MATCH($A145, EvalDB!$A:$A, 0))))</f>
        <v/>
      </c>
      <c r="Q145" s="424" t="str">
        <f ca="1">IF(NOT(ISNUMBER($A145)), "", IF(ISERROR(INDEX(EvalDB!$AB:$AB, MATCH($A145, EvalDB!$A:$A, 0))), "", INDEX(EvalDB!$AB:$AB, MATCH($A145, EvalDB!$A:$A, 0))))</f>
        <v/>
      </c>
      <c r="R145" s="424" t="str">
        <f ca="1">IF(NOT(ISNUMBER($A145)), "", IF(ISERROR(INDEX(EvalDB!$AU:$AU, MATCH($A145, EvalDB!$A:$A, 0))), "", INDEX(EvalDB!$AU:$AU, MATCH($A145, EvalDB!$A:$A, 0))))</f>
        <v/>
      </c>
      <c r="S145" s="424" t="str">
        <f ca="1">IF(NOT(ISNUMBER($A145)), "", IF(ISERROR(INDEX(EvalDB!$BN:$BN, MATCH($A145, EvalDB!$A:$A, 0))), "", INDEX(EvalDB!$BN:$BN, MATCH($A145, EvalDB!$A:$A, 0))))</f>
        <v/>
      </c>
      <c r="T145" s="424" t="str">
        <f ca="1">IF(NOT(ISNUMBER($A145)), "", IF(ISERROR(INDEX(EvalDB!$CG:$CG, MATCH($A145, EvalDB!$A:$A, 0))), "", INDEX(EvalDB!$CG:$CG, MATCH($A145, EvalDB!$A:$A, 0))))</f>
        <v/>
      </c>
      <c r="U145" s="424" t="str">
        <f ca="1">IF(NOT(ISNUMBER($A145)), "", IF(ISERROR(INDEX(EvalDB!$CZ:$CZ, MATCH($A145, EvalDB!$A:$A, 0))), "", INDEX(EvalDB!$CZ:$CZ, MATCH($A145, EvalDB!$A:$A, 0))))</f>
        <v/>
      </c>
      <c r="V145" s="424" t="e">
        <f t="shared" ca="1" si="23"/>
        <v>#DIV/0!</v>
      </c>
    </row>
    <row r="146" spans="1:22" ht="15.75" customHeight="1" thickBot="1" x14ac:dyDescent="0.4">
      <c r="A146" s="240" t="str">
        <f>ScheduleTBL!A145</f>
        <v>General</v>
      </c>
      <c r="B146" s="130" t="str">
        <f>ScheduleTBL!C145</f>
        <v>BREAK</v>
      </c>
      <c r="C146" s="413">
        <f>ScheduleTBL!H145</f>
        <v>42782</v>
      </c>
      <c r="D146" s="130" t="str">
        <f>IF(ScheduleTBL!J145="NULL", "", ScheduleTBL!J145)</f>
        <v>Tech RD&amp;T and RC</v>
      </c>
      <c r="E146" s="130" t="str">
        <f>IF(ScheduleTBL!K145="NULL", "", ScheduleTBL!K145)</f>
        <v/>
      </c>
      <c r="F146" s="298">
        <f>ScheduleTBL!F145</f>
        <v>0.63194444444444409</v>
      </c>
      <c r="G146" s="299">
        <f>ScheduleTBL!G145</f>
        <v>0.64236111111111072</v>
      </c>
      <c r="H146" s="130" t="str">
        <f>IF(ScheduleTBL!I145="NULL", "", ScheduleTBL!I145)</f>
        <v>Foyer</v>
      </c>
      <c r="I146" s="130" t="str">
        <f>IF(ScheduleTBL!P145="NULL", "", ScheduleTBL!P145)&amp; IF(ScheduleTBL!R145="NULL", "", ", "&amp; ScheduleTBL!R145)</f>
        <v/>
      </c>
      <c r="J146" s="78" t="str">
        <f t="shared" si="22"/>
        <v/>
      </c>
      <c r="K146" s="78" t="str">
        <f>IF(ScheduleTBL!AM145="","",HYPERLINK(ScheduleTBL!AM145,K$2))</f>
        <v/>
      </c>
      <c r="L146" s="78" t="str">
        <f>IF(ScheduleTBL!AN145="","",HYPERLINK(ScheduleTBL!AN145,L$2))</f>
        <v/>
      </c>
      <c r="M146" s="78"/>
      <c r="N146" s="78"/>
      <c r="O146" s="306"/>
      <c r="P146" s="318"/>
      <c r="Q146" s="318"/>
      <c r="R146" s="318"/>
      <c r="S146" s="318"/>
      <c r="T146" s="318"/>
      <c r="U146" s="318"/>
      <c r="V146" s="318"/>
    </row>
    <row r="147" spans="1:22" ht="16.5" customHeight="1" thickTop="1" thickBot="1" x14ac:dyDescent="0.4">
      <c r="A147" s="240" t="str">
        <f>ScheduleTBL!A146</f>
        <v>Recap</v>
      </c>
      <c r="B147" s="138" t="str">
        <f>ScheduleTBL!C146</f>
        <v>Recap – Offshore Wind Unique RD&amp;T</v>
      </c>
      <c r="C147" s="413">
        <f>ScheduleTBL!H146</f>
        <v>42782</v>
      </c>
      <c r="D147" s="143" t="str">
        <f>IF(ScheduleTBL!J146="NULL", "", ScheduleTBL!J146)</f>
        <v>Tech RD&amp;T and RC</v>
      </c>
      <c r="E147" s="143" t="str">
        <f>IF(ScheduleTBL!K146="NULL", "", ScheduleTBL!K146)</f>
        <v>OSW</v>
      </c>
      <c r="F147" s="287">
        <f>ScheduleTBL!F146</f>
        <v>0.64236111111111072</v>
      </c>
      <c r="G147" s="286">
        <f>ScheduleTBL!G146</f>
        <v>0.64583333333333293</v>
      </c>
      <c r="H147" s="143" t="str">
        <f>IF(ScheduleTBL!I146="NULL", "", ScheduleTBL!I146)</f>
        <v>Mezzanine 3</v>
      </c>
      <c r="I147" s="123" t="str">
        <f>IF(ScheduleTBL!P146="NULL", "", ScheduleTBL!P146)&amp; IF(ScheduleTBL!R146="NULL", "", ", "&amp; ScheduleTBL!R146)</f>
        <v>Alana Duerr, DOE</v>
      </c>
      <c r="J147" s="80" t="str">
        <f t="shared" si="22"/>
        <v/>
      </c>
      <c r="K147" s="78" t="str">
        <f>IF(ScheduleTBL!AM146="","",HYPERLINK(ScheduleTBL!AM146,K$2))</f>
        <v/>
      </c>
      <c r="L147" s="78" t="str">
        <f>IF(ScheduleTBL!AN146="","",HYPERLINK(ScheduleTBL!AN146,L$2))</f>
        <v/>
      </c>
      <c r="M147" s="80"/>
      <c r="N147" s="80"/>
      <c r="O147" s="389"/>
      <c r="P147" s="309"/>
      <c r="Q147" s="309"/>
      <c r="R147" s="309"/>
      <c r="S147" s="309"/>
      <c r="T147" s="309"/>
      <c r="U147" s="309"/>
      <c r="V147" s="309"/>
    </row>
    <row r="148" spans="1:22" x14ac:dyDescent="0.35">
      <c r="A148" s="243">
        <f>ScheduleTBL!A147</f>
        <v>242</v>
      </c>
      <c r="B148" s="142" t="str">
        <f>ScheduleTBL!C147</f>
        <v>Fishermen's Atlantic City Wind Farm</v>
      </c>
      <c r="C148" s="413">
        <f>ScheduleTBL!H147</f>
        <v>42782</v>
      </c>
      <c r="D148" s="153" t="str">
        <f>IF(ScheduleTBL!J147="NULL", "", ScheduleTBL!J147)</f>
        <v>Tech RD&amp;T and RC</v>
      </c>
      <c r="E148" s="142" t="str">
        <f>IF(ScheduleTBL!K147="NULL", "", ScheduleTBL!K147)</f>
        <v>OSW</v>
      </c>
      <c r="F148" s="287">
        <f>ScheduleTBL!F147</f>
        <v>0.64583333333333293</v>
      </c>
      <c r="G148" s="286">
        <f>ScheduleTBL!G147</f>
        <v>0.66319444444444398</v>
      </c>
      <c r="H148" s="142" t="str">
        <f>IF(ScheduleTBL!I147="NULL", "", ScheduleTBL!I147)</f>
        <v>Mezzanine 3</v>
      </c>
      <c r="I148" s="127" t="str">
        <f>IF(ScheduleTBL!P147="NULL", "", ScheduleTBL!P147)&amp; IF(ScheduleTBL!R147="NULL", "", ", "&amp; ScheduleTBL!R147)</f>
        <v>Chris Wissemann, Fishermen's Energy</v>
      </c>
      <c r="J148" s="80">
        <f t="shared" si="22"/>
        <v>242</v>
      </c>
      <c r="K148" s="78" t="str">
        <f>IF(ScheduleTBL!AM147="","",HYPERLINK(ScheduleTBL!AM147,K$2))</f>
        <v>Sum1</v>
      </c>
      <c r="L148" s="78" t="str">
        <f>IF(ScheduleTBL!AN147="","",HYPERLINK(ScheduleTBL!AN147,L$2))</f>
        <v>Pres1</v>
      </c>
      <c r="M148" s="80"/>
      <c r="N148" s="80"/>
      <c r="O148" s="389"/>
      <c r="P148" s="423" t="str">
        <f ca="1">IF(NOT(ISNUMBER($A148)), "", IF(ISERROR(INDEX(EvalDB!$I:$I, MATCH($A148, EvalDB!$A:$A, 0))), "", INDEX(EvalDB!$I:$I, MATCH($A148, EvalDB!$A:$A, 0))))</f>
        <v/>
      </c>
      <c r="Q148" s="424" t="str">
        <f ca="1">IF(NOT(ISNUMBER($A148)), "", IF(ISERROR(INDEX(EvalDB!$AB:$AB, MATCH($A148, EvalDB!$A:$A, 0))), "", INDEX(EvalDB!$AB:$AB, MATCH($A148, EvalDB!$A:$A, 0))))</f>
        <v/>
      </c>
      <c r="R148" s="424" t="str">
        <f ca="1">IF(NOT(ISNUMBER($A148)), "", IF(ISERROR(INDEX(EvalDB!$AU:$AU, MATCH($A148, EvalDB!$A:$A, 0))), "", INDEX(EvalDB!$AU:$AU, MATCH($A148, EvalDB!$A:$A, 0))))</f>
        <v/>
      </c>
      <c r="S148" s="424" t="str">
        <f ca="1">IF(NOT(ISNUMBER($A148)), "", IF(ISERROR(INDEX(EvalDB!$BN:$BN, MATCH($A148, EvalDB!$A:$A, 0))), "", INDEX(EvalDB!$BN:$BN, MATCH($A148, EvalDB!$A:$A, 0))))</f>
        <v/>
      </c>
      <c r="T148" s="424" t="str">
        <f ca="1">IF(NOT(ISNUMBER($A148)), "", IF(ISERROR(INDEX(EvalDB!$CG:$CG, MATCH($A148, EvalDB!$A:$A, 0))), "", INDEX(EvalDB!$CG:$CG, MATCH($A148, EvalDB!$A:$A, 0))))</f>
        <v/>
      </c>
      <c r="U148" s="424" t="str">
        <f ca="1">IF(NOT(ISNUMBER($A148)), "", IF(ISERROR(INDEX(EvalDB!$CZ:$CZ, MATCH($A148, EvalDB!$A:$A, 0))), "", INDEX(EvalDB!$CZ:$CZ, MATCH($A148, EvalDB!$A:$A, 0))))</f>
        <v/>
      </c>
      <c r="V148" s="424" t="e">
        <f t="shared" ref="V148:V149" ca="1" si="24">AVERAGE(P148:U148)</f>
        <v>#DIV/0!</v>
      </c>
    </row>
    <row r="149" spans="1:22" x14ac:dyDescent="0.35">
      <c r="A149" s="243">
        <f>ScheduleTBL!A148</f>
        <v>249</v>
      </c>
      <c r="B149" s="229" t="str">
        <f>ScheduleTBL!C148</f>
        <v>Project Icebreaker</v>
      </c>
      <c r="C149" s="413">
        <f>ScheduleTBL!H148</f>
        <v>42782</v>
      </c>
      <c r="D149" s="328" t="str">
        <f>IF(ScheduleTBL!J148="NULL", "", ScheduleTBL!J148)</f>
        <v>Tech RD&amp;T and RC</v>
      </c>
      <c r="E149" s="229" t="str">
        <f>IF(ScheduleTBL!K148="NULL", "", ScheduleTBL!K148)</f>
        <v>OSW</v>
      </c>
      <c r="F149" s="287">
        <f>ScheduleTBL!F148</f>
        <v>0.66319444444444398</v>
      </c>
      <c r="G149" s="286">
        <f>ScheduleTBL!G148</f>
        <v>0.68055555555555503</v>
      </c>
      <c r="H149" s="229" t="str">
        <f>IF(ScheduleTBL!I148="NULL", "", ScheduleTBL!I148)</f>
        <v>Mezzanine 3</v>
      </c>
      <c r="I149" s="303" t="str">
        <f>IF(ScheduleTBL!P148="NULL", "", ScheduleTBL!P148)&amp; IF(ScheduleTBL!R148="NULL", "", ", "&amp; ScheduleTBL!R148)</f>
        <v>Dave Karpinski, Lake Erie Energy Development Corporation</v>
      </c>
      <c r="J149" s="80">
        <f t="shared" si="22"/>
        <v>249</v>
      </c>
      <c r="K149" s="78" t="str">
        <f>IF(ScheduleTBL!AM148="","",HYPERLINK(ScheduleTBL!AM148,K$2))</f>
        <v>Sum1</v>
      </c>
      <c r="L149" s="78" t="str">
        <f>IF(ScheduleTBL!AN148="","",HYPERLINK(ScheduleTBL!AN148,L$2))</f>
        <v>Pres1</v>
      </c>
      <c r="M149" s="80"/>
      <c r="N149" s="80"/>
      <c r="O149" s="389"/>
      <c r="P149" s="423" t="str">
        <f ca="1">IF(NOT(ISNUMBER($A149)), "", IF(ISERROR(INDEX(EvalDB!$I:$I, MATCH($A149, EvalDB!$A:$A, 0))), "", INDEX(EvalDB!$I:$I, MATCH($A149, EvalDB!$A:$A, 0))))</f>
        <v/>
      </c>
      <c r="Q149" s="424" t="str">
        <f ca="1">IF(NOT(ISNUMBER($A149)), "", IF(ISERROR(INDEX(EvalDB!$AB:$AB, MATCH($A149, EvalDB!$A:$A, 0))), "", INDEX(EvalDB!$AB:$AB, MATCH($A149, EvalDB!$A:$A, 0))))</f>
        <v/>
      </c>
      <c r="R149" s="424" t="str">
        <f ca="1">IF(NOT(ISNUMBER($A149)), "", IF(ISERROR(INDEX(EvalDB!$AU:$AU, MATCH($A149, EvalDB!$A:$A, 0))), "", INDEX(EvalDB!$AU:$AU, MATCH($A149, EvalDB!$A:$A, 0))))</f>
        <v/>
      </c>
      <c r="S149" s="424" t="str">
        <f ca="1">IF(NOT(ISNUMBER($A149)), "", IF(ISERROR(INDEX(EvalDB!$BN:$BN, MATCH($A149, EvalDB!$A:$A, 0))), "", INDEX(EvalDB!$BN:$BN, MATCH($A149, EvalDB!$A:$A, 0))))</f>
        <v/>
      </c>
      <c r="T149" s="424" t="str">
        <f ca="1">IF(NOT(ISNUMBER($A149)), "", IF(ISERROR(INDEX(EvalDB!$CG:$CG, MATCH($A149, EvalDB!$A:$A, 0))), "", INDEX(EvalDB!$CG:$CG, MATCH($A149, EvalDB!$A:$A, 0))))</f>
        <v/>
      </c>
      <c r="U149" s="424" t="str">
        <f ca="1">IF(NOT(ISNUMBER($A149)), "", IF(ISERROR(INDEX(EvalDB!$CZ:$CZ, MATCH($A149, EvalDB!$A:$A, 0))), "", INDEX(EvalDB!$CZ:$CZ, MATCH($A149, EvalDB!$A:$A, 0))))</f>
        <v/>
      </c>
      <c r="V149" s="424" t="e">
        <f t="shared" ca="1" si="24"/>
        <v>#DIV/0!</v>
      </c>
    </row>
    <row r="150" spans="1:22" ht="15" customHeight="1" x14ac:dyDescent="0.35">
      <c r="A150" s="240" t="str">
        <f>ScheduleTBL!A149</f>
        <v>General</v>
      </c>
      <c r="B150" s="268" t="str">
        <f>ScheduleTBL!C149</f>
        <v>Closing Thoughts-Chairperson  (Tech RD&amp;T and RC)</v>
      </c>
      <c r="C150" s="413">
        <f>ScheduleTBL!H149</f>
        <v>42782</v>
      </c>
      <c r="D150" s="329" t="str">
        <f>IF(ScheduleTBL!J149="NULL", "", ScheduleTBL!J149)</f>
        <v>Tech RD&amp;T and RC</v>
      </c>
      <c r="E150" s="269" t="str">
        <f>IF(ScheduleTBL!K149="NULL", "", ScheduleTBL!K149)</f>
        <v/>
      </c>
      <c r="F150" s="287">
        <f>ScheduleTBL!F149</f>
        <v>0.68055555555555503</v>
      </c>
      <c r="G150" s="286">
        <f>ScheduleTBL!G149</f>
        <v>0.69097222222222165</v>
      </c>
      <c r="H150" s="269" t="str">
        <f>IF(ScheduleTBL!I149="NULL", "", ScheduleTBL!I149)</f>
        <v>Mezzanine 3</v>
      </c>
      <c r="I150" s="269" t="str">
        <f>IF(ScheduleTBL!P149="NULL", "", ScheduleTBL!P149)&amp; IF(ScheduleTBL!R149="NULL", "", ", "&amp; ScheduleTBL!R149)</f>
        <v>Sandy Butterfield, Chair</v>
      </c>
      <c r="J150" s="80" t="str">
        <f t="shared" si="22"/>
        <v/>
      </c>
      <c r="K150" s="78" t="str">
        <f>IF(ScheduleTBL!AM149="","",HYPERLINK(ScheduleTBL!AM149,K$2))</f>
        <v/>
      </c>
      <c r="L150" s="78" t="str">
        <f>IF(ScheduleTBL!AN149="","",HYPERLINK(ScheduleTBL!AN149,L$2))</f>
        <v/>
      </c>
      <c r="M150" s="80"/>
      <c r="N150" s="80"/>
      <c r="O150" s="389"/>
      <c r="P150" s="316"/>
      <c r="Q150" s="316"/>
      <c r="R150" s="316"/>
      <c r="S150" s="316"/>
      <c r="T150" s="316"/>
      <c r="U150" s="316"/>
      <c r="V150" s="316"/>
    </row>
    <row r="151" spans="1:22" ht="15.75" customHeight="1" thickBot="1" x14ac:dyDescent="0.4">
      <c r="A151" s="339" t="str">
        <f>ScheduleTBL!A150</f>
        <v>General</v>
      </c>
      <c r="B151" s="373" t="str">
        <f>ScheduleTBL!C150</f>
        <v>Closing Thoughts-Director (Tech RD&amp;T and RC)</v>
      </c>
      <c r="C151" s="414">
        <f>ScheduleTBL!H150</f>
        <v>42782</v>
      </c>
      <c r="D151" s="374" t="str">
        <f>IF(ScheduleTBL!J150="NULL", "", ScheduleTBL!J150)</f>
        <v>Tech RD&amp;T and RC</v>
      </c>
      <c r="E151" s="375" t="str">
        <f>IF(ScheduleTBL!K150="NULL", "", ScheduleTBL!K150)</f>
        <v/>
      </c>
      <c r="F151" s="352">
        <f>ScheduleTBL!F150</f>
        <v>0.69097222222222165</v>
      </c>
      <c r="G151" s="353" t="s">
        <v>334</v>
      </c>
      <c r="H151" s="375" t="str">
        <f>IF(ScheduleTBL!I150="NULL", "", ScheduleTBL!I150)</f>
        <v>Mezzanine 3</v>
      </c>
      <c r="I151" s="375" t="str">
        <f>IF(ScheduleTBL!P150="NULL", "", ScheduleTBL!P150)&amp; IF(ScheduleTBL!R150="NULL", "", ", "&amp; ScheduleTBL!R150)</f>
        <v>Jose Zayas, DOE</v>
      </c>
      <c r="J151" s="371" t="str">
        <f t="shared" si="22"/>
        <v/>
      </c>
      <c r="K151" s="345" t="str">
        <f>IF(ScheduleTBL!AM150="","",HYPERLINK(ScheduleTBL!AM150,K$2))</f>
        <v/>
      </c>
      <c r="L151" s="345" t="str">
        <f>IF(ScheduleTBL!AN150="","",HYPERLINK(ScheduleTBL!AN150,L$2))</f>
        <v/>
      </c>
      <c r="M151" s="80"/>
      <c r="N151" s="80"/>
      <c r="O151" s="389"/>
      <c r="P151" s="312"/>
      <c r="Q151" s="312"/>
      <c r="R151" s="312"/>
      <c r="S151" s="312"/>
      <c r="T151" s="312"/>
      <c r="U151" s="312"/>
      <c r="V151" s="312"/>
    </row>
    <row r="152" spans="1:22" ht="15" customHeight="1" x14ac:dyDescent="0.35">
      <c r="A152" s="333" t="str">
        <f>ScheduleTBL!A151</f>
        <v>Wrap-up</v>
      </c>
      <c r="B152" s="346" t="str">
        <f>ScheduleTBL!C151</f>
        <v>Breakfast</v>
      </c>
      <c r="C152" s="415">
        <f>ScheduleTBL!H151</f>
        <v>42783</v>
      </c>
      <c r="D152" s="372" t="str">
        <f>IF(ScheduleTBL!J151="NULL", "", ScheduleTBL!J151)</f>
        <v>Tech RD&amp;T and RC</v>
      </c>
      <c r="E152" s="347" t="str">
        <f>IF(ScheduleTBL!K151="NULL", "", ScheduleTBL!K151)</f>
        <v/>
      </c>
      <c r="F152" s="337">
        <f>ScheduleTBL!F151</f>
        <v>0.33333333333333331</v>
      </c>
      <c r="G152" s="295">
        <f>ScheduleTBL!G151</f>
        <v>0.375</v>
      </c>
      <c r="H152" s="347" t="str">
        <f>IF(ScheduleTBL!I151="NULL", "", ScheduleTBL!I151)</f>
        <v>Commonwealth Ballroom</v>
      </c>
      <c r="I152" s="348" t="str">
        <f>IF(ScheduleTBL!P151="NULL", "", ScheduleTBL!P151)&amp; IF(ScheduleTBL!R151="NULL", "", ", "&amp; ScheduleTBL!R151)</f>
        <v/>
      </c>
      <c r="J152" s="92" t="str">
        <f t="shared" si="22"/>
        <v/>
      </c>
      <c r="K152" s="91" t="str">
        <f>IF(ScheduleTBL!AM151="","",HYPERLINK(ScheduleTBL!AM151,K$2))</f>
        <v/>
      </c>
      <c r="L152" s="91" t="str">
        <f>IF(ScheduleTBL!AN151="","",HYPERLINK(ScheduleTBL!AN151,L$2))</f>
        <v/>
      </c>
      <c r="M152" s="80"/>
      <c r="N152" s="80"/>
      <c r="O152" s="389"/>
      <c r="P152" s="332"/>
      <c r="Q152" s="332"/>
      <c r="R152" s="332"/>
      <c r="S152" s="332"/>
      <c r="T152" s="332"/>
      <c r="U152" s="332"/>
      <c r="V152" s="332"/>
    </row>
    <row r="153" spans="1:22" ht="15" customHeight="1" x14ac:dyDescent="0.35">
      <c r="A153" s="240" t="str">
        <f>ScheduleTBL!A152</f>
        <v>Wrap-up</v>
      </c>
      <c r="B153" s="130" t="str">
        <f>ScheduleTBL!C152</f>
        <v>BREAK</v>
      </c>
      <c r="C153" s="413">
        <f>ScheduleTBL!H152</f>
        <v>42783</v>
      </c>
      <c r="D153" s="130" t="str">
        <f>IF(ScheduleTBL!J152="NULL", "", ScheduleTBL!J152)</f>
        <v>Tech RD&amp;T and RC</v>
      </c>
      <c r="E153" s="130" t="str">
        <f>IF(ScheduleTBL!K152="NULL", "", ScheduleTBL!K152)</f>
        <v/>
      </c>
      <c r="F153" s="298">
        <f>ScheduleTBL!F152</f>
        <v>0.375</v>
      </c>
      <c r="G153" s="299">
        <f>ScheduleTBL!G152</f>
        <v>0.38541666666666669</v>
      </c>
      <c r="H153" s="130" t="str">
        <f>IF(ScheduleTBL!I152="NULL", "", ScheduleTBL!I152)</f>
        <v>Foyer</v>
      </c>
      <c r="I153" s="130" t="str">
        <f>IF(ScheduleTBL!P152="NULL", "", ScheduleTBL!P152)&amp; IF(ScheduleTBL!R152="NULL", "", ", "&amp; ScheduleTBL!R152)</f>
        <v/>
      </c>
      <c r="J153" s="79" t="str">
        <f t="shared" si="22"/>
        <v/>
      </c>
      <c r="K153" s="78" t="str">
        <f>IF(ScheduleTBL!AM152="","",HYPERLINK(ScheduleTBL!AM152,K$2))</f>
        <v/>
      </c>
      <c r="L153" s="78" t="str">
        <f>IF(ScheduleTBL!AN152="","",HYPERLINK(ScheduleTBL!AN152,L$2))</f>
        <v/>
      </c>
      <c r="M153" s="79"/>
      <c r="N153" s="79"/>
      <c r="O153" s="416"/>
      <c r="P153" s="332"/>
      <c r="Q153" s="332"/>
      <c r="R153" s="332"/>
      <c r="S153" s="332"/>
      <c r="T153" s="332"/>
      <c r="U153" s="332"/>
      <c r="V153" s="332"/>
    </row>
    <row r="154" spans="1:22" ht="15" customHeight="1" x14ac:dyDescent="0.35">
      <c r="A154" s="240" t="str">
        <f>ScheduleTBL!A153</f>
        <v>Wrap-up</v>
      </c>
      <c r="B154" s="274" t="str">
        <f>ScheduleTBL!C153</f>
        <v>Tech RD&amp;T and RC Panel Debrief (closed session)</v>
      </c>
      <c r="C154" s="413">
        <f>ScheduleTBL!H153</f>
        <v>42783</v>
      </c>
      <c r="D154" s="133" t="str">
        <f>IF(ScheduleTBL!J153="NULL", "", ScheduleTBL!J153)</f>
        <v>Tech RD&amp;T and RC</v>
      </c>
      <c r="E154" s="275" t="str">
        <f>IF(ScheduleTBL!K153="NULL", "", ScheduleTBL!K153)</f>
        <v/>
      </c>
      <c r="F154" s="287">
        <f>ScheduleTBL!F153</f>
        <v>0.38541666666666669</v>
      </c>
      <c r="G154" s="286">
        <f>ScheduleTBL!G153</f>
        <v>0.42708333333333337</v>
      </c>
      <c r="H154" s="275" t="str">
        <f>IF(ScheduleTBL!I153="NULL", "", ScheduleTBL!I153)</f>
        <v>Mezzanine 1</v>
      </c>
      <c r="I154" s="275" t="str">
        <f>IF(ScheduleTBL!P153="NULL", "", ScheduleTBL!P153)&amp; IF(ScheduleTBL!R153="NULL", "", ", "&amp; ScheduleTBL!R153)</f>
        <v>Sandy Butterfield, Chair</v>
      </c>
      <c r="J154" s="80" t="str">
        <f t="shared" si="22"/>
        <v/>
      </c>
      <c r="K154" s="78" t="str">
        <f>IF(ScheduleTBL!AM153="","",HYPERLINK(ScheduleTBL!AM153,K$2))</f>
        <v/>
      </c>
      <c r="L154" s="78" t="str">
        <f>IF(ScheduleTBL!AN153="","",HYPERLINK(ScheduleTBL!AN153,L$2))</f>
        <v/>
      </c>
      <c r="M154" s="80"/>
      <c r="N154" s="80"/>
      <c r="O154" s="389"/>
      <c r="P154" s="332"/>
      <c r="Q154" s="332"/>
      <c r="R154" s="332"/>
      <c r="S154" s="332"/>
      <c r="T154" s="332"/>
      <c r="U154" s="332"/>
      <c r="V154" s="332"/>
    </row>
    <row r="155" spans="1:22" ht="15" customHeight="1" x14ac:dyDescent="0.35">
      <c r="A155" s="240" t="str">
        <f>ScheduleTBL!A154</f>
        <v>Wrap-up</v>
      </c>
      <c r="B155" s="130" t="str">
        <f>ScheduleTBL!C154</f>
        <v>BREAK</v>
      </c>
      <c r="C155" s="413">
        <f>ScheduleTBL!H154</f>
        <v>42783</v>
      </c>
      <c r="D155" s="130" t="str">
        <f>IF(ScheduleTBL!J154="NULL", "", ScheduleTBL!J154)</f>
        <v>Tech RD&amp;T and RC</v>
      </c>
      <c r="E155" s="130" t="str">
        <f>IF(ScheduleTBL!K154="NULL", "", ScheduleTBL!K154)</f>
        <v/>
      </c>
      <c r="F155" s="298">
        <f>ScheduleTBL!F154</f>
        <v>0.42708333333333337</v>
      </c>
      <c r="G155" s="299">
        <f>ScheduleTBL!G154</f>
        <v>0.43750000000000006</v>
      </c>
      <c r="H155" s="130" t="str">
        <f>IF(ScheduleTBL!I154="NULL", "", ScheduleTBL!I154)</f>
        <v>Foyer</v>
      </c>
      <c r="I155" s="130" t="str">
        <f>IF(ScheduleTBL!P154="NULL", "", ScheduleTBL!P154)&amp; IF(ScheduleTBL!R154="NULL", "", ", "&amp; ScheduleTBL!R154)</f>
        <v/>
      </c>
      <c r="J155" s="80" t="str">
        <f t="shared" si="22"/>
        <v/>
      </c>
      <c r="K155" s="78" t="str">
        <f>IF(ScheduleTBL!AM154="","",HYPERLINK(ScheduleTBL!AM154,K$2))</f>
        <v/>
      </c>
      <c r="L155" s="78" t="str">
        <f>IF(ScheduleTBL!AN154="","",HYPERLINK(ScheduleTBL!AN154,L$2))</f>
        <v/>
      </c>
      <c r="M155" s="80"/>
      <c r="N155" s="80"/>
      <c r="O155" s="389"/>
      <c r="P155" s="332"/>
      <c r="Q155" s="332"/>
      <c r="R155" s="332"/>
      <c r="S155" s="332"/>
      <c r="T155" s="332"/>
      <c r="U155" s="332"/>
      <c r="V155" s="332"/>
    </row>
    <row r="156" spans="1:22" ht="15" customHeight="1" x14ac:dyDescent="0.35">
      <c r="A156" s="240" t="str">
        <f>ScheduleTBL!A155</f>
        <v>Wrap-up</v>
      </c>
      <c r="B156" s="277" t="str">
        <f>ScheduleTBL!C155</f>
        <v>Tech R&amp;T / DOE Debrief</v>
      </c>
      <c r="C156" s="413">
        <f>ScheduleTBL!H155</f>
        <v>42783</v>
      </c>
      <c r="D156" s="153" t="str">
        <f>IF(ScheduleTBL!J155="NULL", "", ScheduleTBL!J155)</f>
        <v>Tech RD&amp;T and RC</v>
      </c>
      <c r="E156" s="300" t="str">
        <f>IF(ScheduleTBL!K155="NULL", "", ScheduleTBL!K155)</f>
        <v/>
      </c>
      <c r="F156" s="287">
        <f>ScheduleTBL!F155</f>
        <v>0.43750000000000006</v>
      </c>
      <c r="G156" s="286">
        <f>ScheduleTBL!G155</f>
        <v>0.47916666666666674</v>
      </c>
      <c r="H156" s="300" t="str">
        <f>IF(ScheduleTBL!I155="NULL", "", ScheduleTBL!I155)</f>
        <v>Cavalier C</v>
      </c>
      <c r="I156" s="275" t="str">
        <f>IF(ScheduleTBL!P155="NULL", "", ScheduleTBL!P155)&amp; IF(ScheduleTBL!R155="NULL", "", ", "&amp; ScheduleTBL!R155)</f>
        <v>Sandy Butterfield, Chair</v>
      </c>
      <c r="J156" s="80" t="str">
        <f t="shared" si="22"/>
        <v/>
      </c>
      <c r="K156" s="78" t="str">
        <f>IF(ScheduleTBL!AM155="","",HYPERLINK(ScheduleTBL!AM155,K$2))</f>
        <v/>
      </c>
      <c r="L156" s="78" t="str">
        <f>IF(ScheduleTBL!AN155="","",HYPERLINK(ScheduleTBL!AN155,L$2))</f>
        <v/>
      </c>
      <c r="M156" s="80"/>
      <c r="N156" s="80"/>
      <c r="O156" s="389"/>
      <c r="P156" s="332"/>
      <c r="Q156" s="332"/>
      <c r="R156" s="332"/>
      <c r="S156" s="332"/>
      <c r="T156" s="332"/>
      <c r="U156" s="332"/>
      <c r="V156" s="332"/>
    </row>
    <row r="157" spans="1:22" ht="15.75" customHeight="1" thickBot="1" x14ac:dyDescent="0.4">
      <c r="A157" s="339" t="str">
        <f>ScheduleTBL!A156</f>
        <v>Wrap-up</v>
      </c>
      <c r="B157" s="361" t="str">
        <f>ScheduleTBL!C156</f>
        <v>All Panels Debrief with ALL DOE (working lunch)</v>
      </c>
      <c r="C157" s="414">
        <f>ScheduleTBL!H156</f>
        <v>42783</v>
      </c>
      <c r="D157" s="362" t="str">
        <f>IF(ScheduleTBL!J156="NULL", "", ScheduleTBL!J156)</f>
        <v>Tech RD&amp;T and RC</v>
      </c>
      <c r="E157" s="362" t="str">
        <f>IF(ScheduleTBL!K156="NULL", "", ScheduleTBL!K156)</f>
        <v/>
      </c>
      <c r="F157" s="363">
        <f>ScheduleTBL!F156</f>
        <v>0.47916666666666674</v>
      </c>
      <c r="G157" s="364">
        <f>ScheduleTBL!G156</f>
        <v>0.52083333333333337</v>
      </c>
      <c r="H157" s="362" t="str">
        <f>IF(ScheduleTBL!I156="NULL", "", ScheduleTBL!I156)</f>
        <v>Cavalier C</v>
      </c>
      <c r="I157" s="365" t="str">
        <f>IF(ScheduleTBL!P156="NULL", "", ScheduleTBL!P156)&amp; IF(ScheduleTBL!R156="NULL", "", ", "&amp; ScheduleTBL!R156)</f>
        <v>Sandy Butterfield and Stu Webster, Chairs</v>
      </c>
      <c r="J157" s="371" t="str">
        <f t="shared" si="22"/>
        <v/>
      </c>
      <c r="K157" s="345" t="str">
        <f>IF(ScheduleTBL!AM156="","",HYPERLINK(ScheduleTBL!AM156,K$2))</f>
        <v/>
      </c>
      <c r="L157" s="345" t="str">
        <f>IF(ScheduleTBL!AN156="","",HYPERLINK(ScheduleTBL!AN156,L$2))</f>
        <v/>
      </c>
      <c r="M157" s="80"/>
      <c r="N157" s="80"/>
      <c r="O157" s="389"/>
      <c r="P157" s="332"/>
      <c r="Q157" s="332"/>
      <c r="R157" s="332"/>
      <c r="S157" s="332"/>
      <c r="T157" s="332"/>
      <c r="U157" s="332"/>
      <c r="V157" s="332"/>
    </row>
  </sheetData>
  <sheetProtection autoFilter="0"/>
  <autoFilter ref="A2:V157">
    <filterColumn colId="3">
      <filters>
        <filter val="Tech RD&amp;T and RC"/>
      </filters>
    </filterColumn>
  </autoFilter>
  <conditionalFormatting sqref="C5:C157">
    <cfRule type="containsText" dxfId="133" priority="8" operator="containsText" text="Sun">
      <formula>NOT(ISERROR(SEARCH("Sun",C5)))</formula>
    </cfRule>
    <cfRule type="containsText" dxfId="132" priority="9" operator="containsText" text="Sat">
      <formula>NOT(ISERROR(SEARCH("Sat",C5)))</formula>
    </cfRule>
    <cfRule type="cellIs" dxfId="131" priority="10" operator="equal">
      <formula>42783</formula>
    </cfRule>
    <cfRule type="cellIs" dxfId="130" priority="11" operator="equal">
      <formula>42782</formula>
    </cfRule>
    <cfRule type="cellIs" dxfId="129" priority="12" operator="equal">
      <formula>42781</formula>
    </cfRule>
    <cfRule type="cellIs" dxfId="128" priority="13" operator="equal">
      <formula>42780</formula>
    </cfRule>
    <cfRule type="cellIs" dxfId="127" priority="14" operator="equal">
      <formula>42779</formula>
    </cfRule>
  </conditionalFormatting>
  <conditionalFormatting sqref="C3:C4">
    <cfRule type="containsText" dxfId="126" priority="1" operator="containsText" text="Sun">
      <formula>NOT(ISERROR(SEARCH("Sun",C3)))</formula>
    </cfRule>
    <cfRule type="containsText" dxfId="125" priority="2" operator="containsText" text="Sat">
      <formula>NOT(ISERROR(SEARCH("Sat",C3)))</formula>
    </cfRule>
    <cfRule type="cellIs" dxfId="124" priority="3" operator="equal">
      <formula>42783</formula>
    </cfRule>
    <cfRule type="cellIs" dxfId="123" priority="4" operator="equal">
      <formula>42782</formula>
    </cfRule>
    <cfRule type="cellIs" dxfId="122" priority="5" operator="equal">
      <formula>42781</formula>
    </cfRule>
    <cfRule type="cellIs" dxfId="121" priority="6" operator="equal">
      <formula>42780</formula>
    </cfRule>
    <cfRule type="cellIs" dxfId="120" priority="7" operator="equal">
      <formula>42779</formula>
    </cfRule>
  </conditionalFormatting>
  <dataValidations disablePrompts="1" count="1">
    <dataValidation type="list" allowBlank="1" showInputMessage="1" showErrorMessage="1" sqref="B1">
      <formula1>Reviewers</formula1>
    </dataValidation>
  </dataValidations>
  <pageMargins left="0.7" right="0.7" top="0.75" bottom="0.75" header="0.3" footer="0.3"/>
  <pageSetup orientation="portrait" horizontalDpi="4294967294"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6" tint="0.39997558519241921"/>
  </sheetPr>
  <dimension ref="A1:H138"/>
  <sheetViews>
    <sheetView showGridLines="0" zoomScaleNormal="100" workbookViewId="0">
      <selection activeCell="F16" sqref="F16"/>
    </sheetView>
  </sheetViews>
  <sheetFormatPr defaultColWidth="8.81640625" defaultRowHeight="14" x14ac:dyDescent="0.3"/>
  <cols>
    <col min="1" max="1" width="6.1796875" style="3" customWidth="1"/>
    <col min="2" max="2" width="12.26953125" style="1" customWidth="1"/>
    <col min="3" max="3" width="55.7265625" style="3" customWidth="1"/>
    <col min="4" max="4" width="16.7265625" style="3" customWidth="1"/>
    <col min="5" max="5" width="38.54296875" style="3" customWidth="1"/>
    <col min="6" max="6" width="9.7265625" style="3" customWidth="1"/>
    <col min="7" max="7" width="1.7265625" style="3" customWidth="1"/>
    <col min="8" max="8" width="70.7265625" style="3" customWidth="1"/>
    <col min="9" max="16384" width="8.81640625" style="3"/>
  </cols>
  <sheetData>
    <row r="1" spans="1:8" s="32" customFormat="1" ht="22.5" customHeight="1" x14ac:dyDescent="0.35">
      <c r="A1" s="31"/>
      <c r="B1" s="31"/>
      <c r="C1" s="30" t="s">
        <v>773</v>
      </c>
      <c r="D1" s="30"/>
      <c r="E1" s="30"/>
      <c r="F1" s="33" t="s">
        <v>110</v>
      </c>
      <c r="H1" s="94" t="s">
        <v>438</v>
      </c>
    </row>
    <row r="2" spans="1:8" s="32" customFormat="1" ht="22.5" customHeight="1" x14ac:dyDescent="0.35">
      <c r="A2" s="31"/>
      <c r="B2" s="31"/>
      <c r="C2" s="47" t="s">
        <v>337</v>
      </c>
      <c r="D2" s="30"/>
      <c r="E2" s="30"/>
      <c r="F2" s="33" t="s">
        <v>111</v>
      </c>
      <c r="H2" s="430">
        <v>0</v>
      </c>
    </row>
    <row r="3" spans="1:8" s="32" customFormat="1" ht="42" customHeight="1" x14ac:dyDescent="0.35">
      <c r="A3" s="53"/>
      <c r="B3" s="54"/>
      <c r="C3" s="65" t="s">
        <v>787</v>
      </c>
      <c r="D3" s="54"/>
      <c r="E3" s="54"/>
      <c r="F3" s="62" t="s">
        <v>831</v>
      </c>
      <c r="H3" s="430"/>
    </row>
    <row r="4" spans="1:8" ht="18" customHeight="1" x14ac:dyDescent="0.3">
      <c r="A4" s="16"/>
      <c r="B4" s="17" t="s">
        <v>0</v>
      </c>
      <c r="C4" s="419" t="s">
        <v>594</v>
      </c>
      <c r="D4" s="18" t="s">
        <v>35</v>
      </c>
      <c r="E4" s="67" t="s">
        <v>791</v>
      </c>
      <c r="F4" s="63" t="s">
        <v>338</v>
      </c>
      <c r="H4" s="430"/>
    </row>
    <row r="5" spans="1:8" ht="18" customHeight="1" x14ac:dyDescent="0.3">
      <c r="A5" s="45"/>
      <c r="B5" s="45" t="s">
        <v>1</v>
      </c>
      <c r="C5" s="66" t="s">
        <v>573</v>
      </c>
      <c r="D5" s="46" t="s">
        <v>427</v>
      </c>
      <c r="E5" s="166" t="s">
        <v>832</v>
      </c>
      <c r="F5" s="64" t="s">
        <v>339</v>
      </c>
      <c r="H5" s="430"/>
    </row>
    <row r="6" spans="1:8" ht="15" customHeight="1" x14ac:dyDescent="0.3">
      <c r="A6" s="95" t="s">
        <v>439</v>
      </c>
      <c r="B6" s="96"/>
      <c r="C6" s="97"/>
      <c r="D6" s="99" t="s">
        <v>432</v>
      </c>
      <c r="E6" s="455" t="s">
        <v>449</v>
      </c>
      <c r="F6" s="81" t="s">
        <v>423</v>
      </c>
      <c r="H6" s="430"/>
    </row>
    <row r="7" spans="1:8" ht="15" customHeight="1" thickBot="1" x14ac:dyDescent="0.35">
      <c r="A7" s="95" t="s">
        <v>2</v>
      </c>
      <c r="B7" s="96"/>
      <c r="C7" s="98"/>
      <c r="D7" s="425" t="s">
        <v>423</v>
      </c>
      <c r="E7" s="456"/>
      <c r="F7" s="82" t="s">
        <v>423</v>
      </c>
      <c r="H7" s="430"/>
    </row>
    <row r="8" spans="1:8" ht="39" x14ac:dyDescent="0.3">
      <c r="A8" s="22" t="s">
        <v>9</v>
      </c>
      <c r="B8" s="427" t="s">
        <v>780</v>
      </c>
      <c r="C8" s="427"/>
      <c r="D8" s="427"/>
      <c r="E8" s="429"/>
      <c r="F8" s="20" t="s">
        <v>42</v>
      </c>
      <c r="H8" s="430"/>
    </row>
    <row r="9" spans="1:8" s="4" customFormat="1" ht="12.75" customHeight="1" x14ac:dyDescent="0.35">
      <c r="A9" s="35" t="s">
        <v>4</v>
      </c>
      <c r="B9" s="36" t="s">
        <v>11</v>
      </c>
      <c r="C9" s="37" t="s">
        <v>775</v>
      </c>
      <c r="D9" s="10"/>
      <c r="E9" s="38"/>
      <c r="F9" s="9"/>
      <c r="H9" s="430"/>
    </row>
    <row r="10" spans="1:8" s="4" customFormat="1" ht="12.75" customHeight="1" thickBot="1" x14ac:dyDescent="0.3">
      <c r="A10" s="35" t="s">
        <v>5</v>
      </c>
      <c r="B10" s="36" t="s">
        <v>12</v>
      </c>
      <c r="C10" s="37" t="s">
        <v>776</v>
      </c>
      <c r="D10" s="10"/>
      <c r="E10" s="38"/>
      <c r="F10" s="21" t="s">
        <v>3</v>
      </c>
      <c r="H10" s="94" t="s">
        <v>440</v>
      </c>
    </row>
    <row r="11" spans="1:8" s="4" customFormat="1" ht="12.75" customHeight="1" x14ac:dyDescent="0.35">
      <c r="A11" s="35" t="s">
        <v>6</v>
      </c>
      <c r="B11" s="36" t="s">
        <v>13</v>
      </c>
      <c r="C11" s="37" t="s">
        <v>777</v>
      </c>
      <c r="D11" s="39"/>
      <c r="E11" s="7"/>
      <c r="F11" s="446">
        <v>4.5</v>
      </c>
      <c r="H11" s="100" t="s">
        <v>781</v>
      </c>
    </row>
    <row r="12" spans="1:8" s="4" customFormat="1" ht="12.75" customHeight="1" x14ac:dyDescent="0.35">
      <c r="A12" s="35" t="s">
        <v>7</v>
      </c>
      <c r="B12" s="36" t="s">
        <v>14</v>
      </c>
      <c r="C12" s="37" t="s">
        <v>778</v>
      </c>
      <c r="D12" s="39"/>
      <c r="E12" s="7"/>
      <c r="F12" s="447"/>
      <c r="H12" s="100" t="s">
        <v>782</v>
      </c>
    </row>
    <row r="13" spans="1:8" s="4" customFormat="1" ht="12.75" customHeight="1" thickBot="1" x14ac:dyDescent="0.4">
      <c r="A13" s="35" t="s">
        <v>8</v>
      </c>
      <c r="B13" s="36" t="s">
        <v>15</v>
      </c>
      <c r="C13" s="37" t="s">
        <v>779</v>
      </c>
      <c r="D13" s="39"/>
      <c r="E13" s="7"/>
      <c r="F13" s="448"/>
      <c r="H13" s="100"/>
    </row>
    <row r="14" spans="1:8" s="4" customFormat="1" ht="12.75" customHeight="1" x14ac:dyDescent="0.25">
      <c r="A14" s="381"/>
      <c r="B14" s="382" t="s">
        <v>428</v>
      </c>
      <c r="C14" s="443"/>
      <c r="D14" s="443"/>
      <c r="E14" s="443"/>
      <c r="F14" s="444"/>
    </row>
    <row r="15" spans="1:8" s="8" customFormat="1" ht="24" customHeight="1" x14ac:dyDescent="0.3">
      <c r="A15" s="69" t="s">
        <v>223</v>
      </c>
      <c r="B15" s="70" t="s">
        <v>45</v>
      </c>
      <c r="C15" s="71"/>
      <c r="D15" s="71"/>
      <c r="E15" s="71"/>
      <c r="F15" s="68" t="s">
        <v>335</v>
      </c>
      <c r="G15" s="48"/>
      <c r="H15" s="94" t="s">
        <v>441</v>
      </c>
    </row>
    <row r="16" spans="1:8" s="4" customFormat="1" ht="24" customHeight="1" x14ac:dyDescent="0.35">
      <c r="A16" s="19"/>
      <c r="B16" s="452" t="s">
        <v>792</v>
      </c>
      <c r="C16" s="453"/>
      <c r="D16" s="453"/>
      <c r="E16" s="454"/>
      <c r="F16" s="23" t="s">
        <v>423</v>
      </c>
      <c r="G16" s="49"/>
      <c r="H16" s="284" t="s">
        <v>423</v>
      </c>
    </row>
    <row r="17" spans="1:8" s="4" customFormat="1" ht="24" customHeight="1" x14ac:dyDescent="0.35">
      <c r="A17" s="11"/>
      <c r="B17" s="435"/>
      <c r="C17" s="435"/>
      <c r="D17" s="435"/>
      <c r="E17" s="436"/>
      <c r="F17" s="12"/>
      <c r="G17" s="49"/>
      <c r="H17" s="284" t="s">
        <v>423</v>
      </c>
    </row>
    <row r="18" spans="1:8" s="4" customFormat="1" ht="24" customHeight="1" x14ac:dyDescent="0.35">
      <c r="A18" s="11"/>
      <c r="B18" s="435"/>
      <c r="C18" s="435"/>
      <c r="D18" s="435"/>
      <c r="E18" s="436"/>
      <c r="F18" s="12"/>
      <c r="G18" s="49"/>
      <c r="H18" s="284" t="s">
        <v>423</v>
      </c>
    </row>
    <row r="19" spans="1:8" s="4" customFormat="1" ht="24" customHeight="1" x14ac:dyDescent="0.35">
      <c r="A19" s="11"/>
      <c r="B19" s="435"/>
      <c r="C19" s="435"/>
      <c r="D19" s="435"/>
      <c r="E19" s="436"/>
      <c r="F19" s="12"/>
      <c r="G19" s="49"/>
      <c r="H19" s="284" t="s">
        <v>423</v>
      </c>
    </row>
    <row r="20" spans="1:8" s="4" customFormat="1" ht="24" customHeight="1" x14ac:dyDescent="0.35">
      <c r="A20" s="11"/>
      <c r="B20" s="435"/>
      <c r="C20" s="435"/>
      <c r="D20" s="435"/>
      <c r="E20" s="436"/>
      <c r="F20" s="12"/>
      <c r="G20" s="49"/>
      <c r="H20" s="284" t="s">
        <v>423</v>
      </c>
    </row>
    <row r="21" spans="1:8" s="4" customFormat="1" ht="24" customHeight="1" thickBot="1" x14ac:dyDescent="0.4">
      <c r="A21" s="13"/>
      <c r="B21" s="437"/>
      <c r="C21" s="437"/>
      <c r="D21" s="437"/>
      <c r="E21" s="438"/>
      <c r="F21" s="14"/>
      <c r="G21" s="49"/>
      <c r="H21" s="284" t="s">
        <v>423</v>
      </c>
    </row>
    <row r="22" spans="1:8" ht="12.75" customHeight="1" thickBot="1" x14ac:dyDescent="0.25">
      <c r="G22" s="50"/>
      <c r="H22" s="284" t="s">
        <v>423</v>
      </c>
    </row>
    <row r="23" spans="1:8" ht="27.75" customHeight="1" x14ac:dyDescent="0.3">
      <c r="A23" s="22" t="s">
        <v>36</v>
      </c>
      <c r="B23" s="427" t="s">
        <v>456</v>
      </c>
      <c r="C23" s="427"/>
      <c r="D23" s="427"/>
      <c r="E23" s="429"/>
      <c r="F23" s="20" t="s">
        <v>41</v>
      </c>
      <c r="H23" s="284" t="s">
        <v>423</v>
      </c>
    </row>
    <row r="24" spans="1:8" s="4" customFormat="1" ht="12.75" customHeight="1" x14ac:dyDescent="0.25">
      <c r="A24" s="35" t="s">
        <v>4</v>
      </c>
      <c r="B24" s="36" t="s">
        <v>11</v>
      </c>
      <c r="C24" s="37" t="s">
        <v>18</v>
      </c>
      <c r="D24" s="10"/>
      <c r="E24" s="38"/>
      <c r="F24" s="9"/>
      <c r="H24" s="284" t="s">
        <v>423</v>
      </c>
    </row>
    <row r="25" spans="1:8" s="4" customFormat="1" ht="12.75" customHeight="1" thickBot="1" x14ac:dyDescent="0.3">
      <c r="A25" s="35" t="s">
        <v>5</v>
      </c>
      <c r="B25" s="36" t="s">
        <v>12</v>
      </c>
      <c r="C25" s="37" t="s">
        <v>19</v>
      </c>
      <c r="D25" s="10"/>
      <c r="E25" s="38"/>
      <c r="F25" s="21" t="s">
        <v>3</v>
      </c>
      <c r="H25" s="284" t="s">
        <v>423</v>
      </c>
    </row>
    <row r="26" spans="1:8" s="4" customFormat="1" ht="12.75" customHeight="1" x14ac:dyDescent="0.35">
      <c r="A26" s="35" t="s">
        <v>6</v>
      </c>
      <c r="B26" s="36" t="s">
        <v>13</v>
      </c>
      <c r="C26" s="37" t="s">
        <v>20</v>
      </c>
      <c r="D26" s="39"/>
      <c r="E26" s="72"/>
      <c r="F26" s="446">
        <v>4.7</v>
      </c>
      <c r="H26" s="237"/>
    </row>
    <row r="27" spans="1:8" s="4" customFormat="1" ht="12.75" customHeight="1" x14ac:dyDescent="0.35">
      <c r="A27" s="35" t="s">
        <v>7</v>
      </c>
      <c r="B27" s="36" t="s">
        <v>14</v>
      </c>
      <c r="C27" s="37" t="s">
        <v>418</v>
      </c>
      <c r="D27" s="39"/>
      <c r="E27" s="72"/>
      <c r="F27" s="450"/>
    </row>
    <row r="28" spans="1:8" s="4" customFormat="1" ht="12.75" customHeight="1" thickBot="1" x14ac:dyDescent="0.4">
      <c r="A28" s="35" t="s">
        <v>8</v>
      </c>
      <c r="B28" s="36" t="s">
        <v>15</v>
      </c>
      <c r="C28" s="37" t="s">
        <v>21</v>
      </c>
      <c r="D28" s="39"/>
      <c r="E28" s="72"/>
      <c r="F28" s="451"/>
    </row>
    <row r="29" spans="1:8" s="4" customFormat="1" ht="12.75" customHeight="1" x14ac:dyDescent="0.35">
      <c r="A29" s="381"/>
      <c r="B29" s="382" t="s">
        <v>428</v>
      </c>
      <c r="C29" s="443"/>
      <c r="D29" s="443"/>
      <c r="E29" s="443"/>
      <c r="F29" s="444"/>
    </row>
    <row r="30" spans="1:8" s="8" customFormat="1" ht="24" customHeight="1" x14ac:dyDescent="0.25">
      <c r="A30" s="42" t="s">
        <v>223</v>
      </c>
      <c r="B30" s="24" t="s">
        <v>45</v>
      </c>
      <c r="C30" s="25"/>
      <c r="D30" s="25"/>
      <c r="E30" s="25"/>
      <c r="F30" s="68" t="s">
        <v>335</v>
      </c>
    </row>
    <row r="31" spans="1:8" s="4" customFormat="1" ht="24" customHeight="1" x14ac:dyDescent="0.35">
      <c r="A31" s="19"/>
      <c r="B31" s="449" t="s">
        <v>793</v>
      </c>
      <c r="C31" s="441"/>
      <c r="D31" s="441"/>
      <c r="E31" s="442"/>
      <c r="F31" s="23"/>
    </row>
    <row r="32" spans="1:8" s="4" customFormat="1" ht="24" customHeight="1" x14ac:dyDescent="0.35">
      <c r="A32" s="11"/>
      <c r="B32" s="435" t="s">
        <v>796</v>
      </c>
      <c r="C32" s="435"/>
      <c r="D32" s="435"/>
      <c r="E32" s="436"/>
      <c r="F32" s="12"/>
    </row>
    <row r="33" spans="1:6" s="4" customFormat="1" ht="24" customHeight="1" x14ac:dyDescent="0.35">
      <c r="A33" s="11"/>
      <c r="B33" s="435" t="s">
        <v>797</v>
      </c>
      <c r="C33" s="435"/>
      <c r="D33" s="435"/>
      <c r="E33" s="436"/>
      <c r="F33" s="12"/>
    </row>
    <row r="34" spans="1:6" s="4" customFormat="1" ht="24" customHeight="1" x14ac:dyDescent="0.35">
      <c r="A34" s="11"/>
      <c r="B34" s="435" t="s">
        <v>798</v>
      </c>
      <c r="C34" s="435"/>
      <c r="D34" s="435"/>
      <c r="E34" s="436"/>
      <c r="F34" s="12"/>
    </row>
    <row r="35" spans="1:6" s="4" customFormat="1" ht="24" customHeight="1" x14ac:dyDescent="0.35">
      <c r="A35" s="11"/>
      <c r="B35" s="435"/>
      <c r="C35" s="435"/>
      <c r="D35" s="435"/>
      <c r="E35" s="436"/>
      <c r="F35" s="12"/>
    </row>
    <row r="36" spans="1:6" s="4" customFormat="1" ht="24" customHeight="1" thickBot="1" x14ac:dyDescent="0.4">
      <c r="A36" s="13"/>
      <c r="B36" s="437"/>
      <c r="C36" s="437"/>
      <c r="D36" s="437"/>
      <c r="E36" s="438"/>
      <c r="F36" s="14"/>
    </row>
    <row r="37" spans="1:6" ht="12.75" customHeight="1" thickBot="1" x14ac:dyDescent="0.35"/>
    <row r="38" spans="1:6" ht="30.75" customHeight="1" x14ac:dyDescent="0.3">
      <c r="A38" s="22" t="s">
        <v>37</v>
      </c>
      <c r="B38" s="427" t="s">
        <v>457</v>
      </c>
      <c r="C38" s="427"/>
      <c r="D38" s="427"/>
      <c r="E38" s="429"/>
      <c r="F38" s="20" t="s">
        <v>41</v>
      </c>
    </row>
    <row r="39" spans="1:6" s="4" customFormat="1" ht="12.75" customHeight="1" x14ac:dyDescent="0.35">
      <c r="A39" s="35" t="s">
        <v>4</v>
      </c>
      <c r="B39" s="36" t="s">
        <v>11</v>
      </c>
      <c r="C39" s="37" t="s">
        <v>22</v>
      </c>
      <c r="D39" s="10"/>
      <c r="E39" s="38"/>
      <c r="F39" s="9"/>
    </row>
    <row r="40" spans="1:6" s="4" customFormat="1" ht="12.75" customHeight="1" thickBot="1" x14ac:dyDescent="0.4">
      <c r="A40" s="35" t="s">
        <v>5</v>
      </c>
      <c r="B40" s="36" t="s">
        <v>12</v>
      </c>
      <c r="C40" s="37" t="s">
        <v>23</v>
      </c>
      <c r="D40" s="10"/>
      <c r="E40" s="38"/>
      <c r="F40" s="21" t="s">
        <v>3</v>
      </c>
    </row>
    <row r="41" spans="1:6" s="4" customFormat="1" ht="12.75" customHeight="1" x14ac:dyDescent="0.35">
      <c r="A41" s="35" t="s">
        <v>6</v>
      </c>
      <c r="B41" s="36" t="s">
        <v>13</v>
      </c>
      <c r="C41" s="37" t="s">
        <v>442</v>
      </c>
      <c r="D41" s="39"/>
      <c r="E41" s="72"/>
      <c r="F41" s="446">
        <v>4.5</v>
      </c>
    </row>
    <row r="42" spans="1:6" s="4" customFormat="1" ht="16.5" customHeight="1" x14ac:dyDescent="0.35">
      <c r="A42" s="35" t="s">
        <v>7</v>
      </c>
      <c r="B42" s="36" t="s">
        <v>14</v>
      </c>
      <c r="C42" s="37" t="s">
        <v>24</v>
      </c>
      <c r="D42" s="420"/>
      <c r="E42" s="420"/>
      <c r="F42" s="450"/>
    </row>
    <row r="43" spans="1:6" s="4" customFormat="1" ht="12.75" customHeight="1" thickBot="1" x14ac:dyDescent="0.4">
      <c r="A43" s="35" t="s">
        <v>8</v>
      </c>
      <c r="B43" s="36" t="s">
        <v>15</v>
      </c>
      <c r="C43" s="37" t="s">
        <v>443</v>
      </c>
      <c r="D43" s="39"/>
      <c r="E43" s="72"/>
      <c r="F43" s="451"/>
    </row>
    <row r="44" spans="1:6" s="4" customFormat="1" ht="12.75" customHeight="1" x14ac:dyDescent="0.35">
      <c r="A44" s="381"/>
      <c r="B44" s="382" t="s">
        <v>428</v>
      </c>
      <c r="C44" s="443"/>
      <c r="D44" s="443"/>
      <c r="E44" s="443"/>
      <c r="F44" s="444"/>
    </row>
    <row r="45" spans="1:6" s="8" customFormat="1" ht="24" customHeight="1" x14ac:dyDescent="0.25">
      <c r="A45" s="42" t="s">
        <v>223</v>
      </c>
      <c r="B45" s="24" t="s">
        <v>45</v>
      </c>
      <c r="C45" s="25"/>
      <c r="D45" s="25"/>
      <c r="E45" s="25"/>
      <c r="F45" s="68" t="s">
        <v>335</v>
      </c>
    </row>
    <row r="46" spans="1:6" s="4" customFormat="1" ht="24" customHeight="1" x14ac:dyDescent="0.35">
      <c r="A46" s="19"/>
      <c r="B46" s="449" t="s">
        <v>794</v>
      </c>
      <c r="C46" s="441"/>
      <c r="D46" s="441"/>
      <c r="E46" s="442"/>
      <c r="F46" s="23"/>
    </row>
    <row r="47" spans="1:6" s="4" customFormat="1" ht="24" customHeight="1" x14ac:dyDescent="0.35">
      <c r="A47" s="11"/>
      <c r="B47" s="435"/>
      <c r="C47" s="435"/>
      <c r="D47" s="435"/>
      <c r="E47" s="436"/>
      <c r="F47" s="12"/>
    </row>
    <row r="48" spans="1:6" s="4" customFormat="1" ht="24" customHeight="1" x14ac:dyDescent="0.35">
      <c r="A48" s="11"/>
      <c r="B48" s="435"/>
      <c r="C48" s="435"/>
      <c r="D48" s="435"/>
      <c r="E48" s="436"/>
      <c r="F48" s="12"/>
    </row>
    <row r="49" spans="1:6" s="4" customFormat="1" ht="24" customHeight="1" x14ac:dyDescent="0.35">
      <c r="A49" s="11"/>
      <c r="B49" s="435"/>
      <c r="C49" s="435"/>
      <c r="D49" s="435"/>
      <c r="E49" s="436"/>
      <c r="F49" s="12"/>
    </row>
    <row r="50" spans="1:6" s="4" customFormat="1" ht="24" customHeight="1" x14ac:dyDescent="0.35">
      <c r="A50" s="11"/>
      <c r="B50" s="435"/>
      <c r="C50" s="435"/>
      <c r="D50" s="435"/>
      <c r="E50" s="436"/>
      <c r="F50" s="12"/>
    </row>
    <row r="51" spans="1:6" s="4" customFormat="1" ht="24" customHeight="1" thickBot="1" x14ac:dyDescent="0.4">
      <c r="A51" s="13"/>
      <c r="B51" s="437"/>
      <c r="C51" s="437"/>
      <c r="D51" s="437"/>
      <c r="E51" s="438"/>
      <c r="F51" s="14"/>
    </row>
    <row r="52" spans="1:6" ht="12.75" customHeight="1" x14ac:dyDescent="0.3"/>
    <row r="53" spans="1:6" s="32" customFormat="1" ht="22.5" customHeight="1" x14ac:dyDescent="0.35">
      <c r="A53" s="31"/>
      <c r="B53" s="31"/>
      <c r="C53" s="30" t="s">
        <v>430</v>
      </c>
      <c r="D53" s="30"/>
      <c r="E53" s="30"/>
      <c r="F53" s="33" t="s">
        <v>110</v>
      </c>
    </row>
    <row r="54" spans="1:6" s="32" customFormat="1" ht="22.5" customHeight="1" x14ac:dyDescent="0.35">
      <c r="A54" s="31"/>
      <c r="B54" s="31"/>
      <c r="C54" s="47" t="s">
        <v>337</v>
      </c>
      <c r="D54" s="30"/>
      <c r="E54" s="30"/>
      <c r="F54" s="33" t="s">
        <v>112</v>
      </c>
    </row>
    <row r="55" spans="1:6" s="32" customFormat="1" ht="42" customHeight="1" x14ac:dyDescent="0.35">
      <c r="A55" s="53"/>
      <c r="B55" s="54"/>
      <c r="C55" s="65" t="s">
        <v>787</v>
      </c>
      <c r="D55" s="54"/>
      <c r="E55" s="54"/>
      <c r="F55" s="62" t="s">
        <v>831</v>
      </c>
    </row>
    <row r="56" spans="1:6" ht="18" customHeight="1" x14ac:dyDescent="0.3">
      <c r="A56" s="16"/>
      <c r="B56" s="17" t="s">
        <v>0</v>
      </c>
      <c r="C56" s="66" t="s">
        <v>594</v>
      </c>
      <c r="D56" s="18" t="s">
        <v>35</v>
      </c>
      <c r="E56" s="66" t="s">
        <v>791</v>
      </c>
      <c r="F56" s="63" t="s">
        <v>338</v>
      </c>
    </row>
    <row r="57" spans="1:6" ht="18" customHeight="1" x14ac:dyDescent="0.3">
      <c r="A57" s="6"/>
      <c r="B57" s="45" t="s">
        <v>1</v>
      </c>
      <c r="C57" s="66" t="s">
        <v>573</v>
      </c>
      <c r="D57" s="46" t="s">
        <v>427</v>
      </c>
      <c r="E57" s="66">
        <v>187</v>
      </c>
      <c r="F57" s="64" t="s">
        <v>339</v>
      </c>
    </row>
    <row r="58" spans="1:6" ht="15" customHeight="1" x14ac:dyDescent="0.3">
      <c r="A58" s="51" t="s">
        <v>342</v>
      </c>
      <c r="B58" s="52"/>
      <c r="C58" s="34" t="s">
        <v>2</v>
      </c>
      <c r="D58" s="5"/>
      <c r="E58" s="15"/>
      <c r="F58" s="81" t="s">
        <v>423</v>
      </c>
    </row>
    <row r="59" spans="1:6" ht="15" customHeight="1" thickBot="1" x14ac:dyDescent="0.35">
      <c r="A59" s="51" t="s">
        <v>343</v>
      </c>
      <c r="B59" s="52"/>
      <c r="F59" s="82" t="s">
        <v>423</v>
      </c>
    </row>
    <row r="60" spans="1:6" ht="42" customHeight="1" x14ac:dyDescent="0.3">
      <c r="A60" s="22" t="s">
        <v>38</v>
      </c>
      <c r="B60" s="427" t="s">
        <v>421</v>
      </c>
      <c r="C60" s="427"/>
      <c r="D60" s="427"/>
      <c r="E60" s="429"/>
      <c r="F60" s="20" t="s">
        <v>43</v>
      </c>
    </row>
    <row r="61" spans="1:6" s="4" customFormat="1" ht="12.75" customHeight="1" x14ac:dyDescent="0.35">
      <c r="A61" s="35" t="s">
        <v>4</v>
      </c>
      <c r="B61" s="36" t="s">
        <v>11</v>
      </c>
      <c r="C61" s="37" t="s">
        <v>25</v>
      </c>
      <c r="D61" s="10"/>
      <c r="E61" s="38"/>
      <c r="F61" s="9"/>
    </row>
    <row r="62" spans="1:6" s="4" customFormat="1" ht="12.75" customHeight="1" thickBot="1" x14ac:dyDescent="0.4">
      <c r="A62" s="35" t="s">
        <v>5</v>
      </c>
      <c r="B62" s="36" t="s">
        <v>12</v>
      </c>
      <c r="C62" s="37" t="s">
        <v>26</v>
      </c>
      <c r="D62" s="10"/>
      <c r="E62" s="38"/>
      <c r="F62" s="21" t="s">
        <v>3</v>
      </c>
    </row>
    <row r="63" spans="1:6" s="4" customFormat="1" ht="12.75" customHeight="1" x14ac:dyDescent="0.35">
      <c r="A63" s="35" t="s">
        <v>6</v>
      </c>
      <c r="B63" s="36" t="s">
        <v>13</v>
      </c>
      <c r="C63" s="37" t="s">
        <v>27</v>
      </c>
      <c r="D63" s="39"/>
      <c r="E63" s="72"/>
      <c r="F63" s="446">
        <v>4</v>
      </c>
    </row>
    <row r="64" spans="1:6" s="4" customFormat="1" ht="12.75" customHeight="1" x14ac:dyDescent="0.35">
      <c r="A64" s="35" t="s">
        <v>7</v>
      </c>
      <c r="B64" s="36" t="s">
        <v>14</v>
      </c>
      <c r="C64" s="37" t="s">
        <v>28</v>
      </c>
      <c r="D64" s="420"/>
      <c r="E64" s="420"/>
      <c r="F64" s="447"/>
    </row>
    <row r="65" spans="1:6" s="4" customFormat="1" ht="12.75" customHeight="1" thickBot="1" x14ac:dyDescent="0.4">
      <c r="A65" s="35" t="s">
        <v>8</v>
      </c>
      <c r="B65" s="36" t="s">
        <v>15</v>
      </c>
      <c r="C65" s="37" t="s">
        <v>29</v>
      </c>
      <c r="D65" s="420"/>
      <c r="E65" s="420"/>
      <c r="F65" s="448"/>
    </row>
    <row r="66" spans="1:6" s="4" customFormat="1" ht="12.75" customHeight="1" x14ac:dyDescent="0.35">
      <c r="A66" s="381"/>
      <c r="B66" s="382" t="s">
        <v>428</v>
      </c>
      <c r="C66" s="443"/>
      <c r="D66" s="443"/>
      <c r="E66" s="443"/>
      <c r="F66" s="444"/>
    </row>
    <row r="67" spans="1:6" s="8" customFormat="1" ht="24" customHeight="1" x14ac:dyDescent="0.25">
      <c r="A67" s="42" t="s">
        <v>223</v>
      </c>
      <c r="B67" s="24" t="s">
        <v>45</v>
      </c>
      <c r="C67" s="25"/>
      <c r="D67" s="25"/>
      <c r="E67" s="25"/>
      <c r="F67" s="68" t="s">
        <v>335</v>
      </c>
    </row>
    <row r="68" spans="1:6" s="4" customFormat="1" ht="24" customHeight="1" x14ac:dyDescent="0.35">
      <c r="A68" s="19"/>
      <c r="B68" s="449" t="s">
        <v>795</v>
      </c>
      <c r="C68" s="441"/>
      <c r="D68" s="441"/>
      <c r="E68" s="442"/>
      <c r="F68" s="23"/>
    </row>
    <row r="69" spans="1:6" s="4" customFormat="1" ht="24" customHeight="1" x14ac:dyDescent="0.35">
      <c r="A69" s="11"/>
      <c r="B69" s="435"/>
      <c r="C69" s="435"/>
      <c r="D69" s="435"/>
      <c r="E69" s="436"/>
      <c r="F69" s="12"/>
    </row>
    <row r="70" spans="1:6" s="4" customFormat="1" ht="24" customHeight="1" x14ac:dyDescent="0.35">
      <c r="A70" s="11"/>
      <c r="B70" s="435"/>
      <c r="C70" s="435"/>
      <c r="D70" s="435"/>
      <c r="E70" s="436"/>
      <c r="F70" s="12"/>
    </row>
    <row r="71" spans="1:6" s="4" customFormat="1" ht="24" customHeight="1" x14ac:dyDescent="0.35">
      <c r="A71" s="11"/>
      <c r="B71" s="435"/>
      <c r="C71" s="435"/>
      <c r="D71" s="435"/>
      <c r="E71" s="436"/>
      <c r="F71" s="12"/>
    </row>
    <row r="72" spans="1:6" s="4" customFormat="1" ht="24" customHeight="1" x14ac:dyDescent="0.35">
      <c r="A72" s="11"/>
      <c r="B72" s="435"/>
      <c r="C72" s="435"/>
      <c r="D72" s="435"/>
      <c r="E72" s="436"/>
      <c r="F72" s="12"/>
    </row>
    <row r="73" spans="1:6" s="4" customFormat="1" ht="24" customHeight="1" thickBot="1" x14ac:dyDescent="0.4">
      <c r="A73" s="13"/>
      <c r="B73" s="437"/>
      <c r="C73" s="437"/>
      <c r="D73" s="437"/>
      <c r="E73" s="438"/>
      <c r="F73" s="14"/>
    </row>
    <row r="74" spans="1:6" ht="12.75" customHeight="1" thickBot="1" x14ac:dyDescent="0.35"/>
    <row r="75" spans="1:6" ht="40.5" customHeight="1" x14ac:dyDescent="0.3">
      <c r="A75" s="22" t="s">
        <v>39</v>
      </c>
      <c r="B75" s="427" t="s">
        <v>444</v>
      </c>
      <c r="C75" s="427"/>
      <c r="D75" s="427"/>
      <c r="E75" s="429"/>
      <c r="F75" s="20" t="s">
        <v>44</v>
      </c>
    </row>
    <row r="76" spans="1:6" s="4" customFormat="1" ht="21" customHeight="1" x14ac:dyDescent="0.35">
      <c r="A76" s="35" t="s">
        <v>4</v>
      </c>
      <c r="B76" s="36" t="s">
        <v>11</v>
      </c>
      <c r="C76" s="440" t="s">
        <v>419</v>
      </c>
      <c r="D76" s="440"/>
      <c r="E76" s="440"/>
      <c r="F76" s="9"/>
    </row>
    <row r="77" spans="1:6" s="4" customFormat="1" ht="18" customHeight="1" thickBot="1" x14ac:dyDescent="0.4">
      <c r="A77" s="35" t="s">
        <v>5</v>
      </c>
      <c r="B77" s="36" t="s">
        <v>12</v>
      </c>
      <c r="C77" s="440" t="s">
        <v>30</v>
      </c>
      <c r="D77" s="440"/>
      <c r="E77" s="440"/>
      <c r="F77" s="21" t="s">
        <v>3</v>
      </c>
    </row>
    <row r="78" spans="1:6" s="4" customFormat="1" ht="12.75" customHeight="1" x14ac:dyDescent="0.35">
      <c r="A78" s="35" t="s">
        <v>6</v>
      </c>
      <c r="B78" s="36" t="s">
        <v>13</v>
      </c>
      <c r="C78" s="440" t="s">
        <v>31</v>
      </c>
      <c r="D78" s="440"/>
      <c r="E78" s="440"/>
      <c r="F78" s="446">
        <v>4.5</v>
      </c>
    </row>
    <row r="79" spans="1:6" s="4" customFormat="1" ht="12.75" customHeight="1" x14ac:dyDescent="0.35">
      <c r="A79" s="35" t="s">
        <v>7</v>
      </c>
      <c r="B79" s="36" t="s">
        <v>14</v>
      </c>
      <c r="C79" s="440" t="s">
        <v>32</v>
      </c>
      <c r="D79" s="440"/>
      <c r="E79" s="440"/>
      <c r="F79" s="447"/>
    </row>
    <row r="80" spans="1:6" s="4" customFormat="1" ht="24" customHeight="1" thickBot="1" x14ac:dyDescent="0.4">
      <c r="A80" s="35" t="s">
        <v>8</v>
      </c>
      <c r="B80" s="36" t="s">
        <v>15</v>
      </c>
      <c r="C80" s="440" t="s">
        <v>420</v>
      </c>
      <c r="D80" s="440"/>
      <c r="E80" s="440"/>
      <c r="F80" s="448"/>
    </row>
    <row r="81" spans="1:6" s="4" customFormat="1" ht="12.75" customHeight="1" x14ac:dyDescent="0.35">
      <c r="A81" s="381"/>
      <c r="B81" s="382" t="s">
        <v>428</v>
      </c>
      <c r="C81" s="443"/>
      <c r="D81" s="443"/>
      <c r="E81" s="443"/>
      <c r="F81" s="444"/>
    </row>
    <row r="82" spans="1:6" s="8" customFormat="1" ht="24" customHeight="1" x14ac:dyDescent="0.25">
      <c r="A82" s="42" t="s">
        <v>223</v>
      </c>
      <c r="B82" s="24" t="s">
        <v>45</v>
      </c>
      <c r="C82" s="25"/>
      <c r="D82" s="25"/>
      <c r="E82" s="25"/>
      <c r="F82" s="68" t="s">
        <v>335</v>
      </c>
    </row>
    <row r="83" spans="1:6" s="4" customFormat="1" ht="24" customHeight="1" x14ac:dyDescent="0.35">
      <c r="A83" s="19"/>
      <c r="B83" s="449"/>
      <c r="C83" s="441"/>
      <c r="D83" s="441"/>
      <c r="E83" s="442"/>
      <c r="F83" s="23"/>
    </row>
    <row r="84" spans="1:6" s="4" customFormat="1" ht="24" customHeight="1" x14ac:dyDescent="0.35">
      <c r="A84" s="11"/>
      <c r="B84" s="435"/>
      <c r="C84" s="435"/>
      <c r="D84" s="435"/>
      <c r="E84" s="436"/>
      <c r="F84" s="12"/>
    </row>
    <row r="85" spans="1:6" s="4" customFormat="1" ht="24" customHeight="1" x14ac:dyDescent="0.35">
      <c r="A85" s="11"/>
      <c r="B85" s="435"/>
      <c r="C85" s="435"/>
      <c r="D85" s="435"/>
      <c r="E85" s="436"/>
      <c r="F85" s="12"/>
    </row>
    <row r="86" spans="1:6" s="4" customFormat="1" ht="24" customHeight="1" x14ac:dyDescent="0.35">
      <c r="A86" s="11"/>
      <c r="B86" s="435"/>
      <c r="C86" s="435"/>
      <c r="D86" s="435"/>
      <c r="E86" s="436"/>
      <c r="F86" s="12"/>
    </row>
    <row r="87" spans="1:6" s="4" customFormat="1" ht="24" customHeight="1" x14ac:dyDescent="0.35">
      <c r="A87" s="11"/>
      <c r="B87" s="435"/>
      <c r="C87" s="435"/>
      <c r="D87" s="435"/>
      <c r="E87" s="436"/>
      <c r="F87" s="12"/>
    </row>
    <row r="88" spans="1:6" s="4" customFormat="1" ht="24" customHeight="1" thickBot="1" x14ac:dyDescent="0.4">
      <c r="A88" s="13"/>
      <c r="B88" s="437"/>
      <c r="C88" s="437"/>
      <c r="D88" s="437"/>
      <c r="E88" s="438"/>
      <c r="F88" s="14"/>
    </row>
    <row r="89" spans="1:6" ht="12.75" customHeight="1" thickBot="1" x14ac:dyDescent="0.35"/>
    <row r="90" spans="1:6" ht="30" customHeight="1" x14ac:dyDescent="0.3">
      <c r="A90" s="22" t="s">
        <v>40</v>
      </c>
      <c r="B90" s="427" t="s">
        <v>422</v>
      </c>
      <c r="C90" s="427"/>
      <c r="D90" s="427"/>
      <c r="E90" s="429"/>
      <c r="F90" s="20" t="s">
        <v>44</v>
      </c>
    </row>
    <row r="91" spans="1:6" s="4" customFormat="1" ht="24" customHeight="1" x14ac:dyDescent="0.35">
      <c r="A91" s="35" t="s">
        <v>4</v>
      </c>
      <c r="B91" s="36" t="s">
        <v>11</v>
      </c>
      <c r="C91" s="440" t="s">
        <v>445</v>
      </c>
      <c r="D91" s="440"/>
      <c r="E91" s="440"/>
      <c r="F91" s="9"/>
    </row>
    <row r="92" spans="1:6" s="4" customFormat="1" ht="12.75" customHeight="1" thickBot="1" x14ac:dyDescent="0.4">
      <c r="A92" s="35" t="s">
        <v>5</v>
      </c>
      <c r="B92" s="36" t="s">
        <v>12</v>
      </c>
      <c r="C92" s="440" t="s">
        <v>446</v>
      </c>
      <c r="D92" s="440"/>
      <c r="E92" s="440"/>
      <c r="F92" s="21" t="s">
        <v>3</v>
      </c>
    </row>
    <row r="93" spans="1:6" s="2" customFormat="1" ht="12.75" customHeight="1" x14ac:dyDescent="0.3">
      <c r="A93" s="35" t="s">
        <v>6</v>
      </c>
      <c r="B93" s="36" t="s">
        <v>13</v>
      </c>
      <c r="C93" s="440" t="s">
        <v>447</v>
      </c>
      <c r="D93" s="440"/>
      <c r="E93" s="440"/>
      <c r="F93" s="446">
        <v>4.8</v>
      </c>
    </row>
    <row r="94" spans="1:6" ht="12.75" customHeight="1" x14ac:dyDescent="0.3">
      <c r="A94" s="35" t="s">
        <v>7</v>
      </c>
      <c r="B94" s="36" t="s">
        <v>14</v>
      </c>
      <c r="C94" s="440" t="s">
        <v>17</v>
      </c>
      <c r="D94" s="440"/>
      <c r="E94" s="440"/>
      <c r="F94" s="447"/>
    </row>
    <row r="95" spans="1:6" ht="12.75" customHeight="1" thickBot="1" x14ac:dyDescent="0.35">
      <c r="A95" s="35" t="s">
        <v>8</v>
      </c>
      <c r="B95" s="36" t="s">
        <v>15</v>
      </c>
      <c r="C95" s="440" t="s">
        <v>33</v>
      </c>
      <c r="D95" s="440"/>
      <c r="E95" s="440"/>
      <c r="F95" s="448"/>
    </row>
    <row r="96" spans="1:6" ht="12.75" customHeight="1" x14ac:dyDescent="0.3">
      <c r="A96" s="35" t="s">
        <v>10</v>
      </c>
      <c r="B96" s="40" t="s">
        <v>34</v>
      </c>
      <c r="C96" s="440" t="s">
        <v>16</v>
      </c>
      <c r="D96" s="440"/>
      <c r="E96" s="440"/>
      <c r="F96" s="73"/>
    </row>
    <row r="97" spans="1:6" s="4" customFormat="1" ht="12.75" customHeight="1" x14ac:dyDescent="0.35">
      <c r="A97" s="381"/>
      <c r="B97" s="382" t="s">
        <v>428</v>
      </c>
      <c r="C97" s="443"/>
      <c r="D97" s="443"/>
      <c r="E97" s="443"/>
      <c r="F97" s="445"/>
    </row>
    <row r="98" spans="1:6" s="8" customFormat="1" ht="24" customHeight="1" x14ac:dyDescent="0.25">
      <c r="A98" s="42" t="s">
        <v>223</v>
      </c>
      <c r="B98" s="24" t="s">
        <v>45</v>
      </c>
      <c r="C98" s="25"/>
      <c r="D98" s="25"/>
      <c r="E98" s="25"/>
      <c r="F98" s="26" t="s">
        <v>335</v>
      </c>
    </row>
    <row r="99" spans="1:6" s="4" customFormat="1" ht="24" customHeight="1" x14ac:dyDescent="0.35">
      <c r="A99" s="19"/>
      <c r="B99" s="441"/>
      <c r="C99" s="441"/>
      <c r="D99" s="441"/>
      <c r="E99" s="442"/>
      <c r="F99" s="23"/>
    </row>
    <row r="100" spans="1:6" s="4" customFormat="1" ht="24" customHeight="1" x14ac:dyDescent="0.35">
      <c r="A100" s="11"/>
      <c r="B100" s="435"/>
      <c r="C100" s="435"/>
      <c r="D100" s="435"/>
      <c r="E100" s="436"/>
      <c r="F100" s="12"/>
    </row>
    <row r="101" spans="1:6" s="4" customFormat="1" ht="24" customHeight="1" x14ac:dyDescent="0.35">
      <c r="A101" s="11"/>
      <c r="B101" s="435"/>
      <c r="C101" s="435"/>
      <c r="D101" s="435"/>
      <c r="E101" s="436"/>
      <c r="F101" s="12"/>
    </row>
    <row r="102" spans="1:6" s="4" customFormat="1" ht="24" customHeight="1" x14ac:dyDescent="0.35">
      <c r="A102" s="11"/>
      <c r="B102" s="435"/>
      <c r="C102" s="435"/>
      <c r="D102" s="435"/>
      <c r="E102" s="436"/>
      <c r="F102" s="12"/>
    </row>
    <row r="103" spans="1:6" s="4" customFormat="1" ht="24" customHeight="1" x14ac:dyDescent="0.35">
      <c r="A103" s="11"/>
      <c r="B103" s="435"/>
      <c r="C103" s="435"/>
      <c r="D103" s="435"/>
      <c r="E103" s="436"/>
      <c r="F103" s="12"/>
    </row>
    <row r="104" spans="1:6" s="4" customFormat="1" ht="24" customHeight="1" thickBot="1" x14ac:dyDescent="0.4">
      <c r="A104" s="13"/>
      <c r="B104" s="437"/>
      <c r="C104" s="437"/>
      <c r="D104" s="437"/>
      <c r="E104" s="438"/>
      <c r="F104" s="14"/>
    </row>
    <row r="105" spans="1:6" s="4" customFormat="1" ht="17.25" customHeight="1" x14ac:dyDescent="0.35">
      <c r="A105" s="41"/>
      <c r="B105" s="41"/>
      <c r="C105" s="41"/>
      <c r="D105" s="41"/>
      <c r="E105" s="41"/>
      <c r="F105" s="41"/>
    </row>
    <row r="106" spans="1:6" s="32" customFormat="1" ht="22.5" customHeight="1" x14ac:dyDescent="0.35">
      <c r="A106" s="31"/>
      <c r="B106" s="31"/>
      <c r="C106" s="30" t="s">
        <v>430</v>
      </c>
      <c r="D106" s="30"/>
      <c r="E106" s="30"/>
      <c r="F106" s="33" t="s">
        <v>110</v>
      </c>
    </row>
    <row r="107" spans="1:6" s="32" customFormat="1" ht="22.5" customHeight="1" x14ac:dyDescent="0.35">
      <c r="A107" s="31"/>
      <c r="B107" s="31"/>
      <c r="C107" s="47" t="s">
        <v>337</v>
      </c>
      <c r="D107" s="30"/>
      <c r="E107" s="30"/>
      <c r="F107" s="33" t="s">
        <v>113</v>
      </c>
    </row>
    <row r="108" spans="1:6" s="32" customFormat="1" ht="42" customHeight="1" x14ac:dyDescent="0.35">
      <c r="A108" s="53"/>
      <c r="B108" s="54"/>
      <c r="C108" s="65" t="s">
        <v>787</v>
      </c>
      <c r="D108" s="54"/>
      <c r="E108" s="54"/>
      <c r="F108" s="62" t="s">
        <v>831</v>
      </c>
    </row>
    <row r="109" spans="1:6" ht="18" customHeight="1" x14ac:dyDescent="0.3">
      <c r="A109" s="16"/>
      <c r="B109" s="17" t="s">
        <v>0</v>
      </c>
      <c r="C109" s="66" t="s">
        <v>594</v>
      </c>
      <c r="D109" s="18" t="s">
        <v>35</v>
      </c>
      <c r="E109" s="66" t="s">
        <v>791</v>
      </c>
      <c r="F109" s="63" t="s">
        <v>338</v>
      </c>
    </row>
    <row r="110" spans="1:6" ht="18" customHeight="1" x14ac:dyDescent="0.3">
      <c r="A110" s="6"/>
      <c r="B110" s="45" t="s">
        <v>1</v>
      </c>
      <c r="C110" s="66" t="s">
        <v>573</v>
      </c>
      <c r="D110" s="46" t="s">
        <v>427</v>
      </c>
      <c r="E110" s="66">
        <v>187</v>
      </c>
      <c r="F110" s="64" t="s">
        <v>339</v>
      </c>
    </row>
    <row r="111" spans="1:6" ht="14.5" x14ac:dyDescent="0.3">
      <c r="A111" s="51" t="s">
        <v>342</v>
      </c>
      <c r="B111" s="52"/>
      <c r="C111" s="34" t="s">
        <v>2</v>
      </c>
      <c r="D111" s="5"/>
      <c r="E111" s="15"/>
      <c r="F111" s="81" t="s">
        <v>423</v>
      </c>
    </row>
    <row r="112" spans="1:6" ht="15" thickBot="1" x14ac:dyDescent="0.35">
      <c r="A112" s="51" t="s">
        <v>343</v>
      </c>
      <c r="B112" s="52"/>
      <c r="F112" s="82" t="s">
        <v>423</v>
      </c>
    </row>
    <row r="113" spans="1:6" ht="30" customHeight="1" x14ac:dyDescent="0.3">
      <c r="A113" s="22" t="s">
        <v>46</v>
      </c>
      <c r="B113" s="428" t="s">
        <v>448</v>
      </c>
      <c r="C113" s="427"/>
      <c r="D113" s="427"/>
      <c r="E113" s="427"/>
      <c r="F113" s="43" t="s">
        <v>416</v>
      </c>
    </row>
    <row r="114" spans="1:6" s="8" customFormat="1" ht="24" customHeight="1" x14ac:dyDescent="0.25">
      <c r="A114" s="42" t="s">
        <v>223</v>
      </c>
      <c r="B114" s="24" t="s">
        <v>45</v>
      </c>
      <c r="C114" s="25"/>
      <c r="D114" s="25"/>
      <c r="E114" s="25"/>
      <c r="F114" s="26" t="s">
        <v>335</v>
      </c>
    </row>
    <row r="115" spans="1:6" s="4" customFormat="1" ht="24" customHeight="1" x14ac:dyDescent="0.35">
      <c r="A115" s="27"/>
      <c r="B115" s="431"/>
      <c r="C115" s="432"/>
      <c r="D115" s="432"/>
      <c r="E115" s="433"/>
      <c r="F115" s="23"/>
    </row>
    <row r="116" spans="1:6" s="4" customFormat="1" ht="24" customHeight="1" x14ac:dyDescent="0.35">
      <c r="A116" s="28"/>
      <c r="B116" s="434" t="s">
        <v>807</v>
      </c>
      <c r="C116" s="435"/>
      <c r="D116" s="435"/>
      <c r="E116" s="436"/>
      <c r="F116" s="12"/>
    </row>
    <row r="117" spans="1:6" s="4" customFormat="1" ht="24" customHeight="1" x14ac:dyDescent="0.35">
      <c r="A117" s="28"/>
      <c r="B117" s="434" t="s">
        <v>808</v>
      </c>
      <c r="C117" s="435"/>
      <c r="D117" s="435"/>
      <c r="E117" s="436"/>
      <c r="F117" s="12"/>
    </row>
    <row r="118" spans="1:6" s="4" customFormat="1" ht="24" customHeight="1" x14ac:dyDescent="0.35">
      <c r="A118" s="28"/>
      <c r="B118" s="434"/>
      <c r="C118" s="435"/>
      <c r="D118" s="435"/>
      <c r="E118" s="436"/>
      <c r="F118" s="12"/>
    </row>
    <row r="119" spans="1:6" s="4" customFormat="1" ht="24" customHeight="1" x14ac:dyDescent="0.35">
      <c r="A119" s="28"/>
      <c r="B119" s="434"/>
      <c r="C119" s="435"/>
      <c r="D119" s="435"/>
      <c r="E119" s="436"/>
      <c r="F119" s="12"/>
    </row>
    <row r="120" spans="1:6" s="4" customFormat="1" ht="24" customHeight="1" thickBot="1" x14ac:dyDescent="0.4">
      <c r="A120" s="29"/>
      <c r="B120" s="439"/>
      <c r="C120" s="437"/>
      <c r="D120" s="437"/>
      <c r="E120" s="438"/>
      <c r="F120" s="14"/>
    </row>
    <row r="121" spans="1:6" ht="12.75" customHeight="1" thickBot="1" x14ac:dyDescent="0.35"/>
    <row r="122" spans="1:6" ht="30" customHeight="1" x14ac:dyDescent="0.3">
      <c r="A122" s="22" t="s">
        <v>332</v>
      </c>
      <c r="B122" s="428" t="s">
        <v>417</v>
      </c>
      <c r="C122" s="427"/>
      <c r="D122" s="427"/>
      <c r="E122" s="427"/>
      <c r="F122" s="43" t="s">
        <v>416</v>
      </c>
    </row>
    <row r="123" spans="1:6" s="8" customFormat="1" ht="24" customHeight="1" x14ac:dyDescent="0.25">
      <c r="A123" s="42" t="s">
        <v>223</v>
      </c>
      <c r="B123" s="24" t="s">
        <v>45</v>
      </c>
      <c r="C123" s="25"/>
      <c r="D123" s="25"/>
      <c r="E123" s="25"/>
      <c r="F123" s="26" t="s">
        <v>335</v>
      </c>
    </row>
    <row r="124" spans="1:6" s="4" customFormat="1" ht="24" customHeight="1" x14ac:dyDescent="0.35">
      <c r="A124" s="27"/>
      <c r="B124" s="431" t="s">
        <v>806</v>
      </c>
      <c r="C124" s="432"/>
      <c r="D124" s="432"/>
      <c r="E124" s="433"/>
      <c r="F124" s="23"/>
    </row>
    <row r="125" spans="1:6" s="4" customFormat="1" ht="24" customHeight="1" x14ac:dyDescent="0.35">
      <c r="A125" s="28"/>
      <c r="B125" s="434"/>
      <c r="C125" s="435"/>
      <c r="D125" s="435"/>
      <c r="E125" s="436"/>
      <c r="F125" s="12"/>
    </row>
    <row r="126" spans="1:6" s="4" customFormat="1" ht="24" customHeight="1" x14ac:dyDescent="0.35">
      <c r="A126" s="28"/>
      <c r="B126" s="434"/>
      <c r="C126" s="435"/>
      <c r="D126" s="435"/>
      <c r="E126" s="436"/>
      <c r="F126" s="12"/>
    </row>
    <row r="127" spans="1:6" s="4" customFormat="1" ht="24" customHeight="1" x14ac:dyDescent="0.35">
      <c r="A127" s="28"/>
      <c r="B127" s="434"/>
      <c r="C127" s="435"/>
      <c r="D127" s="435"/>
      <c r="E127" s="436"/>
      <c r="F127" s="12"/>
    </row>
    <row r="128" spans="1:6" s="4" customFormat="1" ht="24" customHeight="1" x14ac:dyDescent="0.35">
      <c r="A128" s="28"/>
      <c r="B128" s="434"/>
      <c r="C128" s="435"/>
      <c r="D128" s="435"/>
      <c r="E128" s="436"/>
      <c r="F128" s="12"/>
    </row>
    <row r="129" spans="1:6" s="4" customFormat="1" ht="24" customHeight="1" thickBot="1" x14ac:dyDescent="0.4">
      <c r="A129" s="29"/>
      <c r="B129" s="439"/>
      <c r="C129" s="437"/>
      <c r="D129" s="437"/>
      <c r="E129" s="438"/>
      <c r="F129" s="14"/>
    </row>
    <row r="130" spans="1:6" ht="12.75" customHeight="1" thickBot="1" x14ac:dyDescent="0.35"/>
    <row r="131" spans="1:6" ht="30" customHeight="1" x14ac:dyDescent="0.3">
      <c r="A131" s="22" t="s">
        <v>333</v>
      </c>
      <c r="B131" s="428" t="s">
        <v>336</v>
      </c>
      <c r="C131" s="427"/>
      <c r="D131" s="427"/>
      <c r="E131" s="427"/>
      <c r="F131" s="43" t="s">
        <v>416</v>
      </c>
    </row>
    <row r="132" spans="1:6" s="8" customFormat="1" ht="24" customHeight="1" x14ac:dyDescent="0.25">
      <c r="A132" s="42" t="s">
        <v>223</v>
      </c>
      <c r="B132" s="24" t="s">
        <v>45</v>
      </c>
      <c r="C132" s="25"/>
      <c r="D132" s="25"/>
      <c r="E132" s="25"/>
      <c r="F132" s="26" t="s">
        <v>335</v>
      </c>
    </row>
    <row r="133" spans="1:6" s="4" customFormat="1" ht="24" customHeight="1" x14ac:dyDescent="0.35">
      <c r="A133" s="27"/>
      <c r="B133" s="431" t="s">
        <v>809</v>
      </c>
      <c r="C133" s="432"/>
      <c r="D133" s="432"/>
      <c r="E133" s="433"/>
      <c r="F133" s="23"/>
    </row>
    <row r="134" spans="1:6" s="4" customFormat="1" ht="24" customHeight="1" x14ac:dyDescent="0.35">
      <c r="A134" s="28"/>
      <c r="B134" s="434"/>
      <c r="C134" s="435"/>
      <c r="D134" s="435"/>
      <c r="E134" s="436"/>
      <c r="F134" s="12"/>
    </row>
    <row r="135" spans="1:6" s="4" customFormat="1" ht="24" customHeight="1" x14ac:dyDescent="0.35">
      <c r="A135" s="28"/>
      <c r="B135" s="434"/>
      <c r="C135" s="435"/>
      <c r="D135" s="435"/>
      <c r="E135" s="436"/>
      <c r="F135" s="12"/>
    </row>
    <row r="136" spans="1:6" s="4" customFormat="1" ht="24" customHeight="1" x14ac:dyDescent="0.35">
      <c r="A136" s="28"/>
      <c r="B136" s="434"/>
      <c r="C136" s="435"/>
      <c r="D136" s="435"/>
      <c r="E136" s="436"/>
      <c r="F136" s="12"/>
    </row>
    <row r="137" spans="1:6" s="4" customFormat="1" ht="24" customHeight="1" x14ac:dyDescent="0.35">
      <c r="A137" s="28"/>
      <c r="B137" s="434"/>
      <c r="C137" s="435"/>
      <c r="D137" s="435"/>
      <c r="E137" s="436"/>
      <c r="F137" s="12"/>
    </row>
    <row r="138" spans="1:6" s="4" customFormat="1" ht="24" customHeight="1" thickBot="1" x14ac:dyDescent="0.4">
      <c r="A138" s="29"/>
      <c r="B138" s="439"/>
      <c r="C138" s="437"/>
      <c r="D138" s="437"/>
      <c r="E138" s="438"/>
      <c r="F138" s="14"/>
    </row>
  </sheetData>
  <sheetProtection formatColumns="0" formatRows="0" autoFilter="0"/>
  <mergeCells count="88">
    <mergeCell ref="B23:E23"/>
    <mergeCell ref="H2:H9"/>
    <mergeCell ref="E6:E7"/>
    <mergeCell ref="B8:E8"/>
    <mergeCell ref="F11:F13"/>
    <mergeCell ref="C14:F14"/>
    <mergeCell ref="B16:E16"/>
    <mergeCell ref="B17:E17"/>
    <mergeCell ref="B18:E18"/>
    <mergeCell ref="B19:E19"/>
    <mergeCell ref="B20:E20"/>
    <mergeCell ref="B21:E21"/>
    <mergeCell ref="B46:E46"/>
    <mergeCell ref="F26:F28"/>
    <mergeCell ref="C29:F29"/>
    <mergeCell ref="B31:E31"/>
    <mergeCell ref="B32:E32"/>
    <mergeCell ref="B33:E33"/>
    <mergeCell ref="B34:E34"/>
    <mergeCell ref="B35:E35"/>
    <mergeCell ref="B36:E36"/>
    <mergeCell ref="B38:E38"/>
    <mergeCell ref="F41:F43"/>
    <mergeCell ref="C44:F44"/>
    <mergeCell ref="B71:E71"/>
    <mergeCell ref="B47:E47"/>
    <mergeCell ref="B48:E48"/>
    <mergeCell ref="B49:E49"/>
    <mergeCell ref="B50:E50"/>
    <mergeCell ref="B51:E51"/>
    <mergeCell ref="B60:E60"/>
    <mergeCell ref="F63:F65"/>
    <mergeCell ref="C66:F66"/>
    <mergeCell ref="B68:E68"/>
    <mergeCell ref="B69:E69"/>
    <mergeCell ref="B70:E70"/>
    <mergeCell ref="B72:E72"/>
    <mergeCell ref="B73:E73"/>
    <mergeCell ref="B75:E75"/>
    <mergeCell ref="C76:E76"/>
    <mergeCell ref="C77:E77"/>
    <mergeCell ref="C91:E91"/>
    <mergeCell ref="F78:F80"/>
    <mergeCell ref="C79:E79"/>
    <mergeCell ref="C80:E80"/>
    <mergeCell ref="C81:F81"/>
    <mergeCell ref="B83:E83"/>
    <mergeCell ref="B84:E84"/>
    <mergeCell ref="C78:E78"/>
    <mergeCell ref="B85:E85"/>
    <mergeCell ref="B86:E86"/>
    <mergeCell ref="B87:E87"/>
    <mergeCell ref="B88:E88"/>
    <mergeCell ref="B90:E90"/>
    <mergeCell ref="B103:E103"/>
    <mergeCell ref="C92:E92"/>
    <mergeCell ref="C93:E93"/>
    <mergeCell ref="F93:F95"/>
    <mergeCell ref="C94:E94"/>
    <mergeCell ref="C95:E95"/>
    <mergeCell ref="C96:E96"/>
    <mergeCell ref="C97:F97"/>
    <mergeCell ref="B99:E99"/>
    <mergeCell ref="B100:E100"/>
    <mergeCell ref="B101:E101"/>
    <mergeCell ref="B102:E102"/>
    <mergeCell ref="B126:E126"/>
    <mergeCell ref="B104:E104"/>
    <mergeCell ref="B113:E113"/>
    <mergeCell ref="B115:E115"/>
    <mergeCell ref="B116:E116"/>
    <mergeCell ref="B117:E117"/>
    <mergeCell ref="B118:E118"/>
    <mergeCell ref="B119:E119"/>
    <mergeCell ref="B120:E120"/>
    <mergeCell ref="B122:E122"/>
    <mergeCell ref="B124:E124"/>
    <mergeCell ref="B125:E125"/>
    <mergeCell ref="B135:E135"/>
    <mergeCell ref="B136:E136"/>
    <mergeCell ref="B137:E137"/>
    <mergeCell ref="B138:E138"/>
    <mergeCell ref="B127:E127"/>
    <mergeCell ref="B128:E128"/>
    <mergeCell ref="B129:E129"/>
    <mergeCell ref="B131:E131"/>
    <mergeCell ref="B133:E133"/>
    <mergeCell ref="B134:E134"/>
  </mergeCells>
  <conditionalFormatting sqref="A8:A22">
    <cfRule type="cellIs" dxfId="119" priority="39" stopIfTrue="1" operator="equal">
      <formula>"Key!"</formula>
    </cfRule>
  </conditionalFormatting>
  <conditionalFormatting sqref="A115:A120">
    <cfRule type="cellIs" dxfId="118" priority="37" stopIfTrue="1" operator="equal">
      <formula>"Key!"</formula>
    </cfRule>
  </conditionalFormatting>
  <conditionalFormatting sqref="A124:A129">
    <cfRule type="cellIs" dxfId="117" priority="24" stopIfTrue="1" operator="equal">
      <formula>"Key!"</formula>
    </cfRule>
  </conditionalFormatting>
  <conditionalFormatting sqref="A104">
    <cfRule type="cellIs" dxfId="116" priority="38" stopIfTrue="1" operator="equal">
      <formula>"Key!"</formula>
    </cfRule>
  </conditionalFormatting>
  <conditionalFormatting sqref="A133:A138">
    <cfRule type="cellIs" dxfId="115" priority="23" stopIfTrue="1" operator="equal">
      <formula>"Key!"</formula>
    </cfRule>
  </conditionalFormatting>
  <conditionalFormatting sqref="A23:A28 A31:A36">
    <cfRule type="cellIs" dxfId="114" priority="36" stopIfTrue="1" operator="equal">
      <formula>"Key!"</formula>
    </cfRule>
  </conditionalFormatting>
  <conditionalFormatting sqref="A38:A43 A46:A51">
    <cfRule type="cellIs" dxfId="113" priority="35" stopIfTrue="1" operator="equal">
      <formula>"Key!"</formula>
    </cfRule>
  </conditionalFormatting>
  <conditionalFormatting sqref="A60:A65 A68:A73">
    <cfRule type="cellIs" dxfId="112" priority="34" stopIfTrue="1" operator="equal">
      <formula>"Key!"</formula>
    </cfRule>
  </conditionalFormatting>
  <conditionalFormatting sqref="A75:A80 A83:A88">
    <cfRule type="cellIs" dxfId="111" priority="33" stopIfTrue="1" operator="equal">
      <formula>"Key!"</formula>
    </cfRule>
  </conditionalFormatting>
  <conditionalFormatting sqref="A90:A96 A99:A102">
    <cfRule type="cellIs" dxfId="110" priority="32" stopIfTrue="1" operator="equal">
      <formula>"Key!"</formula>
    </cfRule>
  </conditionalFormatting>
  <conditionalFormatting sqref="A103">
    <cfRule type="cellIs" dxfId="109" priority="31" stopIfTrue="1" operator="equal">
      <formula>"Key!"</formula>
    </cfRule>
  </conditionalFormatting>
  <conditionalFormatting sqref="A52">
    <cfRule type="cellIs" dxfId="108" priority="29" stopIfTrue="1" operator="equal">
      <formula>"Key!"</formula>
    </cfRule>
  </conditionalFormatting>
  <conditionalFormatting sqref="A37">
    <cfRule type="cellIs" dxfId="107" priority="30" stopIfTrue="1" operator="equal">
      <formula>"Key!"</formula>
    </cfRule>
  </conditionalFormatting>
  <conditionalFormatting sqref="A74">
    <cfRule type="cellIs" dxfId="106" priority="28" stopIfTrue="1" operator="equal">
      <formula>"Key!"</formula>
    </cfRule>
  </conditionalFormatting>
  <conditionalFormatting sqref="A89">
    <cfRule type="cellIs" dxfId="105" priority="27" stopIfTrue="1" operator="equal">
      <formula>"Key!"</formula>
    </cfRule>
  </conditionalFormatting>
  <conditionalFormatting sqref="A121">
    <cfRule type="cellIs" dxfId="104" priority="26" stopIfTrue="1" operator="equal">
      <formula>"Key!"</formula>
    </cfRule>
  </conditionalFormatting>
  <conditionalFormatting sqref="A130">
    <cfRule type="cellIs" dxfId="103" priority="25" stopIfTrue="1" operator="equal">
      <formula>"Key!"</formula>
    </cfRule>
  </conditionalFormatting>
  <conditionalFormatting sqref="A30">
    <cfRule type="cellIs" dxfId="102" priority="22" stopIfTrue="1" operator="equal">
      <formula>"Key!"</formula>
    </cfRule>
  </conditionalFormatting>
  <conditionalFormatting sqref="A45">
    <cfRule type="cellIs" dxfId="101" priority="21" stopIfTrue="1" operator="equal">
      <formula>"Key!"</formula>
    </cfRule>
  </conditionalFormatting>
  <conditionalFormatting sqref="A67">
    <cfRule type="cellIs" dxfId="100" priority="20" stopIfTrue="1" operator="equal">
      <formula>"Key!"</formula>
    </cfRule>
  </conditionalFormatting>
  <conditionalFormatting sqref="A82">
    <cfRule type="cellIs" dxfId="99" priority="19" stopIfTrue="1" operator="equal">
      <formula>"Key!"</formula>
    </cfRule>
  </conditionalFormatting>
  <conditionalFormatting sqref="A98">
    <cfRule type="cellIs" dxfId="98" priority="18" stopIfTrue="1" operator="equal">
      <formula>"Key!"</formula>
    </cfRule>
  </conditionalFormatting>
  <conditionalFormatting sqref="A113">
    <cfRule type="cellIs" dxfId="97" priority="16" stopIfTrue="1" operator="equal">
      <formula>"Key!"</formula>
    </cfRule>
  </conditionalFormatting>
  <conditionalFormatting sqref="A114">
    <cfRule type="cellIs" dxfId="96" priority="17" stopIfTrue="1" operator="equal">
      <formula>"Key!"</formula>
    </cfRule>
  </conditionalFormatting>
  <conditionalFormatting sqref="A122">
    <cfRule type="cellIs" dxfId="95" priority="14" stopIfTrue="1" operator="equal">
      <formula>"Key!"</formula>
    </cfRule>
  </conditionalFormatting>
  <conditionalFormatting sqref="A131">
    <cfRule type="cellIs" dxfId="94" priority="12" stopIfTrue="1" operator="equal">
      <formula>"Key!"</formula>
    </cfRule>
  </conditionalFormatting>
  <conditionalFormatting sqref="A123">
    <cfRule type="cellIs" dxfId="93" priority="15" stopIfTrue="1" operator="equal">
      <formula>"Key!"</formula>
    </cfRule>
  </conditionalFormatting>
  <conditionalFormatting sqref="A132">
    <cfRule type="cellIs" dxfId="92" priority="13" stopIfTrue="1" operator="equal">
      <formula>"Key!"</formula>
    </cfRule>
  </conditionalFormatting>
  <conditionalFormatting sqref="C14">
    <cfRule type="notContainsBlanks" dxfId="91" priority="40">
      <formula>LEN(TRIM(C14))&gt;0</formula>
    </cfRule>
  </conditionalFormatting>
  <conditionalFormatting sqref="C29">
    <cfRule type="notContainsBlanks" dxfId="90" priority="11">
      <formula>LEN(TRIM(C29))&gt;0</formula>
    </cfRule>
  </conditionalFormatting>
  <conditionalFormatting sqref="C44">
    <cfRule type="notContainsBlanks" dxfId="89" priority="10">
      <formula>LEN(TRIM(C44))&gt;0</formula>
    </cfRule>
  </conditionalFormatting>
  <conditionalFormatting sqref="C66">
    <cfRule type="notContainsBlanks" dxfId="88" priority="9">
      <formula>LEN(TRIM(C66))&gt;0</formula>
    </cfRule>
  </conditionalFormatting>
  <conditionalFormatting sqref="C81">
    <cfRule type="notContainsBlanks" dxfId="87" priority="8">
      <formula>LEN(TRIM(C81))&gt;0</formula>
    </cfRule>
  </conditionalFormatting>
  <conditionalFormatting sqref="C97">
    <cfRule type="notContainsBlanks" dxfId="86" priority="7">
      <formula>LEN(TRIM(C97))&gt;0</formula>
    </cfRule>
  </conditionalFormatting>
  <conditionalFormatting sqref="D7">
    <cfRule type="cellIs" dxfId="85" priority="6" operator="equal">
      <formula>"Yes"</formula>
    </cfRule>
  </conditionalFormatting>
  <conditionalFormatting sqref="A29">
    <cfRule type="cellIs" dxfId="84" priority="5" stopIfTrue="1" operator="equal">
      <formula>"Key!"</formula>
    </cfRule>
  </conditionalFormatting>
  <conditionalFormatting sqref="A44">
    <cfRule type="cellIs" dxfId="83" priority="4" stopIfTrue="1" operator="equal">
      <formula>"Key!"</formula>
    </cfRule>
  </conditionalFormatting>
  <conditionalFormatting sqref="A66">
    <cfRule type="cellIs" dxfId="82" priority="3" stopIfTrue="1" operator="equal">
      <formula>"Key!"</formula>
    </cfRule>
  </conditionalFormatting>
  <conditionalFormatting sqref="A81">
    <cfRule type="cellIs" dxfId="81" priority="2" stopIfTrue="1" operator="equal">
      <formula>"Key!"</formula>
    </cfRule>
  </conditionalFormatting>
  <conditionalFormatting sqref="A97">
    <cfRule type="cellIs" dxfId="80" priority="1" stopIfTrue="1" operator="equal">
      <formula>"Key!"</formula>
    </cfRule>
  </conditionalFormatting>
  <dataValidations count="6">
    <dataValidation type="list" allowBlank="1" showInputMessage="1" showErrorMessage="1" sqref="D7">
      <formula1>YesNo</formula1>
    </dataValidation>
    <dataValidation type="decimal" allowBlank="1" showInputMessage="1" showErrorMessage="1" errorTitle="Invalid Score" error="The score must be between 1.0 and 5.0." promptTitle="Score Format" prompt="Score can range from 1 to 5 and will be automatically rounded to one decimal place." sqref="F11:F13 F26:F28 F41:F43 F78:F80 F63:F65 F93:F95">
      <formula1>1</formula1>
      <formula2>5</formula2>
    </dataValidation>
    <dataValidation type="list" allowBlank="1" showErrorMessage="1" prompt="Critical: Will prevent success_x000a_Important: Likely to prevent success_x000a_Concern: Could prevent success_x000a_Support: Likely to aid success_x000a_Excellent: Continue!" sqref="F16 F31 F46 F68 F83 F99 F115:F120 F124:F128">
      <formula1>Comments</formula1>
    </dataValidation>
    <dataValidation type="list" allowBlank="1" showInputMessage="1" showErrorMessage="1" sqref="A16:A21 A31:A36 A46:A51 A68:A73 A83:A88 A99:A104 A115:A120 A124:A129 A133:A138">
      <formula1>KeyFindings</formula1>
    </dataValidation>
    <dataValidation type="list" allowBlank="1" showInputMessage="1" showErrorMessage="1" sqref="F133:F138 F17:F21 F32:F36 F47:F51 F69:F73 F84:F88 F121 F100:F105 F129:F130">
      <formula1>Comments</formula1>
    </dataValidation>
    <dataValidation allowBlank="1" showErrorMessage="1" promptTitle="Project Name" prompt="MANDATORY entry._x000a_Project Number should be in &quot;XX-##&quot; format for Orals (e.g. PD-01)_x000a_or &quot;XXX-##&quot; format for Posters (e.g. FCP-14)." sqref="C56 C109"/>
  </dataValidations>
  <pageMargins left="0.5" right="0.5" top="0.5" bottom="0.5" header="0.3" footer="0.3"/>
  <pageSetup scale="69" fitToHeight="3" orientation="portrait" r:id="rId1"/>
  <rowBreaks count="2" manualBreakCount="2">
    <brk id="52" max="16383" man="1"/>
    <brk id="105"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6" tint="0.39997558519241921"/>
  </sheetPr>
  <dimension ref="A1:H138"/>
  <sheetViews>
    <sheetView showGridLines="0" zoomScaleNormal="100" workbookViewId="0">
      <selection activeCell="B3" sqref="B3"/>
    </sheetView>
  </sheetViews>
  <sheetFormatPr defaultColWidth="8.81640625" defaultRowHeight="14" x14ac:dyDescent="0.3"/>
  <cols>
    <col min="1" max="1" width="6.1796875" style="3" customWidth="1"/>
    <col min="2" max="2" width="12.26953125" style="1" customWidth="1"/>
    <col min="3" max="3" width="55.7265625" style="3" customWidth="1"/>
    <col min="4" max="4" width="16.7265625" style="3" customWidth="1"/>
    <col min="5" max="5" width="38.54296875" style="3" customWidth="1"/>
    <col min="6" max="6" width="9.7265625" style="3" customWidth="1"/>
    <col min="7" max="7" width="1.7265625" style="3" customWidth="1"/>
    <col min="8" max="8" width="70.7265625" style="3" customWidth="1"/>
    <col min="9" max="16384" width="8.81640625" style="3"/>
  </cols>
  <sheetData>
    <row r="1" spans="1:8" s="32" customFormat="1" ht="22.5" customHeight="1" x14ac:dyDescent="0.35">
      <c r="A1" s="31"/>
      <c r="B1" s="31"/>
      <c r="C1" s="30" t="s">
        <v>773</v>
      </c>
      <c r="D1" s="30"/>
      <c r="E1" s="30"/>
      <c r="F1" s="33" t="s">
        <v>110</v>
      </c>
      <c r="H1" s="94" t="s">
        <v>438</v>
      </c>
    </row>
    <row r="2" spans="1:8" s="32" customFormat="1" ht="22.5" customHeight="1" x14ac:dyDescent="0.35">
      <c r="A2" s="31"/>
      <c r="B2" s="31"/>
      <c r="C2" s="47" t="s">
        <v>337</v>
      </c>
      <c r="D2" s="30"/>
      <c r="E2" s="30"/>
      <c r="F2" s="33" t="s">
        <v>111</v>
      </c>
      <c r="H2" s="430" t="s">
        <v>789</v>
      </c>
    </row>
    <row r="3" spans="1:8" s="32" customFormat="1" ht="42" customHeight="1" x14ac:dyDescent="0.35">
      <c r="A3" s="53"/>
      <c r="B3" s="54"/>
      <c r="C3" s="65" t="s">
        <v>724</v>
      </c>
      <c r="D3" s="54"/>
      <c r="E3" s="54"/>
      <c r="F3" s="62" t="s">
        <v>831</v>
      </c>
      <c r="H3" s="430"/>
    </row>
    <row r="4" spans="1:8" ht="18" customHeight="1" x14ac:dyDescent="0.3">
      <c r="A4" s="16"/>
      <c r="B4" s="17" t="s">
        <v>0</v>
      </c>
      <c r="C4" s="419" t="s">
        <v>540</v>
      </c>
      <c r="D4" s="18" t="s">
        <v>35</v>
      </c>
      <c r="E4" s="67" t="s">
        <v>791</v>
      </c>
      <c r="F4" s="63" t="s">
        <v>338</v>
      </c>
      <c r="H4" s="430"/>
    </row>
    <row r="5" spans="1:8" ht="18" customHeight="1" x14ac:dyDescent="0.3">
      <c r="A5" s="45"/>
      <c r="B5" s="45" t="s">
        <v>1</v>
      </c>
      <c r="C5" s="66" t="s">
        <v>603</v>
      </c>
      <c r="D5" s="46" t="s">
        <v>427</v>
      </c>
      <c r="E5" s="166" t="s">
        <v>833</v>
      </c>
      <c r="F5" s="64" t="s">
        <v>339</v>
      </c>
      <c r="H5" s="430"/>
    </row>
    <row r="6" spans="1:8" ht="15" customHeight="1" x14ac:dyDescent="0.3">
      <c r="A6" s="95" t="s">
        <v>439</v>
      </c>
      <c r="B6" s="96"/>
      <c r="C6" s="97"/>
      <c r="D6" s="99" t="s">
        <v>432</v>
      </c>
      <c r="E6" s="455" t="s">
        <v>449</v>
      </c>
      <c r="F6" s="81" t="s">
        <v>423</v>
      </c>
      <c r="H6" s="430"/>
    </row>
    <row r="7" spans="1:8" ht="15" customHeight="1" thickBot="1" x14ac:dyDescent="0.35">
      <c r="A7" s="95" t="s">
        <v>2</v>
      </c>
      <c r="B7" s="96"/>
      <c r="C7" s="98"/>
      <c r="D7" s="425" t="s">
        <v>423</v>
      </c>
      <c r="E7" s="456"/>
      <c r="F7" s="82" t="s">
        <v>423</v>
      </c>
      <c r="H7" s="430"/>
    </row>
    <row r="8" spans="1:8" ht="39" x14ac:dyDescent="0.3">
      <c r="A8" s="22" t="s">
        <v>9</v>
      </c>
      <c r="B8" s="427" t="s">
        <v>780</v>
      </c>
      <c r="C8" s="427"/>
      <c r="D8" s="427"/>
      <c r="E8" s="429"/>
      <c r="F8" s="20" t="s">
        <v>42</v>
      </c>
      <c r="H8" s="430"/>
    </row>
    <row r="9" spans="1:8" s="4" customFormat="1" ht="12.75" customHeight="1" x14ac:dyDescent="0.35">
      <c r="A9" s="35" t="s">
        <v>4</v>
      </c>
      <c r="B9" s="36" t="s">
        <v>11</v>
      </c>
      <c r="C9" s="37" t="s">
        <v>775</v>
      </c>
      <c r="D9" s="10"/>
      <c r="E9" s="38"/>
      <c r="F9" s="9"/>
      <c r="H9" s="430"/>
    </row>
    <row r="10" spans="1:8" s="4" customFormat="1" ht="12.75" customHeight="1" thickBot="1" x14ac:dyDescent="0.3">
      <c r="A10" s="35" t="s">
        <v>5</v>
      </c>
      <c r="B10" s="36" t="s">
        <v>12</v>
      </c>
      <c r="C10" s="37" t="s">
        <v>776</v>
      </c>
      <c r="D10" s="10"/>
      <c r="E10" s="38"/>
      <c r="F10" s="21" t="s">
        <v>3</v>
      </c>
      <c r="H10" s="94" t="s">
        <v>440</v>
      </c>
    </row>
    <row r="11" spans="1:8" s="4" customFormat="1" ht="12.75" customHeight="1" x14ac:dyDescent="0.35">
      <c r="A11" s="35" t="s">
        <v>6</v>
      </c>
      <c r="B11" s="36" t="s">
        <v>13</v>
      </c>
      <c r="C11" s="37" t="s">
        <v>777</v>
      </c>
      <c r="D11" s="39"/>
      <c r="E11" s="7"/>
      <c r="F11" s="446">
        <v>4.5</v>
      </c>
      <c r="H11" s="100" t="s">
        <v>781</v>
      </c>
    </row>
    <row r="12" spans="1:8" s="4" customFormat="1" ht="12.75" customHeight="1" x14ac:dyDescent="0.35">
      <c r="A12" s="35" t="s">
        <v>7</v>
      </c>
      <c r="B12" s="36" t="s">
        <v>14</v>
      </c>
      <c r="C12" s="37" t="s">
        <v>778</v>
      </c>
      <c r="D12" s="39"/>
      <c r="E12" s="7"/>
      <c r="F12" s="447"/>
      <c r="H12" s="100" t="s">
        <v>782</v>
      </c>
    </row>
    <row r="13" spans="1:8" s="4" customFormat="1" ht="12.75" customHeight="1" thickBot="1" x14ac:dyDescent="0.4">
      <c r="A13" s="35" t="s">
        <v>8</v>
      </c>
      <c r="B13" s="36" t="s">
        <v>15</v>
      </c>
      <c r="C13" s="37" t="s">
        <v>779</v>
      </c>
      <c r="D13" s="39"/>
      <c r="E13" s="7"/>
      <c r="F13" s="448"/>
      <c r="H13" s="100"/>
    </row>
    <row r="14" spans="1:8" s="4" customFormat="1" ht="12.75" customHeight="1" x14ac:dyDescent="0.25">
      <c r="A14" s="381"/>
      <c r="B14" s="382" t="s">
        <v>428</v>
      </c>
      <c r="C14" s="443"/>
      <c r="D14" s="443"/>
      <c r="E14" s="443"/>
      <c r="F14" s="444"/>
    </row>
    <row r="15" spans="1:8" s="8" customFormat="1" ht="24" customHeight="1" x14ac:dyDescent="0.3">
      <c r="A15" s="69" t="s">
        <v>223</v>
      </c>
      <c r="B15" s="70" t="s">
        <v>45</v>
      </c>
      <c r="C15" s="71"/>
      <c r="D15" s="71"/>
      <c r="E15" s="71"/>
      <c r="F15" s="68" t="s">
        <v>335</v>
      </c>
      <c r="G15" s="48"/>
      <c r="H15" s="94" t="s">
        <v>441</v>
      </c>
    </row>
    <row r="16" spans="1:8" s="4" customFormat="1" ht="24" customHeight="1" x14ac:dyDescent="0.35">
      <c r="A16" s="19"/>
      <c r="B16" s="452" t="s">
        <v>799</v>
      </c>
      <c r="C16" s="453"/>
      <c r="D16" s="453"/>
      <c r="E16" s="454"/>
      <c r="F16" s="23" t="s">
        <v>423</v>
      </c>
      <c r="G16" s="49"/>
      <c r="H16" s="284" t="s">
        <v>423</v>
      </c>
    </row>
    <row r="17" spans="1:8" s="4" customFormat="1" ht="24" customHeight="1" x14ac:dyDescent="0.35">
      <c r="A17" s="11"/>
      <c r="B17" s="435"/>
      <c r="C17" s="435"/>
      <c r="D17" s="435"/>
      <c r="E17" s="436"/>
      <c r="F17" s="12"/>
      <c r="G17" s="49"/>
      <c r="H17" s="284" t="s">
        <v>423</v>
      </c>
    </row>
    <row r="18" spans="1:8" s="4" customFormat="1" ht="24" customHeight="1" x14ac:dyDescent="0.35">
      <c r="A18" s="11"/>
      <c r="B18" s="435"/>
      <c r="C18" s="435"/>
      <c r="D18" s="435"/>
      <c r="E18" s="436"/>
      <c r="F18" s="12"/>
      <c r="G18" s="49"/>
      <c r="H18" s="284" t="s">
        <v>423</v>
      </c>
    </row>
    <row r="19" spans="1:8" s="4" customFormat="1" ht="24" customHeight="1" x14ac:dyDescent="0.35">
      <c r="A19" s="11"/>
      <c r="B19" s="435"/>
      <c r="C19" s="435"/>
      <c r="D19" s="435"/>
      <c r="E19" s="436"/>
      <c r="F19" s="12"/>
      <c r="G19" s="49"/>
      <c r="H19" s="284" t="s">
        <v>423</v>
      </c>
    </row>
    <row r="20" spans="1:8" s="4" customFormat="1" ht="24" customHeight="1" x14ac:dyDescent="0.35">
      <c r="A20" s="11"/>
      <c r="B20" s="435"/>
      <c r="C20" s="435"/>
      <c r="D20" s="435"/>
      <c r="E20" s="436"/>
      <c r="F20" s="12"/>
      <c r="G20" s="49"/>
      <c r="H20" s="284" t="s">
        <v>423</v>
      </c>
    </row>
    <row r="21" spans="1:8" s="4" customFormat="1" ht="24" customHeight="1" thickBot="1" x14ac:dyDescent="0.4">
      <c r="A21" s="13"/>
      <c r="B21" s="437"/>
      <c r="C21" s="437"/>
      <c r="D21" s="437"/>
      <c r="E21" s="438"/>
      <c r="F21" s="14"/>
      <c r="G21" s="49"/>
      <c r="H21" s="284" t="s">
        <v>423</v>
      </c>
    </row>
    <row r="22" spans="1:8" ht="12.75" customHeight="1" thickBot="1" x14ac:dyDescent="0.25">
      <c r="G22" s="50"/>
      <c r="H22" s="284" t="s">
        <v>423</v>
      </c>
    </row>
    <row r="23" spans="1:8" ht="27.75" customHeight="1" x14ac:dyDescent="0.3">
      <c r="A23" s="22" t="s">
        <v>36</v>
      </c>
      <c r="B23" s="427" t="s">
        <v>456</v>
      </c>
      <c r="C23" s="427"/>
      <c r="D23" s="427"/>
      <c r="E23" s="429"/>
      <c r="F23" s="20" t="s">
        <v>41</v>
      </c>
      <c r="H23" s="284" t="s">
        <v>423</v>
      </c>
    </row>
    <row r="24" spans="1:8" s="4" customFormat="1" ht="12.75" customHeight="1" x14ac:dyDescent="0.25">
      <c r="A24" s="35" t="s">
        <v>4</v>
      </c>
      <c r="B24" s="36" t="s">
        <v>11</v>
      </c>
      <c r="C24" s="37" t="s">
        <v>18</v>
      </c>
      <c r="D24" s="10"/>
      <c r="E24" s="38"/>
      <c r="F24" s="9"/>
      <c r="H24" s="284" t="s">
        <v>423</v>
      </c>
    </row>
    <row r="25" spans="1:8" s="4" customFormat="1" ht="12.75" customHeight="1" thickBot="1" x14ac:dyDescent="0.3">
      <c r="A25" s="35" t="s">
        <v>5</v>
      </c>
      <c r="B25" s="36" t="s">
        <v>12</v>
      </c>
      <c r="C25" s="37" t="s">
        <v>19</v>
      </c>
      <c r="D25" s="10"/>
      <c r="E25" s="38"/>
      <c r="F25" s="21" t="s">
        <v>3</v>
      </c>
      <c r="H25" s="284" t="s">
        <v>423</v>
      </c>
    </row>
    <row r="26" spans="1:8" s="4" customFormat="1" ht="12.75" customHeight="1" x14ac:dyDescent="0.35">
      <c r="A26" s="35" t="s">
        <v>6</v>
      </c>
      <c r="B26" s="36" t="s">
        <v>13</v>
      </c>
      <c r="C26" s="37" t="s">
        <v>20</v>
      </c>
      <c r="D26" s="39"/>
      <c r="E26" s="72"/>
      <c r="F26" s="446">
        <v>4.8</v>
      </c>
      <c r="H26" s="237"/>
    </row>
    <row r="27" spans="1:8" s="4" customFormat="1" ht="12.75" customHeight="1" x14ac:dyDescent="0.35">
      <c r="A27" s="35" t="s">
        <v>7</v>
      </c>
      <c r="B27" s="36" t="s">
        <v>14</v>
      </c>
      <c r="C27" s="37" t="s">
        <v>418</v>
      </c>
      <c r="D27" s="39"/>
      <c r="E27" s="72"/>
      <c r="F27" s="450"/>
    </row>
    <row r="28" spans="1:8" s="4" customFormat="1" ht="12.75" customHeight="1" thickBot="1" x14ac:dyDescent="0.4">
      <c r="A28" s="35" t="s">
        <v>8</v>
      </c>
      <c r="B28" s="36" t="s">
        <v>15</v>
      </c>
      <c r="C28" s="37" t="s">
        <v>21</v>
      </c>
      <c r="D28" s="39"/>
      <c r="E28" s="72"/>
      <c r="F28" s="451"/>
    </row>
    <row r="29" spans="1:8" s="4" customFormat="1" ht="12.75" customHeight="1" x14ac:dyDescent="0.35">
      <c r="A29" s="381"/>
      <c r="B29" s="382" t="s">
        <v>428</v>
      </c>
      <c r="C29" s="443"/>
      <c r="D29" s="443"/>
      <c r="E29" s="443"/>
      <c r="F29" s="444"/>
    </row>
    <row r="30" spans="1:8" s="8" customFormat="1" ht="24" customHeight="1" x14ac:dyDescent="0.25">
      <c r="A30" s="42" t="s">
        <v>223</v>
      </c>
      <c r="B30" s="24" t="s">
        <v>45</v>
      </c>
      <c r="C30" s="25"/>
      <c r="D30" s="25"/>
      <c r="E30" s="25"/>
      <c r="F30" s="68" t="s">
        <v>335</v>
      </c>
    </row>
    <row r="31" spans="1:8" s="4" customFormat="1" ht="24" customHeight="1" x14ac:dyDescent="0.35">
      <c r="A31" s="19"/>
      <c r="B31" s="449" t="s">
        <v>800</v>
      </c>
      <c r="C31" s="441"/>
      <c r="D31" s="441"/>
      <c r="E31" s="442"/>
      <c r="F31" s="23"/>
    </row>
    <row r="32" spans="1:8" s="4" customFormat="1" ht="24" customHeight="1" x14ac:dyDescent="0.35">
      <c r="A32" s="11"/>
      <c r="B32" s="435" t="s">
        <v>801</v>
      </c>
      <c r="C32" s="435"/>
      <c r="D32" s="435"/>
      <c r="E32" s="436"/>
      <c r="F32" s="12"/>
    </row>
    <row r="33" spans="1:6" s="4" customFormat="1" ht="24" customHeight="1" x14ac:dyDescent="0.35">
      <c r="A33" s="11"/>
      <c r="B33" s="435" t="s">
        <v>802</v>
      </c>
      <c r="C33" s="435"/>
      <c r="D33" s="435"/>
      <c r="E33" s="436"/>
      <c r="F33" s="12"/>
    </row>
    <row r="34" spans="1:6" s="4" customFormat="1" ht="24" customHeight="1" x14ac:dyDescent="0.35">
      <c r="A34" s="11"/>
      <c r="B34" s="435"/>
      <c r="C34" s="435"/>
      <c r="D34" s="435"/>
      <c r="E34" s="436"/>
      <c r="F34" s="12"/>
    </row>
    <row r="35" spans="1:6" s="4" customFormat="1" ht="24" customHeight="1" x14ac:dyDescent="0.35">
      <c r="A35" s="11"/>
      <c r="B35" s="435"/>
      <c r="C35" s="435"/>
      <c r="D35" s="435"/>
      <c r="E35" s="436"/>
      <c r="F35" s="12"/>
    </row>
    <row r="36" spans="1:6" s="4" customFormat="1" ht="24" customHeight="1" thickBot="1" x14ac:dyDescent="0.4">
      <c r="A36" s="13"/>
      <c r="B36" s="437"/>
      <c r="C36" s="437"/>
      <c r="D36" s="437"/>
      <c r="E36" s="438"/>
      <c r="F36" s="14"/>
    </row>
    <row r="37" spans="1:6" ht="12.75" customHeight="1" thickBot="1" x14ac:dyDescent="0.35"/>
    <row r="38" spans="1:6" ht="30.75" customHeight="1" x14ac:dyDescent="0.3">
      <c r="A38" s="22" t="s">
        <v>37</v>
      </c>
      <c r="B38" s="427" t="s">
        <v>457</v>
      </c>
      <c r="C38" s="427"/>
      <c r="D38" s="427"/>
      <c r="E38" s="429"/>
      <c r="F38" s="20" t="s">
        <v>41</v>
      </c>
    </row>
    <row r="39" spans="1:6" s="4" customFormat="1" ht="12.75" customHeight="1" x14ac:dyDescent="0.35">
      <c r="A39" s="35" t="s">
        <v>4</v>
      </c>
      <c r="B39" s="36" t="s">
        <v>11</v>
      </c>
      <c r="C39" s="37" t="s">
        <v>22</v>
      </c>
      <c r="D39" s="10"/>
      <c r="E39" s="38"/>
      <c r="F39" s="9"/>
    </row>
    <row r="40" spans="1:6" s="4" customFormat="1" ht="12.75" customHeight="1" thickBot="1" x14ac:dyDescent="0.4">
      <c r="A40" s="35" t="s">
        <v>5</v>
      </c>
      <c r="B40" s="36" t="s">
        <v>12</v>
      </c>
      <c r="C40" s="37" t="s">
        <v>23</v>
      </c>
      <c r="D40" s="10"/>
      <c r="E40" s="38"/>
      <c r="F40" s="21" t="s">
        <v>3</v>
      </c>
    </row>
    <row r="41" spans="1:6" s="4" customFormat="1" ht="12.75" customHeight="1" x14ac:dyDescent="0.35">
      <c r="A41" s="35" t="s">
        <v>6</v>
      </c>
      <c r="B41" s="36" t="s">
        <v>13</v>
      </c>
      <c r="C41" s="37" t="s">
        <v>442</v>
      </c>
      <c r="D41" s="39"/>
      <c r="E41" s="72"/>
      <c r="F41" s="446">
        <v>4</v>
      </c>
    </row>
    <row r="42" spans="1:6" s="4" customFormat="1" ht="16.5" customHeight="1" x14ac:dyDescent="0.35">
      <c r="A42" s="35" t="s">
        <v>7</v>
      </c>
      <c r="B42" s="36" t="s">
        <v>14</v>
      </c>
      <c r="C42" s="37" t="s">
        <v>24</v>
      </c>
      <c r="D42" s="420"/>
      <c r="E42" s="420"/>
      <c r="F42" s="450"/>
    </row>
    <row r="43" spans="1:6" s="4" customFormat="1" ht="12.75" customHeight="1" thickBot="1" x14ac:dyDescent="0.4">
      <c r="A43" s="35" t="s">
        <v>8</v>
      </c>
      <c r="B43" s="36" t="s">
        <v>15</v>
      </c>
      <c r="C43" s="37" t="s">
        <v>443</v>
      </c>
      <c r="D43" s="39"/>
      <c r="E43" s="72"/>
      <c r="F43" s="451"/>
    </row>
    <row r="44" spans="1:6" s="4" customFormat="1" ht="12.75" customHeight="1" x14ac:dyDescent="0.35">
      <c r="A44" s="381"/>
      <c r="B44" s="382" t="s">
        <v>428</v>
      </c>
      <c r="C44" s="443"/>
      <c r="D44" s="443"/>
      <c r="E44" s="443"/>
      <c r="F44" s="444"/>
    </row>
    <row r="45" spans="1:6" s="8" customFormat="1" ht="24" customHeight="1" x14ac:dyDescent="0.25">
      <c r="A45" s="42" t="s">
        <v>223</v>
      </c>
      <c r="B45" s="24" t="s">
        <v>45</v>
      </c>
      <c r="C45" s="25"/>
      <c r="D45" s="25"/>
      <c r="E45" s="25"/>
      <c r="F45" s="68" t="s">
        <v>335</v>
      </c>
    </row>
    <row r="46" spans="1:6" s="4" customFormat="1" ht="24" customHeight="1" x14ac:dyDescent="0.35">
      <c r="A46" s="19"/>
      <c r="B46" s="449" t="s">
        <v>803</v>
      </c>
      <c r="C46" s="441"/>
      <c r="D46" s="441"/>
      <c r="E46" s="442"/>
      <c r="F46" s="23"/>
    </row>
    <row r="47" spans="1:6" s="4" customFormat="1" ht="24" customHeight="1" x14ac:dyDescent="0.35">
      <c r="A47" s="11"/>
      <c r="B47" s="435" t="s">
        <v>804</v>
      </c>
      <c r="C47" s="435"/>
      <c r="D47" s="435"/>
      <c r="E47" s="436"/>
      <c r="F47" s="12"/>
    </row>
    <row r="48" spans="1:6" s="4" customFormat="1" ht="24" customHeight="1" x14ac:dyDescent="0.35">
      <c r="A48" s="11"/>
      <c r="B48" s="435" t="s">
        <v>805</v>
      </c>
      <c r="C48" s="435"/>
      <c r="D48" s="435"/>
      <c r="E48" s="436"/>
      <c r="F48" s="12"/>
    </row>
    <row r="49" spans="1:6" s="4" customFormat="1" ht="24" customHeight="1" x14ac:dyDescent="0.35">
      <c r="A49" s="11"/>
      <c r="B49" s="435"/>
      <c r="C49" s="435"/>
      <c r="D49" s="435"/>
      <c r="E49" s="436"/>
      <c r="F49" s="12"/>
    </row>
    <row r="50" spans="1:6" s="4" customFormat="1" ht="24" customHeight="1" x14ac:dyDescent="0.35">
      <c r="A50" s="11"/>
      <c r="B50" s="435"/>
      <c r="C50" s="435"/>
      <c r="D50" s="435"/>
      <c r="E50" s="436"/>
      <c r="F50" s="12"/>
    </row>
    <row r="51" spans="1:6" s="4" customFormat="1" ht="24" customHeight="1" thickBot="1" x14ac:dyDescent="0.4">
      <c r="A51" s="13"/>
      <c r="B51" s="437"/>
      <c r="C51" s="437"/>
      <c r="D51" s="437"/>
      <c r="E51" s="438"/>
      <c r="F51" s="14"/>
    </row>
    <row r="52" spans="1:6" ht="12.75" customHeight="1" x14ac:dyDescent="0.3"/>
    <row r="53" spans="1:6" s="32" customFormat="1" ht="22.5" customHeight="1" x14ac:dyDescent="0.35">
      <c r="A53" s="31"/>
      <c r="B53" s="31"/>
      <c r="C53" s="30" t="s">
        <v>430</v>
      </c>
      <c r="D53" s="30"/>
      <c r="E53" s="30"/>
      <c r="F53" s="33" t="s">
        <v>110</v>
      </c>
    </row>
    <row r="54" spans="1:6" s="32" customFormat="1" ht="22.5" customHeight="1" x14ac:dyDescent="0.35">
      <c r="A54" s="31"/>
      <c r="B54" s="31"/>
      <c r="C54" s="47" t="s">
        <v>337</v>
      </c>
      <c r="D54" s="30"/>
      <c r="E54" s="30"/>
      <c r="F54" s="33" t="s">
        <v>112</v>
      </c>
    </row>
    <row r="55" spans="1:6" s="32" customFormat="1" ht="42" customHeight="1" x14ac:dyDescent="0.35">
      <c r="A55" s="53"/>
      <c r="B55" s="54"/>
      <c r="C55" s="65" t="s">
        <v>724</v>
      </c>
      <c r="D55" s="54"/>
      <c r="E55" s="54"/>
      <c r="F55" s="62" t="s">
        <v>831</v>
      </c>
    </row>
    <row r="56" spans="1:6" ht="18" customHeight="1" x14ac:dyDescent="0.3">
      <c r="A56" s="16"/>
      <c r="B56" s="17" t="s">
        <v>0</v>
      </c>
      <c r="C56" s="66" t="s">
        <v>540</v>
      </c>
      <c r="D56" s="18" t="s">
        <v>35</v>
      </c>
      <c r="E56" s="66" t="s">
        <v>791</v>
      </c>
      <c r="F56" s="63" t="s">
        <v>338</v>
      </c>
    </row>
    <row r="57" spans="1:6" ht="18" customHeight="1" x14ac:dyDescent="0.3">
      <c r="A57" s="6"/>
      <c r="B57" s="45" t="s">
        <v>1</v>
      </c>
      <c r="C57" s="66" t="s">
        <v>603</v>
      </c>
      <c r="D57" s="46" t="s">
        <v>427</v>
      </c>
      <c r="E57" s="66">
        <v>237</v>
      </c>
      <c r="F57" s="64" t="s">
        <v>339</v>
      </c>
    </row>
    <row r="58" spans="1:6" ht="15" customHeight="1" x14ac:dyDescent="0.3">
      <c r="A58" s="51" t="s">
        <v>342</v>
      </c>
      <c r="B58" s="52"/>
      <c r="C58" s="34" t="s">
        <v>2</v>
      </c>
      <c r="D58" s="5"/>
      <c r="E58" s="15"/>
      <c r="F58" s="81" t="s">
        <v>423</v>
      </c>
    </row>
    <row r="59" spans="1:6" ht="15" customHeight="1" thickBot="1" x14ac:dyDescent="0.35">
      <c r="A59" s="51" t="s">
        <v>343</v>
      </c>
      <c r="B59" s="52"/>
      <c r="F59" s="82" t="s">
        <v>423</v>
      </c>
    </row>
    <row r="60" spans="1:6" ht="42" customHeight="1" x14ac:dyDescent="0.3">
      <c r="A60" s="22" t="s">
        <v>38</v>
      </c>
      <c r="B60" s="427" t="s">
        <v>421</v>
      </c>
      <c r="C60" s="427"/>
      <c r="D60" s="427"/>
      <c r="E60" s="429"/>
      <c r="F60" s="20" t="s">
        <v>43</v>
      </c>
    </row>
    <row r="61" spans="1:6" s="4" customFormat="1" ht="12.75" customHeight="1" x14ac:dyDescent="0.35">
      <c r="A61" s="35" t="s">
        <v>4</v>
      </c>
      <c r="B61" s="36" t="s">
        <v>11</v>
      </c>
      <c r="C61" s="37" t="s">
        <v>25</v>
      </c>
      <c r="D61" s="10"/>
      <c r="E61" s="38"/>
      <c r="F61" s="9"/>
    </row>
    <row r="62" spans="1:6" s="4" customFormat="1" ht="12.75" customHeight="1" thickBot="1" x14ac:dyDescent="0.4">
      <c r="A62" s="35" t="s">
        <v>5</v>
      </c>
      <c r="B62" s="36" t="s">
        <v>12</v>
      </c>
      <c r="C62" s="37" t="s">
        <v>26</v>
      </c>
      <c r="D62" s="10"/>
      <c r="E62" s="38"/>
      <c r="F62" s="21" t="s">
        <v>3</v>
      </c>
    </row>
    <row r="63" spans="1:6" s="4" customFormat="1" ht="12.75" customHeight="1" x14ac:dyDescent="0.35">
      <c r="A63" s="35" t="s">
        <v>6</v>
      </c>
      <c r="B63" s="36" t="s">
        <v>13</v>
      </c>
      <c r="C63" s="37" t="s">
        <v>27</v>
      </c>
      <c r="D63" s="39"/>
      <c r="E63" s="72"/>
      <c r="F63" s="446">
        <v>4</v>
      </c>
    </row>
    <row r="64" spans="1:6" s="4" customFormat="1" ht="12.75" customHeight="1" x14ac:dyDescent="0.35">
      <c r="A64" s="35" t="s">
        <v>7</v>
      </c>
      <c r="B64" s="36" t="s">
        <v>14</v>
      </c>
      <c r="C64" s="37" t="s">
        <v>28</v>
      </c>
      <c r="D64" s="420"/>
      <c r="E64" s="420"/>
      <c r="F64" s="447"/>
    </row>
    <row r="65" spans="1:6" s="4" customFormat="1" ht="12.75" customHeight="1" thickBot="1" x14ac:dyDescent="0.4">
      <c r="A65" s="35" t="s">
        <v>8</v>
      </c>
      <c r="B65" s="36" t="s">
        <v>15</v>
      </c>
      <c r="C65" s="37" t="s">
        <v>29</v>
      </c>
      <c r="D65" s="420"/>
      <c r="E65" s="420"/>
      <c r="F65" s="448"/>
    </row>
    <row r="66" spans="1:6" s="4" customFormat="1" ht="12.75" customHeight="1" x14ac:dyDescent="0.35">
      <c r="A66" s="381"/>
      <c r="B66" s="382" t="s">
        <v>428</v>
      </c>
      <c r="C66" s="443"/>
      <c r="D66" s="443"/>
      <c r="E66" s="443"/>
      <c r="F66" s="444"/>
    </row>
    <row r="67" spans="1:6" s="8" customFormat="1" ht="24" customHeight="1" x14ac:dyDescent="0.25">
      <c r="A67" s="42" t="s">
        <v>223</v>
      </c>
      <c r="B67" s="24" t="s">
        <v>45</v>
      </c>
      <c r="C67" s="25"/>
      <c r="D67" s="25"/>
      <c r="E67" s="25"/>
      <c r="F67" s="68" t="s">
        <v>335</v>
      </c>
    </row>
    <row r="68" spans="1:6" s="4" customFormat="1" ht="24" customHeight="1" x14ac:dyDescent="0.35">
      <c r="A68" s="19"/>
      <c r="B68" s="449"/>
      <c r="C68" s="441"/>
      <c r="D68" s="441"/>
      <c r="E68" s="442"/>
      <c r="F68" s="23"/>
    </row>
    <row r="69" spans="1:6" s="4" customFormat="1" ht="24" customHeight="1" x14ac:dyDescent="0.35">
      <c r="A69" s="11"/>
      <c r="B69" s="435"/>
      <c r="C69" s="435"/>
      <c r="D69" s="435"/>
      <c r="E69" s="436"/>
      <c r="F69" s="12"/>
    </row>
    <row r="70" spans="1:6" s="4" customFormat="1" ht="24" customHeight="1" x14ac:dyDescent="0.35">
      <c r="A70" s="11"/>
      <c r="B70" s="435"/>
      <c r="C70" s="435"/>
      <c r="D70" s="435"/>
      <c r="E70" s="436"/>
      <c r="F70" s="12"/>
    </row>
    <row r="71" spans="1:6" s="4" customFormat="1" ht="24" customHeight="1" x14ac:dyDescent="0.35">
      <c r="A71" s="11"/>
      <c r="B71" s="435"/>
      <c r="C71" s="435"/>
      <c r="D71" s="435"/>
      <c r="E71" s="436"/>
      <c r="F71" s="12"/>
    </row>
    <row r="72" spans="1:6" s="4" customFormat="1" ht="24" customHeight="1" x14ac:dyDescent="0.35">
      <c r="A72" s="11"/>
      <c r="B72" s="435"/>
      <c r="C72" s="435"/>
      <c r="D72" s="435"/>
      <c r="E72" s="436"/>
      <c r="F72" s="12"/>
    </row>
    <row r="73" spans="1:6" s="4" customFormat="1" ht="24" customHeight="1" thickBot="1" x14ac:dyDescent="0.4">
      <c r="A73" s="13"/>
      <c r="B73" s="437"/>
      <c r="C73" s="437"/>
      <c r="D73" s="437"/>
      <c r="E73" s="438"/>
      <c r="F73" s="14"/>
    </row>
    <row r="74" spans="1:6" ht="12.75" customHeight="1" thickBot="1" x14ac:dyDescent="0.35"/>
    <row r="75" spans="1:6" ht="40.5" customHeight="1" x14ac:dyDescent="0.3">
      <c r="A75" s="22" t="s">
        <v>39</v>
      </c>
      <c r="B75" s="427" t="s">
        <v>444</v>
      </c>
      <c r="C75" s="427"/>
      <c r="D75" s="427"/>
      <c r="E75" s="429"/>
      <c r="F75" s="20" t="s">
        <v>44</v>
      </c>
    </row>
    <row r="76" spans="1:6" s="4" customFormat="1" ht="21" customHeight="1" x14ac:dyDescent="0.35">
      <c r="A76" s="35" t="s">
        <v>4</v>
      </c>
      <c r="B76" s="36" t="s">
        <v>11</v>
      </c>
      <c r="C76" s="440" t="s">
        <v>419</v>
      </c>
      <c r="D76" s="440"/>
      <c r="E76" s="440"/>
      <c r="F76" s="9"/>
    </row>
    <row r="77" spans="1:6" s="4" customFormat="1" ht="18" customHeight="1" thickBot="1" x14ac:dyDescent="0.4">
      <c r="A77" s="35" t="s">
        <v>5</v>
      </c>
      <c r="B77" s="36" t="s">
        <v>12</v>
      </c>
      <c r="C77" s="440" t="s">
        <v>30</v>
      </c>
      <c r="D77" s="440"/>
      <c r="E77" s="440"/>
      <c r="F77" s="21" t="s">
        <v>3</v>
      </c>
    </row>
    <row r="78" spans="1:6" s="4" customFormat="1" ht="12.75" customHeight="1" x14ac:dyDescent="0.35">
      <c r="A78" s="35" t="s">
        <v>6</v>
      </c>
      <c r="B78" s="36" t="s">
        <v>13</v>
      </c>
      <c r="C78" s="440" t="s">
        <v>31</v>
      </c>
      <c r="D78" s="440"/>
      <c r="E78" s="440"/>
      <c r="F78" s="446">
        <v>4</v>
      </c>
    </row>
    <row r="79" spans="1:6" s="4" customFormat="1" ht="12.75" customHeight="1" x14ac:dyDescent="0.35">
      <c r="A79" s="35" t="s">
        <v>7</v>
      </c>
      <c r="B79" s="36" t="s">
        <v>14</v>
      </c>
      <c r="C79" s="440" t="s">
        <v>32</v>
      </c>
      <c r="D79" s="440"/>
      <c r="E79" s="440"/>
      <c r="F79" s="447"/>
    </row>
    <row r="80" spans="1:6" s="4" customFormat="1" ht="24" customHeight="1" thickBot="1" x14ac:dyDescent="0.4">
      <c r="A80" s="35" t="s">
        <v>8</v>
      </c>
      <c r="B80" s="36" t="s">
        <v>15</v>
      </c>
      <c r="C80" s="440" t="s">
        <v>420</v>
      </c>
      <c r="D80" s="440"/>
      <c r="E80" s="440"/>
      <c r="F80" s="448"/>
    </row>
    <row r="81" spans="1:6" s="4" customFormat="1" ht="12.75" customHeight="1" x14ac:dyDescent="0.35">
      <c r="A81" s="381"/>
      <c r="B81" s="382" t="s">
        <v>428</v>
      </c>
      <c r="C81" s="443"/>
      <c r="D81" s="443"/>
      <c r="E81" s="443"/>
      <c r="F81" s="444"/>
    </row>
    <row r="82" spans="1:6" s="8" customFormat="1" ht="24" customHeight="1" x14ac:dyDescent="0.25">
      <c r="A82" s="42" t="s">
        <v>223</v>
      </c>
      <c r="B82" s="24" t="s">
        <v>45</v>
      </c>
      <c r="C82" s="25"/>
      <c r="D82" s="25"/>
      <c r="E82" s="25"/>
      <c r="F82" s="68" t="s">
        <v>335</v>
      </c>
    </row>
    <row r="83" spans="1:6" s="4" customFormat="1" ht="24" customHeight="1" x14ac:dyDescent="0.35">
      <c r="A83" s="19"/>
      <c r="B83" s="449"/>
      <c r="C83" s="441"/>
      <c r="D83" s="441"/>
      <c r="E83" s="442"/>
      <c r="F83" s="23"/>
    </row>
    <row r="84" spans="1:6" s="4" customFormat="1" ht="24" customHeight="1" x14ac:dyDescent="0.35">
      <c r="A84" s="11"/>
      <c r="B84" s="435"/>
      <c r="C84" s="435"/>
      <c r="D84" s="435"/>
      <c r="E84" s="436"/>
      <c r="F84" s="12"/>
    </row>
    <row r="85" spans="1:6" s="4" customFormat="1" ht="24" customHeight="1" x14ac:dyDescent="0.35">
      <c r="A85" s="11"/>
      <c r="B85" s="435"/>
      <c r="C85" s="435"/>
      <c r="D85" s="435"/>
      <c r="E85" s="436"/>
      <c r="F85" s="12"/>
    </row>
    <row r="86" spans="1:6" s="4" customFormat="1" ht="24" customHeight="1" x14ac:dyDescent="0.35">
      <c r="A86" s="11"/>
      <c r="B86" s="435"/>
      <c r="C86" s="435"/>
      <c r="D86" s="435"/>
      <c r="E86" s="436"/>
      <c r="F86" s="12"/>
    </row>
    <row r="87" spans="1:6" s="4" customFormat="1" ht="24" customHeight="1" x14ac:dyDescent="0.35">
      <c r="A87" s="11"/>
      <c r="B87" s="435"/>
      <c r="C87" s="435"/>
      <c r="D87" s="435"/>
      <c r="E87" s="436"/>
      <c r="F87" s="12"/>
    </row>
    <row r="88" spans="1:6" s="4" customFormat="1" ht="24" customHeight="1" thickBot="1" x14ac:dyDescent="0.4">
      <c r="A88" s="13"/>
      <c r="B88" s="437"/>
      <c r="C88" s="437"/>
      <c r="D88" s="437"/>
      <c r="E88" s="438"/>
      <c r="F88" s="14"/>
    </row>
    <row r="89" spans="1:6" ht="12.75" customHeight="1" thickBot="1" x14ac:dyDescent="0.35"/>
    <row r="90" spans="1:6" ht="30" customHeight="1" x14ac:dyDescent="0.3">
      <c r="A90" s="22" t="s">
        <v>40</v>
      </c>
      <c r="B90" s="427" t="s">
        <v>422</v>
      </c>
      <c r="C90" s="427"/>
      <c r="D90" s="427"/>
      <c r="E90" s="429"/>
      <c r="F90" s="20" t="s">
        <v>44</v>
      </c>
    </row>
    <row r="91" spans="1:6" s="4" customFormat="1" ht="24" customHeight="1" x14ac:dyDescent="0.35">
      <c r="A91" s="35" t="s">
        <v>4</v>
      </c>
      <c r="B91" s="36" t="s">
        <v>11</v>
      </c>
      <c r="C91" s="440" t="s">
        <v>445</v>
      </c>
      <c r="D91" s="440"/>
      <c r="E91" s="440"/>
      <c r="F91" s="9"/>
    </row>
    <row r="92" spans="1:6" s="4" customFormat="1" ht="12.75" customHeight="1" thickBot="1" x14ac:dyDescent="0.4">
      <c r="A92" s="35" t="s">
        <v>5</v>
      </c>
      <c r="B92" s="36" t="s">
        <v>12</v>
      </c>
      <c r="C92" s="440" t="s">
        <v>446</v>
      </c>
      <c r="D92" s="440"/>
      <c r="E92" s="440"/>
      <c r="F92" s="21" t="s">
        <v>3</v>
      </c>
    </row>
    <row r="93" spans="1:6" s="2" customFormat="1" ht="12.75" customHeight="1" x14ac:dyDescent="0.3">
      <c r="A93" s="35" t="s">
        <v>6</v>
      </c>
      <c r="B93" s="36" t="s">
        <v>13</v>
      </c>
      <c r="C93" s="440" t="s">
        <v>447</v>
      </c>
      <c r="D93" s="440"/>
      <c r="E93" s="440"/>
      <c r="F93" s="446">
        <v>5</v>
      </c>
    </row>
    <row r="94" spans="1:6" ht="12.75" customHeight="1" x14ac:dyDescent="0.3">
      <c r="A94" s="35" t="s">
        <v>7</v>
      </c>
      <c r="B94" s="36" t="s">
        <v>14</v>
      </c>
      <c r="C94" s="440" t="s">
        <v>17</v>
      </c>
      <c r="D94" s="440"/>
      <c r="E94" s="440"/>
      <c r="F94" s="447"/>
    </row>
    <row r="95" spans="1:6" ht="12.75" customHeight="1" thickBot="1" x14ac:dyDescent="0.35">
      <c r="A95" s="35" t="s">
        <v>8</v>
      </c>
      <c r="B95" s="36" t="s">
        <v>15</v>
      </c>
      <c r="C95" s="440" t="s">
        <v>33</v>
      </c>
      <c r="D95" s="440"/>
      <c r="E95" s="440"/>
      <c r="F95" s="448"/>
    </row>
    <row r="96" spans="1:6" ht="12.75" customHeight="1" x14ac:dyDescent="0.3">
      <c r="A96" s="35" t="s">
        <v>10</v>
      </c>
      <c r="B96" s="40" t="s">
        <v>34</v>
      </c>
      <c r="C96" s="440" t="s">
        <v>16</v>
      </c>
      <c r="D96" s="440"/>
      <c r="E96" s="440"/>
      <c r="F96" s="73"/>
    </row>
    <row r="97" spans="1:6" s="4" customFormat="1" ht="12.75" customHeight="1" x14ac:dyDescent="0.35">
      <c r="A97" s="381"/>
      <c r="B97" s="382" t="s">
        <v>428</v>
      </c>
      <c r="C97" s="443"/>
      <c r="D97" s="443"/>
      <c r="E97" s="443"/>
      <c r="F97" s="445"/>
    </row>
    <row r="98" spans="1:6" s="8" customFormat="1" ht="24" customHeight="1" x14ac:dyDescent="0.25">
      <c r="A98" s="42" t="s">
        <v>223</v>
      </c>
      <c r="B98" s="24" t="s">
        <v>45</v>
      </c>
      <c r="C98" s="25"/>
      <c r="D98" s="25"/>
      <c r="E98" s="25"/>
      <c r="F98" s="26" t="s">
        <v>335</v>
      </c>
    </row>
    <row r="99" spans="1:6" s="4" customFormat="1" ht="24" customHeight="1" x14ac:dyDescent="0.35">
      <c r="A99" s="19"/>
      <c r="B99" s="441"/>
      <c r="C99" s="441"/>
      <c r="D99" s="441"/>
      <c r="E99" s="442"/>
      <c r="F99" s="23"/>
    </row>
    <row r="100" spans="1:6" s="4" customFormat="1" ht="24" customHeight="1" x14ac:dyDescent="0.35">
      <c r="A100" s="11"/>
      <c r="B100" s="435"/>
      <c r="C100" s="435"/>
      <c r="D100" s="435"/>
      <c r="E100" s="436"/>
      <c r="F100" s="12"/>
    </row>
    <row r="101" spans="1:6" s="4" customFormat="1" ht="24" customHeight="1" x14ac:dyDescent="0.35">
      <c r="A101" s="11"/>
      <c r="B101" s="435"/>
      <c r="C101" s="435"/>
      <c r="D101" s="435"/>
      <c r="E101" s="436"/>
      <c r="F101" s="12"/>
    </row>
    <row r="102" spans="1:6" s="4" customFormat="1" ht="24" customHeight="1" x14ac:dyDescent="0.35">
      <c r="A102" s="11"/>
      <c r="B102" s="435"/>
      <c r="C102" s="435"/>
      <c r="D102" s="435"/>
      <c r="E102" s="436"/>
      <c r="F102" s="12"/>
    </row>
    <row r="103" spans="1:6" s="4" customFormat="1" ht="24" customHeight="1" x14ac:dyDescent="0.35">
      <c r="A103" s="11"/>
      <c r="B103" s="435"/>
      <c r="C103" s="435"/>
      <c r="D103" s="435"/>
      <c r="E103" s="436"/>
      <c r="F103" s="12"/>
    </row>
    <row r="104" spans="1:6" s="4" customFormat="1" ht="24" customHeight="1" thickBot="1" x14ac:dyDescent="0.4">
      <c r="A104" s="13"/>
      <c r="B104" s="437"/>
      <c r="C104" s="437"/>
      <c r="D104" s="437"/>
      <c r="E104" s="438"/>
      <c r="F104" s="14"/>
    </row>
    <row r="105" spans="1:6" s="4" customFormat="1" ht="17.25" customHeight="1" x14ac:dyDescent="0.35">
      <c r="A105" s="41"/>
      <c r="B105" s="41"/>
      <c r="C105" s="41"/>
      <c r="D105" s="41"/>
      <c r="E105" s="41"/>
      <c r="F105" s="41"/>
    </row>
    <row r="106" spans="1:6" s="32" customFormat="1" ht="22.5" customHeight="1" x14ac:dyDescent="0.35">
      <c r="A106" s="31"/>
      <c r="B106" s="31"/>
      <c r="C106" s="30" t="s">
        <v>430</v>
      </c>
      <c r="D106" s="30"/>
      <c r="E106" s="30"/>
      <c r="F106" s="33" t="s">
        <v>110</v>
      </c>
    </row>
    <row r="107" spans="1:6" s="32" customFormat="1" ht="22.5" customHeight="1" x14ac:dyDescent="0.35">
      <c r="A107" s="31"/>
      <c r="B107" s="31"/>
      <c r="C107" s="47" t="s">
        <v>337</v>
      </c>
      <c r="D107" s="30"/>
      <c r="E107" s="30"/>
      <c r="F107" s="33" t="s">
        <v>113</v>
      </c>
    </row>
    <row r="108" spans="1:6" s="32" customFormat="1" ht="42" customHeight="1" x14ac:dyDescent="0.35">
      <c r="A108" s="53"/>
      <c r="B108" s="54"/>
      <c r="C108" s="65" t="s">
        <v>724</v>
      </c>
      <c r="D108" s="54"/>
      <c r="E108" s="54"/>
      <c r="F108" s="62" t="s">
        <v>831</v>
      </c>
    </row>
    <row r="109" spans="1:6" ht="18" customHeight="1" x14ac:dyDescent="0.3">
      <c r="A109" s="16"/>
      <c r="B109" s="17" t="s">
        <v>0</v>
      </c>
      <c r="C109" s="66" t="s">
        <v>540</v>
      </c>
      <c r="D109" s="18" t="s">
        <v>35</v>
      </c>
      <c r="E109" s="66" t="s">
        <v>791</v>
      </c>
      <c r="F109" s="63" t="s">
        <v>338</v>
      </c>
    </row>
    <row r="110" spans="1:6" ht="18" customHeight="1" x14ac:dyDescent="0.3">
      <c r="A110" s="6"/>
      <c r="B110" s="45" t="s">
        <v>1</v>
      </c>
      <c r="C110" s="66" t="s">
        <v>603</v>
      </c>
      <c r="D110" s="46" t="s">
        <v>427</v>
      </c>
      <c r="E110" s="66">
        <v>237</v>
      </c>
      <c r="F110" s="64" t="s">
        <v>339</v>
      </c>
    </row>
    <row r="111" spans="1:6" ht="14.5" x14ac:dyDescent="0.3">
      <c r="A111" s="51" t="s">
        <v>342</v>
      </c>
      <c r="B111" s="52"/>
      <c r="C111" s="34" t="s">
        <v>2</v>
      </c>
      <c r="D111" s="5"/>
      <c r="E111" s="15"/>
      <c r="F111" s="81" t="s">
        <v>423</v>
      </c>
    </row>
    <row r="112" spans="1:6" ht="15" thickBot="1" x14ac:dyDescent="0.35">
      <c r="A112" s="51" t="s">
        <v>343</v>
      </c>
      <c r="B112" s="52"/>
      <c r="F112" s="82" t="s">
        <v>423</v>
      </c>
    </row>
    <row r="113" spans="1:6" ht="30" customHeight="1" x14ac:dyDescent="0.3">
      <c r="A113" s="22" t="s">
        <v>46</v>
      </c>
      <c r="B113" s="428" t="s">
        <v>448</v>
      </c>
      <c r="C113" s="427"/>
      <c r="D113" s="427"/>
      <c r="E113" s="427"/>
      <c r="F113" s="43" t="s">
        <v>416</v>
      </c>
    </row>
    <row r="114" spans="1:6" s="8" customFormat="1" ht="24" customHeight="1" x14ac:dyDescent="0.25">
      <c r="A114" s="42" t="s">
        <v>223</v>
      </c>
      <c r="B114" s="24" t="s">
        <v>45</v>
      </c>
      <c r="C114" s="25"/>
      <c r="D114" s="25"/>
      <c r="E114" s="25"/>
      <c r="F114" s="26" t="s">
        <v>335</v>
      </c>
    </row>
    <row r="115" spans="1:6" s="4" customFormat="1" ht="24" customHeight="1" x14ac:dyDescent="0.35">
      <c r="A115" s="27"/>
      <c r="B115" s="431" t="s">
        <v>813</v>
      </c>
      <c r="C115" s="432"/>
      <c r="D115" s="432"/>
      <c r="E115" s="433"/>
      <c r="F115" s="23"/>
    </row>
    <row r="116" spans="1:6" s="4" customFormat="1" ht="24" customHeight="1" x14ac:dyDescent="0.35">
      <c r="A116" s="28"/>
      <c r="B116" s="434" t="s">
        <v>814</v>
      </c>
      <c r="C116" s="435"/>
      <c r="D116" s="435"/>
      <c r="E116" s="436"/>
      <c r="F116" s="12"/>
    </row>
    <row r="117" spans="1:6" s="4" customFormat="1" ht="24" customHeight="1" x14ac:dyDescent="0.35">
      <c r="A117" s="28"/>
      <c r="B117" s="434" t="s">
        <v>815</v>
      </c>
      <c r="C117" s="435"/>
      <c r="D117" s="435"/>
      <c r="E117" s="436"/>
      <c r="F117" s="12"/>
    </row>
    <row r="118" spans="1:6" s="4" customFormat="1" ht="24" customHeight="1" x14ac:dyDescent="0.35">
      <c r="A118" s="28"/>
      <c r="B118" s="434" t="s">
        <v>816</v>
      </c>
      <c r="C118" s="435"/>
      <c r="D118" s="435"/>
      <c r="E118" s="436"/>
      <c r="F118" s="12"/>
    </row>
    <row r="119" spans="1:6" s="4" customFormat="1" ht="24" customHeight="1" x14ac:dyDescent="0.35">
      <c r="A119" s="28"/>
      <c r="B119" s="434" t="s">
        <v>818</v>
      </c>
      <c r="C119" s="435"/>
      <c r="D119" s="435"/>
      <c r="E119" s="436"/>
      <c r="F119" s="12"/>
    </row>
    <row r="120" spans="1:6" s="4" customFormat="1" ht="24" customHeight="1" thickBot="1" x14ac:dyDescent="0.4">
      <c r="A120" s="29"/>
      <c r="B120" s="439"/>
      <c r="C120" s="437"/>
      <c r="D120" s="437"/>
      <c r="E120" s="438"/>
      <c r="F120" s="14"/>
    </row>
    <row r="121" spans="1:6" ht="12.75" customHeight="1" thickBot="1" x14ac:dyDescent="0.35"/>
    <row r="122" spans="1:6" ht="30" customHeight="1" x14ac:dyDescent="0.3">
      <c r="A122" s="22" t="s">
        <v>332</v>
      </c>
      <c r="B122" s="428" t="s">
        <v>417</v>
      </c>
      <c r="C122" s="427"/>
      <c r="D122" s="427"/>
      <c r="E122" s="427"/>
      <c r="F122" s="43" t="s">
        <v>416</v>
      </c>
    </row>
    <row r="123" spans="1:6" s="8" customFormat="1" ht="24" customHeight="1" x14ac:dyDescent="0.25">
      <c r="A123" s="42" t="s">
        <v>223</v>
      </c>
      <c r="B123" s="24" t="s">
        <v>45</v>
      </c>
      <c r="C123" s="25"/>
      <c r="D123" s="25"/>
      <c r="E123" s="25"/>
      <c r="F123" s="26" t="s">
        <v>335</v>
      </c>
    </row>
    <row r="124" spans="1:6" s="4" customFormat="1" ht="24" customHeight="1" x14ac:dyDescent="0.35">
      <c r="A124" s="27"/>
      <c r="B124" s="431" t="s">
        <v>810</v>
      </c>
      <c r="C124" s="432"/>
      <c r="D124" s="432"/>
      <c r="E124" s="433"/>
      <c r="F124" s="23"/>
    </row>
    <row r="125" spans="1:6" s="4" customFormat="1" ht="24" customHeight="1" x14ac:dyDescent="0.35">
      <c r="A125" s="28"/>
      <c r="B125" s="434" t="s">
        <v>811</v>
      </c>
      <c r="C125" s="435"/>
      <c r="D125" s="435"/>
      <c r="E125" s="436"/>
      <c r="F125" s="12"/>
    </row>
    <row r="126" spans="1:6" s="4" customFormat="1" ht="24" customHeight="1" x14ac:dyDescent="0.35">
      <c r="A126" s="28"/>
      <c r="B126" s="434" t="s">
        <v>812</v>
      </c>
      <c r="C126" s="435"/>
      <c r="D126" s="435"/>
      <c r="E126" s="436"/>
      <c r="F126" s="12"/>
    </row>
    <row r="127" spans="1:6" s="4" customFormat="1" ht="24" customHeight="1" x14ac:dyDescent="0.35">
      <c r="A127" s="28"/>
      <c r="B127" s="434"/>
      <c r="C127" s="435"/>
      <c r="D127" s="435"/>
      <c r="E127" s="436"/>
      <c r="F127" s="12"/>
    </row>
    <row r="128" spans="1:6" s="4" customFormat="1" ht="24" customHeight="1" x14ac:dyDescent="0.35">
      <c r="A128" s="28"/>
      <c r="B128" s="434"/>
      <c r="C128" s="435"/>
      <c r="D128" s="435"/>
      <c r="E128" s="436"/>
      <c r="F128" s="12"/>
    </row>
    <row r="129" spans="1:6" s="4" customFormat="1" ht="24" customHeight="1" thickBot="1" x14ac:dyDescent="0.4">
      <c r="A129" s="29"/>
      <c r="B129" s="439"/>
      <c r="C129" s="437"/>
      <c r="D129" s="437"/>
      <c r="E129" s="438"/>
      <c r="F129" s="14"/>
    </row>
    <row r="130" spans="1:6" ht="12.75" customHeight="1" thickBot="1" x14ac:dyDescent="0.35"/>
    <row r="131" spans="1:6" ht="30" customHeight="1" x14ac:dyDescent="0.3">
      <c r="A131" s="22" t="s">
        <v>333</v>
      </c>
      <c r="B131" s="428" t="s">
        <v>336</v>
      </c>
      <c r="C131" s="427"/>
      <c r="D131" s="427"/>
      <c r="E131" s="427"/>
      <c r="F131" s="43" t="s">
        <v>416</v>
      </c>
    </row>
    <row r="132" spans="1:6" s="8" customFormat="1" ht="24" customHeight="1" x14ac:dyDescent="0.25">
      <c r="A132" s="42" t="s">
        <v>223</v>
      </c>
      <c r="B132" s="24" t="s">
        <v>45</v>
      </c>
      <c r="C132" s="25"/>
      <c r="D132" s="25"/>
      <c r="E132" s="25"/>
      <c r="F132" s="26" t="s">
        <v>335</v>
      </c>
    </row>
    <row r="133" spans="1:6" s="4" customFormat="1" ht="24" customHeight="1" x14ac:dyDescent="0.35">
      <c r="A133" s="27"/>
      <c r="B133" s="431" t="s">
        <v>817</v>
      </c>
      <c r="C133" s="432"/>
      <c r="D133" s="432"/>
      <c r="E133" s="433"/>
      <c r="F133" s="23"/>
    </row>
    <row r="134" spans="1:6" s="4" customFormat="1" ht="24" customHeight="1" x14ac:dyDescent="0.35">
      <c r="A134" s="28"/>
      <c r="B134" s="434"/>
      <c r="C134" s="435"/>
      <c r="D134" s="435"/>
      <c r="E134" s="436"/>
      <c r="F134" s="12"/>
    </row>
    <row r="135" spans="1:6" s="4" customFormat="1" ht="24" customHeight="1" x14ac:dyDescent="0.35">
      <c r="A135" s="28"/>
      <c r="B135" s="434"/>
      <c r="C135" s="435"/>
      <c r="D135" s="435"/>
      <c r="E135" s="436"/>
      <c r="F135" s="12"/>
    </row>
    <row r="136" spans="1:6" s="4" customFormat="1" ht="24" customHeight="1" x14ac:dyDescent="0.35">
      <c r="A136" s="28"/>
      <c r="B136" s="434"/>
      <c r="C136" s="435"/>
      <c r="D136" s="435"/>
      <c r="E136" s="436"/>
      <c r="F136" s="12"/>
    </row>
    <row r="137" spans="1:6" s="4" customFormat="1" ht="24" customHeight="1" x14ac:dyDescent="0.35">
      <c r="A137" s="28"/>
      <c r="B137" s="434"/>
      <c r="C137" s="435"/>
      <c r="D137" s="435"/>
      <c r="E137" s="436"/>
      <c r="F137" s="12"/>
    </row>
    <row r="138" spans="1:6" s="4" customFormat="1" ht="24" customHeight="1" thickBot="1" x14ac:dyDescent="0.4">
      <c r="A138" s="29"/>
      <c r="B138" s="439"/>
      <c r="C138" s="437"/>
      <c r="D138" s="437"/>
      <c r="E138" s="438"/>
      <c r="F138" s="14"/>
    </row>
  </sheetData>
  <sheetProtection formatColumns="0" formatRows="0" autoFilter="0"/>
  <mergeCells count="88">
    <mergeCell ref="B23:E23"/>
    <mergeCell ref="H2:H9"/>
    <mergeCell ref="E6:E7"/>
    <mergeCell ref="B8:E8"/>
    <mergeCell ref="F11:F13"/>
    <mergeCell ref="C14:F14"/>
    <mergeCell ref="B16:E16"/>
    <mergeCell ref="B17:E17"/>
    <mergeCell ref="B18:E18"/>
    <mergeCell ref="B19:E19"/>
    <mergeCell ref="B20:E20"/>
    <mergeCell ref="B21:E21"/>
    <mergeCell ref="B46:E46"/>
    <mergeCell ref="F26:F28"/>
    <mergeCell ref="C29:F29"/>
    <mergeCell ref="B31:E31"/>
    <mergeCell ref="B32:E32"/>
    <mergeCell ref="B33:E33"/>
    <mergeCell ref="B34:E34"/>
    <mergeCell ref="B35:E35"/>
    <mergeCell ref="B36:E36"/>
    <mergeCell ref="B38:E38"/>
    <mergeCell ref="F41:F43"/>
    <mergeCell ref="C44:F44"/>
    <mergeCell ref="B71:E71"/>
    <mergeCell ref="B47:E47"/>
    <mergeCell ref="B48:E48"/>
    <mergeCell ref="B49:E49"/>
    <mergeCell ref="B50:E50"/>
    <mergeCell ref="B51:E51"/>
    <mergeCell ref="B60:E60"/>
    <mergeCell ref="F63:F65"/>
    <mergeCell ref="C66:F66"/>
    <mergeCell ref="B68:E68"/>
    <mergeCell ref="B69:E69"/>
    <mergeCell ref="B70:E70"/>
    <mergeCell ref="B72:E72"/>
    <mergeCell ref="B73:E73"/>
    <mergeCell ref="B75:E75"/>
    <mergeCell ref="C76:E76"/>
    <mergeCell ref="C77:E77"/>
    <mergeCell ref="C91:E91"/>
    <mergeCell ref="F78:F80"/>
    <mergeCell ref="C79:E79"/>
    <mergeCell ref="C80:E80"/>
    <mergeCell ref="C81:F81"/>
    <mergeCell ref="B83:E83"/>
    <mergeCell ref="B84:E84"/>
    <mergeCell ref="C78:E78"/>
    <mergeCell ref="B85:E85"/>
    <mergeCell ref="B86:E86"/>
    <mergeCell ref="B87:E87"/>
    <mergeCell ref="B88:E88"/>
    <mergeCell ref="B90:E90"/>
    <mergeCell ref="B103:E103"/>
    <mergeCell ref="C92:E92"/>
    <mergeCell ref="C93:E93"/>
    <mergeCell ref="F93:F95"/>
    <mergeCell ref="C94:E94"/>
    <mergeCell ref="C95:E95"/>
    <mergeCell ref="C96:E96"/>
    <mergeCell ref="C97:F97"/>
    <mergeCell ref="B99:E99"/>
    <mergeCell ref="B100:E100"/>
    <mergeCell ref="B101:E101"/>
    <mergeCell ref="B102:E102"/>
    <mergeCell ref="B126:E126"/>
    <mergeCell ref="B104:E104"/>
    <mergeCell ref="B113:E113"/>
    <mergeCell ref="B115:E115"/>
    <mergeCell ref="B116:E116"/>
    <mergeCell ref="B117:E117"/>
    <mergeCell ref="B118:E118"/>
    <mergeCell ref="B119:E119"/>
    <mergeCell ref="B120:E120"/>
    <mergeCell ref="B122:E122"/>
    <mergeCell ref="B124:E124"/>
    <mergeCell ref="B125:E125"/>
    <mergeCell ref="B135:E135"/>
    <mergeCell ref="B136:E136"/>
    <mergeCell ref="B137:E137"/>
    <mergeCell ref="B138:E138"/>
    <mergeCell ref="B127:E127"/>
    <mergeCell ref="B128:E128"/>
    <mergeCell ref="B129:E129"/>
    <mergeCell ref="B131:E131"/>
    <mergeCell ref="B133:E133"/>
    <mergeCell ref="B134:E134"/>
  </mergeCells>
  <conditionalFormatting sqref="A8:A22">
    <cfRule type="cellIs" dxfId="79" priority="39" stopIfTrue="1" operator="equal">
      <formula>"Key!"</formula>
    </cfRule>
  </conditionalFormatting>
  <conditionalFormatting sqref="A115:A120">
    <cfRule type="cellIs" dxfId="78" priority="37" stopIfTrue="1" operator="equal">
      <formula>"Key!"</formula>
    </cfRule>
  </conditionalFormatting>
  <conditionalFormatting sqref="A124:A129">
    <cfRule type="cellIs" dxfId="77" priority="24" stopIfTrue="1" operator="equal">
      <formula>"Key!"</formula>
    </cfRule>
  </conditionalFormatting>
  <conditionalFormatting sqref="A104">
    <cfRule type="cellIs" dxfId="76" priority="38" stopIfTrue="1" operator="equal">
      <formula>"Key!"</formula>
    </cfRule>
  </conditionalFormatting>
  <conditionalFormatting sqref="A133:A138">
    <cfRule type="cellIs" dxfId="75" priority="23" stopIfTrue="1" operator="equal">
      <formula>"Key!"</formula>
    </cfRule>
  </conditionalFormatting>
  <conditionalFormatting sqref="A23:A28 A31:A36">
    <cfRule type="cellIs" dxfId="74" priority="36" stopIfTrue="1" operator="equal">
      <formula>"Key!"</formula>
    </cfRule>
  </conditionalFormatting>
  <conditionalFormatting sqref="A38:A43 A46:A51">
    <cfRule type="cellIs" dxfId="73" priority="35" stopIfTrue="1" operator="equal">
      <formula>"Key!"</formula>
    </cfRule>
  </conditionalFormatting>
  <conditionalFormatting sqref="A60:A65 A68:A73">
    <cfRule type="cellIs" dxfId="72" priority="34" stopIfTrue="1" operator="equal">
      <formula>"Key!"</formula>
    </cfRule>
  </conditionalFormatting>
  <conditionalFormatting sqref="A75:A80 A83:A88">
    <cfRule type="cellIs" dxfId="71" priority="33" stopIfTrue="1" operator="equal">
      <formula>"Key!"</formula>
    </cfRule>
  </conditionalFormatting>
  <conditionalFormatting sqref="A90:A96 A99:A102">
    <cfRule type="cellIs" dxfId="70" priority="32" stopIfTrue="1" operator="equal">
      <formula>"Key!"</formula>
    </cfRule>
  </conditionalFormatting>
  <conditionalFormatting sqref="A103">
    <cfRule type="cellIs" dxfId="69" priority="31" stopIfTrue="1" operator="equal">
      <formula>"Key!"</formula>
    </cfRule>
  </conditionalFormatting>
  <conditionalFormatting sqref="A52">
    <cfRule type="cellIs" dxfId="68" priority="29" stopIfTrue="1" operator="equal">
      <formula>"Key!"</formula>
    </cfRule>
  </conditionalFormatting>
  <conditionalFormatting sqref="A37">
    <cfRule type="cellIs" dxfId="67" priority="30" stopIfTrue="1" operator="equal">
      <formula>"Key!"</formula>
    </cfRule>
  </conditionalFormatting>
  <conditionalFormatting sqref="A74">
    <cfRule type="cellIs" dxfId="66" priority="28" stopIfTrue="1" operator="equal">
      <formula>"Key!"</formula>
    </cfRule>
  </conditionalFormatting>
  <conditionalFormatting sqref="A89">
    <cfRule type="cellIs" dxfId="65" priority="27" stopIfTrue="1" operator="equal">
      <formula>"Key!"</formula>
    </cfRule>
  </conditionalFormatting>
  <conditionalFormatting sqref="A121">
    <cfRule type="cellIs" dxfId="64" priority="26" stopIfTrue="1" operator="equal">
      <formula>"Key!"</formula>
    </cfRule>
  </conditionalFormatting>
  <conditionalFormatting sqref="A130">
    <cfRule type="cellIs" dxfId="63" priority="25" stopIfTrue="1" operator="equal">
      <formula>"Key!"</formula>
    </cfRule>
  </conditionalFormatting>
  <conditionalFormatting sqref="A30">
    <cfRule type="cellIs" dxfId="62" priority="22" stopIfTrue="1" operator="equal">
      <formula>"Key!"</formula>
    </cfRule>
  </conditionalFormatting>
  <conditionalFormatting sqref="A45">
    <cfRule type="cellIs" dxfId="61" priority="21" stopIfTrue="1" operator="equal">
      <formula>"Key!"</formula>
    </cfRule>
  </conditionalFormatting>
  <conditionalFormatting sqref="A67">
    <cfRule type="cellIs" dxfId="60" priority="20" stopIfTrue="1" operator="equal">
      <formula>"Key!"</formula>
    </cfRule>
  </conditionalFormatting>
  <conditionalFormatting sqref="A82">
    <cfRule type="cellIs" dxfId="59" priority="19" stopIfTrue="1" operator="equal">
      <formula>"Key!"</formula>
    </cfRule>
  </conditionalFormatting>
  <conditionalFormatting sqref="A98">
    <cfRule type="cellIs" dxfId="58" priority="18" stopIfTrue="1" operator="equal">
      <formula>"Key!"</formula>
    </cfRule>
  </conditionalFormatting>
  <conditionalFormatting sqref="A113">
    <cfRule type="cellIs" dxfId="57" priority="16" stopIfTrue="1" operator="equal">
      <formula>"Key!"</formula>
    </cfRule>
  </conditionalFormatting>
  <conditionalFormatting sqref="A114">
    <cfRule type="cellIs" dxfId="56" priority="17" stopIfTrue="1" operator="equal">
      <formula>"Key!"</formula>
    </cfRule>
  </conditionalFormatting>
  <conditionalFormatting sqref="A122">
    <cfRule type="cellIs" dxfId="55" priority="14" stopIfTrue="1" operator="equal">
      <formula>"Key!"</formula>
    </cfRule>
  </conditionalFormatting>
  <conditionalFormatting sqref="A131">
    <cfRule type="cellIs" dxfId="54" priority="12" stopIfTrue="1" operator="equal">
      <formula>"Key!"</formula>
    </cfRule>
  </conditionalFormatting>
  <conditionalFormatting sqref="A123">
    <cfRule type="cellIs" dxfId="53" priority="15" stopIfTrue="1" operator="equal">
      <formula>"Key!"</formula>
    </cfRule>
  </conditionalFormatting>
  <conditionalFormatting sqref="A132">
    <cfRule type="cellIs" dxfId="52" priority="13" stopIfTrue="1" operator="equal">
      <formula>"Key!"</formula>
    </cfRule>
  </conditionalFormatting>
  <conditionalFormatting sqref="C14">
    <cfRule type="notContainsBlanks" dxfId="51" priority="40">
      <formula>LEN(TRIM(C14))&gt;0</formula>
    </cfRule>
  </conditionalFormatting>
  <conditionalFormatting sqref="C29">
    <cfRule type="notContainsBlanks" dxfId="50" priority="11">
      <formula>LEN(TRIM(C29))&gt;0</formula>
    </cfRule>
  </conditionalFormatting>
  <conditionalFormatting sqref="C44">
    <cfRule type="notContainsBlanks" dxfId="49" priority="10">
      <formula>LEN(TRIM(C44))&gt;0</formula>
    </cfRule>
  </conditionalFormatting>
  <conditionalFormatting sqref="C66">
    <cfRule type="notContainsBlanks" dxfId="48" priority="9">
      <formula>LEN(TRIM(C66))&gt;0</formula>
    </cfRule>
  </conditionalFormatting>
  <conditionalFormatting sqref="C81">
    <cfRule type="notContainsBlanks" dxfId="47" priority="8">
      <formula>LEN(TRIM(C81))&gt;0</formula>
    </cfRule>
  </conditionalFormatting>
  <conditionalFormatting sqref="C97">
    <cfRule type="notContainsBlanks" dxfId="46" priority="7">
      <formula>LEN(TRIM(C97))&gt;0</formula>
    </cfRule>
  </conditionalFormatting>
  <conditionalFormatting sqref="D7">
    <cfRule type="cellIs" dxfId="45" priority="6" operator="equal">
      <formula>"Yes"</formula>
    </cfRule>
  </conditionalFormatting>
  <conditionalFormatting sqref="A29">
    <cfRule type="cellIs" dxfId="44" priority="5" stopIfTrue="1" operator="equal">
      <formula>"Key!"</formula>
    </cfRule>
  </conditionalFormatting>
  <conditionalFormatting sqref="A44">
    <cfRule type="cellIs" dxfId="43" priority="4" stopIfTrue="1" operator="equal">
      <formula>"Key!"</formula>
    </cfRule>
  </conditionalFormatting>
  <conditionalFormatting sqref="A66">
    <cfRule type="cellIs" dxfId="42" priority="3" stopIfTrue="1" operator="equal">
      <formula>"Key!"</formula>
    </cfRule>
  </conditionalFormatting>
  <conditionalFormatting sqref="A81">
    <cfRule type="cellIs" dxfId="41" priority="2" stopIfTrue="1" operator="equal">
      <formula>"Key!"</formula>
    </cfRule>
  </conditionalFormatting>
  <conditionalFormatting sqref="A97">
    <cfRule type="cellIs" dxfId="40" priority="1" stopIfTrue="1" operator="equal">
      <formula>"Key!"</formula>
    </cfRule>
  </conditionalFormatting>
  <dataValidations count="6">
    <dataValidation type="list" allowBlank="1" showInputMessage="1" showErrorMessage="1" sqref="D7">
      <formula1>YesNo</formula1>
    </dataValidation>
    <dataValidation type="decimal" allowBlank="1" showInputMessage="1" showErrorMessage="1" errorTitle="Invalid Score" error="The score must be between 1.0 and 5.0." promptTitle="Score Format" prompt="Score can range from 1 to 5 and will be automatically rounded to one decimal place." sqref="F11:F13 F26:F28 F41:F43 F78:F80 F63:F65 F93:F95">
      <formula1>1</formula1>
      <formula2>5</formula2>
    </dataValidation>
    <dataValidation type="list" allowBlank="1" showErrorMessage="1" prompt="Critical: Will prevent success_x000a_Important: Likely to prevent success_x000a_Concern: Could prevent success_x000a_Support: Likely to aid success_x000a_Excellent: Continue!" sqref="F16 F31 F46 F68 F83 F99 F115:F120 F124:F128">
      <formula1>Comments</formula1>
    </dataValidation>
    <dataValidation type="list" allowBlank="1" showInputMessage="1" showErrorMessage="1" sqref="A16:A21 A31:A36 A46:A51 A68:A73 A83:A88 A99:A104 A115:A120 A124:A129 A133:A138">
      <formula1>KeyFindings</formula1>
    </dataValidation>
    <dataValidation type="list" allowBlank="1" showInputMessage="1" showErrorMessage="1" sqref="F133:F138 F17:F21 F32:F36 F47:F51 F69:F73 F84:F88 F121 F100:F105 F129:F130">
      <formula1>Comments</formula1>
    </dataValidation>
    <dataValidation allowBlank="1" showErrorMessage="1" promptTitle="Project Name" prompt="MANDATORY entry._x000a_Project Number should be in &quot;XX-##&quot; format for Orals (e.g. PD-01)_x000a_or &quot;XXX-##&quot; format for Posters (e.g. FCP-14)." sqref="C56 C109"/>
  </dataValidations>
  <pageMargins left="0.5" right="0.5" top="0.5" bottom="0.5" header="0.3" footer="0.3"/>
  <pageSetup scale="69" fitToHeight="3" orientation="portrait" r:id="rId1"/>
  <rowBreaks count="2" manualBreakCount="2">
    <brk id="52" max="16383" man="1"/>
    <brk id="105"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6" tint="0.39997558519241921"/>
  </sheetPr>
  <dimension ref="A1:H138"/>
  <sheetViews>
    <sheetView showGridLines="0" zoomScaleNormal="100" workbookViewId="0">
      <selection activeCell="F16" sqref="F16"/>
    </sheetView>
  </sheetViews>
  <sheetFormatPr defaultColWidth="8.81640625" defaultRowHeight="14" x14ac:dyDescent="0.3"/>
  <cols>
    <col min="1" max="1" width="6.1796875" style="3" customWidth="1"/>
    <col min="2" max="2" width="12.26953125" style="1" customWidth="1"/>
    <col min="3" max="3" width="55.7265625" style="3" customWidth="1"/>
    <col min="4" max="4" width="16.7265625" style="3" customWidth="1"/>
    <col min="5" max="5" width="38.54296875" style="3" customWidth="1"/>
    <col min="6" max="6" width="9.7265625" style="3" customWidth="1"/>
    <col min="7" max="7" width="1.7265625" style="3" customWidth="1"/>
    <col min="8" max="8" width="70.7265625" style="3" customWidth="1"/>
    <col min="9" max="16384" width="8.81640625" style="3"/>
  </cols>
  <sheetData>
    <row r="1" spans="1:8" s="32" customFormat="1" ht="22.5" customHeight="1" x14ac:dyDescent="0.35">
      <c r="A1" s="31"/>
      <c r="B1" s="31"/>
      <c r="C1" s="30" t="s">
        <v>773</v>
      </c>
      <c r="D1" s="30"/>
      <c r="E1" s="30"/>
      <c r="F1" s="33" t="s">
        <v>110</v>
      </c>
      <c r="H1" s="94" t="s">
        <v>438</v>
      </c>
    </row>
    <row r="2" spans="1:8" s="32" customFormat="1" ht="22.5" customHeight="1" x14ac:dyDescent="0.35">
      <c r="A2" s="31"/>
      <c r="B2" s="31"/>
      <c r="C2" s="47" t="s">
        <v>337</v>
      </c>
      <c r="D2" s="30"/>
      <c r="E2" s="30"/>
      <c r="F2" s="33" t="s">
        <v>111</v>
      </c>
      <c r="H2" s="430" t="s">
        <v>423</v>
      </c>
    </row>
    <row r="3" spans="1:8" s="32" customFormat="1" ht="42" customHeight="1" x14ac:dyDescent="0.35">
      <c r="A3" s="53"/>
      <c r="B3" s="54"/>
      <c r="C3" s="65" t="s">
        <v>725</v>
      </c>
      <c r="D3" s="54"/>
      <c r="E3" s="54"/>
      <c r="F3" s="62" t="s">
        <v>831</v>
      </c>
      <c r="H3" s="430"/>
    </row>
    <row r="4" spans="1:8" ht="18" customHeight="1" x14ac:dyDescent="0.3">
      <c r="A4" s="16"/>
      <c r="B4" s="17" t="s">
        <v>0</v>
      </c>
      <c r="C4" s="419" t="s">
        <v>661</v>
      </c>
      <c r="D4" s="18" t="s">
        <v>35</v>
      </c>
      <c r="E4" s="67" t="s">
        <v>791</v>
      </c>
      <c r="F4" s="63" t="s">
        <v>338</v>
      </c>
      <c r="H4" s="430"/>
    </row>
    <row r="5" spans="1:8" ht="18" customHeight="1" x14ac:dyDescent="0.3">
      <c r="A5" s="45"/>
      <c r="B5" s="45" t="s">
        <v>1</v>
      </c>
      <c r="C5" s="66" t="s">
        <v>629</v>
      </c>
      <c r="D5" s="46" t="s">
        <v>427</v>
      </c>
      <c r="E5" s="166" t="s">
        <v>834</v>
      </c>
      <c r="F5" s="64" t="s">
        <v>339</v>
      </c>
      <c r="H5" s="430"/>
    </row>
    <row r="6" spans="1:8" ht="15" customHeight="1" x14ac:dyDescent="0.3">
      <c r="A6" s="95" t="s">
        <v>439</v>
      </c>
      <c r="B6" s="96"/>
      <c r="C6" s="97"/>
      <c r="D6" s="99" t="s">
        <v>432</v>
      </c>
      <c r="E6" s="455" t="s">
        <v>449</v>
      </c>
      <c r="F6" s="81" t="s">
        <v>423</v>
      </c>
      <c r="H6" s="430"/>
    </row>
    <row r="7" spans="1:8" ht="15" customHeight="1" thickBot="1" x14ac:dyDescent="0.35">
      <c r="A7" s="95" t="s">
        <v>2</v>
      </c>
      <c r="B7" s="96"/>
      <c r="C7" s="98"/>
      <c r="D7" s="425" t="s">
        <v>423</v>
      </c>
      <c r="E7" s="456"/>
      <c r="F7" s="82" t="s">
        <v>423</v>
      </c>
      <c r="H7" s="430"/>
    </row>
    <row r="8" spans="1:8" ht="39" x14ac:dyDescent="0.3">
      <c r="A8" s="22" t="s">
        <v>9</v>
      </c>
      <c r="B8" s="427" t="s">
        <v>780</v>
      </c>
      <c r="C8" s="427"/>
      <c r="D8" s="427"/>
      <c r="E8" s="429"/>
      <c r="F8" s="20" t="s">
        <v>42</v>
      </c>
      <c r="H8" s="430"/>
    </row>
    <row r="9" spans="1:8" s="4" customFormat="1" ht="12.75" customHeight="1" x14ac:dyDescent="0.35">
      <c r="A9" s="35" t="s">
        <v>4</v>
      </c>
      <c r="B9" s="36" t="s">
        <v>11</v>
      </c>
      <c r="C9" s="37" t="s">
        <v>775</v>
      </c>
      <c r="D9" s="10"/>
      <c r="E9" s="38"/>
      <c r="F9" s="9"/>
      <c r="H9" s="430"/>
    </row>
    <row r="10" spans="1:8" s="4" customFormat="1" ht="12.75" customHeight="1" thickBot="1" x14ac:dyDescent="0.3">
      <c r="A10" s="35" t="s">
        <v>5</v>
      </c>
      <c r="B10" s="36" t="s">
        <v>12</v>
      </c>
      <c r="C10" s="37" t="s">
        <v>776</v>
      </c>
      <c r="D10" s="10"/>
      <c r="E10" s="38"/>
      <c r="F10" s="21" t="s">
        <v>3</v>
      </c>
      <c r="H10" s="94" t="s">
        <v>440</v>
      </c>
    </row>
    <row r="11" spans="1:8" s="4" customFormat="1" ht="12.75" customHeight="1" x14ac:dyDescent="0.35">
      <c r="A11" s="35" t="s">
        <v>6</v>
      </c>
      <c r="B11" s="36" t="s">
        <v>13</v>
      </c>
      <c r="C11" s="37" t="s">
        <v>777</v>
      </c>
      <c r="D11" s="39"/>
      <c r="E11" s="7"/>
      <c r="F11" s="446">
        <v>3</v>
      </c>
      <c r="H11" s="100" t="s">
        <v>781</v>
      </c>
    </row>
    <row r="12" spans="1:8" s="4" customFormat="1" ht="12.75" customHeight="1" x14ac:dyDescent="0.35">
      <c r="A12" s="35" t="s">
        <v>7</v>
      </c>
      <c r="B12" s="36" t="s">
        <v>14</v>
      </c>
      <c r="C12" s="37" t="s">
        <v>778</v>
      </c>
      <c r="D12" s="39"/>
      <c r="E12" s="7"/>
      <c r="F12" s="447"/>
      <c r="H12" s="100" t="s">
        <v>782</v>
      </c>
    </row>
    <row r="13" spans="1:8" s="4" customFormat="1" ht="12.75" customHeight="1" thickBot="1" x14ac:dyDescent="0.4">
      <c r="A13" s="35" t="s">
        <v>8</v>
      </c>
      <c r="B13" s="36" t="s">
        <v>15</v>
      </c>
      <c r="C13" s="37" t="s">
        <v>779</v>
      </c>
      <c r="D13" s="39"/>
      <c r="E13" s="7"/>
      <c r="F13" s="448"/>
      <c r="H13" s="100"/>
    </row>
    <row r="14" spans="1:8" s="4" customFormat="1" ht="12.75" customHeight="1" x14ac:dyDescent="0.25">
      <c r="A14" s="381"/>
      <c r="B14" s="382" t="s">
        <v>428</v>
      </c>
      <c r="C14" s="443"/>
      <c r="D14" s="443"/>
      <c r="E14" s="443"/>
      <c r="F14" s="444"/>
    </row>
    <row r="15" spans="1:8" s="8" customFormat="1" ht="24" customHeight="1" x14ac:dyDescent="0.3">
      <c r="A15" s="69" t="s">
        <v>223</v>
      </c>
      <c r="B15" s="70" t="s">
        <v>45</v>
      </c>
      <c r="C15" s="71"/>
      <c r="D15" s="71"/>
      <c r="E15" s="71"/>
      <c r="F15" s="68" t="s">
        <v>335</v>
      </c>
      <c r="G15" s="48"/>
      <c r="H15" s="94" t="s">
        <v>441</v>
      </c>
    </row>
    <row r="16" spans="1:8" s="4" customFormat="1" ht="24" customHeight="1" x14ac:dyDescent="0.35">
      <c r="A16" s="19"/>
      <c r="B16" s="452" t="s">
        <v>830</v>
      </c>
      <c r="C16" s="453"/>
      <c r="D16" s="453"/>
      <c r="E16" s="454"/>
      <c r="F16" s="23" t="s">
        <v>423</v>
      </c>
      <c r="G16" s="49"/>
      <c r="H16" s="284" t="s">
        <v>423</v>
      </c>
    </row>
    <row r="17" spans="1:8" s="4" customFormat="1" ht="24" customHeight="1" x14ac:dyDescent="0.35">
      <c r="A17" s="11"/>
      <c r="B17" s="435" t="s">
        <v>821</v>
      </c>
      <c r="C17" s="435"/>
      <c r="D17" s="435"/>
      <c r="E17" s="436"/>
      <c r="F17" s="12"/>
      <c r="G17" s="49"/>
      <c r="H17" s="284" t="s">
        <v>423</v>
      </c>
    </row>
    <row r="18" spans="1:8" s="4" customFormat="1" ht="24" customHeight="1" x14ac:dyDescent="0.35">
      <c r="A18" s="11"/>
      <c r="B18" s="435"/>
      <c r="C18" s="435"/>
      <c r="D18" s="435"/>
      <c r="E18" s="436"/>
      <c r="F18" s="12"/>
      <c r="G18" s="49"/>
      <c r="H18" s="284" t="s">
        <v>423</v>
      </c>
    </row>
    <row r="19" spans="1:8" s="4" customFormat="1" ht="24" customHeight="1" x14ac:dyDescent="0.35">
      <c r="A19" s="11"/>
      <c r="B19" s="435"/>
      <c r="C19" s="435"/>
      <c r="D19" s="435"/>
      <c r="E19" s="436"/>
      <c r="F19" s="12"/>
      <c r="G19" s="49"/>
      <c r="H19" s="284" t="s">
        <v>423</v>
      </c>
    </row>
    <row r="20" spans="1:8" s="4" customFormat="1" ht="24" customHeight="1" x14ac:dyDescent="0.35">
      <c r="A20" s="11"/>
      <c r="B20" s="435"/>
      <c r="C20" s="435"/>
      <c r="D20" s="435"/>
      <c r="E20" s="436"/>
      <c r="F20" s="12"/>
      <c r="G20" s="49"/>
      <c r="H20" s="284" t="s">
        <v>423</v>
      </c>
    </row>
    <row r="21" spans="1:8" s="4" customFormat="1" ht="24" customHeight="1" thickBot="1" x14ac:dyDescent="0.4">
      <c r="A21" s="13"/>
      <c r="B21" s="437"/>
      <c r="C21" s="437"/>
      <c r="D21" s="437"/>
      <c r="E21" s="438"/>
      <c r="F21" s="14"/>
      <c r="G21" s="49"/>
      <c r="H21" s="284" t="s">
        <v>423</v>
      </c>
    </row>
    <row r="22" spans="1:8" ht="12.75" customHeight="1" thickBot="1" x14ac:dyDescent="0.25">
      <c r="G22" s="50"/>
      <c r="H22" s="284" t="s">
        <v>423</v>
      </c>
    </row>
    <row r="23" spans="1:8" ht="27.75" customHeight="1" x14ac:dyDescent="0.3">
      <c r="A23" s="22" t="s">
        <v>36</v>
      </c>
      <c r="B23" s="427" t="s">
        <v>456</v>
      </c>
      <c r="C23" s="427"/>
      <c r="D23" s="427"/>
      <c r="E23" s="429"/>
      <c r="F23" s="20" t="s">
        <v>41</v>
      </c>
      <c r="H23" s="284" t="s">
        <v>423</v>
      </c>
    </row>
    <row r="24" spans="1:8" s="4" customFormat="1" ht="12.75" customHeight="1" x14ac:dyDescent="0.25">
      <c r="A24" s="35" t="s">
        <v>4</v>
      </c>
      <c r="B24" s="36" t="s">
        <v>11</v>
      </c>
      <c r="C24" s="37" t="s">
        <v>18</v>
      </c>
      <c r="D24" s="10"/>
      <c r="E24" s="38"/>
      <c r="F24" s="9"/>
      <c r="H24" s="284" t="s">
        <v>423</v>
      </c>
    </row>
    <row r="25" spans="1:8" s="4" customFormat="1" ht="12.75" customHeight="1" thickBot="1" x14ac:dyDescent="0.3">
      <c r="A25" s="35" t="s">
        <v>5</v>
      </c>
      <c r="B25" s="36" t="s">
        <v>12</v>
      </c>
      <c r="C25" s="37" t="s">
        <v>19</v>
      </c>
      <c r="D25" s="10"/>
      <c r="E25" s="38"/>
      <c r="F25" s="21" t="s">
        <v>3</v>
      </c>
      <c r="H25" s="284" t="s">
        <v>423</v>
      </c>
    </row>
    <row r="26" spans="1:8" s="4" customFormat="1" ht="12.75" customHeight="1" x14ac:dyDescent="0.35">
      <c r="A26" s="35" t="s">
        <v>6</v>
      </c>
      <c r="B26" s="36" t="s">
        <v>13</v>
      </c>
      <c r="C26" s="37" t="s">
        <v>20</v>
      </c>
      <c r="D26" s="39"/>
      <c r="E26" s="72"/>
      <c r="F26" s="446">
        <v>3.5</v>
      </c>
      <c r="H26" s="237"/>
    </row>
    <row r="27" spans="1:8" s="4" customFormat="1" ht="12.75" customHeight="1" x14ac:dyDescent="0.35">
      <c r="A27" s="35" t="s">
        <v>7</v>
      </c>
      <c r="B27" s="36" t="s">
        <v>14</v>
      </c>
      <c r="C27" s="37" t="s">
        <v>418</v>
      </c>
      <c r="D27" s="39"/>
      <c r="E27" s="72"/>
      <c r="F27" s="450"/>
    </row>
    <row r="28" spans="1:8" s="4" customFormat="1" ht="12.75" customHeight="1" thickBot="1" x14ac:dyDescent="0.4">
      <c r="A28" s="35" t="s">
        <v>8</v>
      </c>
      <c r="B28" s="36" t="s">
        <v>15</v>
      </c>
      <c r="C28" s="37" t="s">
        <v>21</v>
      </c>
      <c r="D28" s="39"/>
      <c r="E28" s="72"/>
      <c r="F28" s="451"/>
    </row>
    <row r="29" spans="1:8" s="4" customFormat="1" ht="12.75" customHeight="1" x14ac:dyDescent="0.35">
      <c r="A29" s="381"/>
      <c r="B29" s="382" t="s">
        <v>428</v>
      </c>
      <c r="C29" s="443"/>
      <c r="D29" s="443"/>
      <c r="E29" s="443"/>
      <c r="F29" s="444"/>
    </row>
    <row r="30" spans="1:8" s="8" customFormat="1" ht="24" customHeight="1" x14ac:dyDescent="0.25">
      <c r="A30" s="42" t="s">
        <v>223</v>
      </c>
      <c r="B30" s="24" t="s">
        <v>45</v>
      </c>
      <c r="C30" s="25"/>
      <c r="D30" s="25"/>
      <c r="E30" s="25"/>
      <c r="F30" s="68" t="s">
        <v>335</v>
      </c>
    </row>
    <row r="31" spans="1:8" s="4" customFormat="1" ht="24" customHeight="1" x14ac:dyDescent="0.35">
      <c r="A31" s="19"/>
      <c r="B31" s="449" t="s">
        <v>819</v>
      </c>
      <c r="C31" s="441"/>
      <c r="D31" s="441"/>
      <c r="E31" s="442"/>
      <c r="F31" s="23"/>
    </row>
    <row r="32" spans="1:8" s="4" customFormat="1" ht="24" customHeight="1" x14ac:dyDescent="0.35">
      <c r="A32" s="11"/>
      <c r="B32" s="435"/>
      <c r="C32" s="435"/>
      <c r="D32" s="435"/>
      <c r="E32" s="436"/>
      <c r="F32" s="12"/>
    </row>
    <row r="33" spans="1:6" s="4" customFormat="1" ht="24" customHeight="1" x14ac:dyDescent="0.35">
      <c r="A33" s="11"/>
      <c r="B33" s="435" t="s">
        <v>822</v>
      </c>
      <c r="C33" s="435"/>
      <c r="D33" s="435"/>
      <c r="E33" s="436"/>
      <c r="F33" s="12"/>
    </row>
    <row r="34" spans="1:6" s="4" customFormat="1" ht="24" customHeight="1" x14ac:dyDescent="0.35">
      <c r="A34" s="11"/>
      <c r="B34" s="435"/>
      <c r="C34" s="435"/>
      <c r="D34" s="435"/>
      <c r="E34" s="436"/>
      <c r="F34" s="12"/>
    </row>
    <row r="35" spans="1:6" s="4" customFormat="1" ht="24" customHeight="1" x14ac:dyDescent="0.35">
      <c r="A35" s="11"/>
      <c r="B35" s="435"/>
      <c r="C35" s="435"/>
      <c r="D35" s="435"/>
      <c r="E35" s="436"/>
      <c r="F35" s="12"/>
    </row>
    <row r="36" spans="1:6" s="4" customFormat="1" ht="24" customHeight="1" thickBot="1" x14ac:dyDescent="0.4">
      <c r="A36" s="13"/>
      <c r="B36" s="437"/>
      <c r="C36" s="437"/>
      <c r="D36" s="437"/>
      <c r="E36" s="438"/>
      <c r="F36" s="14"/>
    </row>
    <row r="37" spans="1:6" ht="12.75" customHeight="1" thickBot="1" x14ac:dyDescent="0.35"/>
    <row r="38" spans="1:6" ht="30.75" customHeight="1" x14ac:dyDescent="0.3">
      <c r="A38" s="22" t="s">
        <v>37</v>
      </c>
      <c r="B38" s="427" t="s">
        <v>457</v>
      </c>
      <c r="C38" s="427"/>
      <c r="D38" s="427"/>
      <c r="E38" s="429"/>
      <c r="F38" s="20" t="s">
        <v>41</v>
      </c>
    </row>
    <row r="39" spans="1:6" s="4" customFormat="1" ht="12.75" customHeight="1" x14ac:dyDescent="0.35">
      <c r="A39" s="35" t="s">
        <v>4</v>
      </c>
      <c r="B39" s="36" t="s">
        <v>11</v>
      </c>
      <c r="C39" s="37" t="s">
        <v>22</v>
      </c>
      <c r="D39" s="10"/>
      <c r="E39" s="38"/>
      <c r="F39" s="9"/>
    </row>
    <row r="40" spans="1:6" s="4" customFormat="1" ht="12.75" customHeight="1" thickBot="1" x14ac:dyDescent="0.4">
      <c r="A40" s="35" t="s">
        <v>5</v>
      </c>
      <c r="B40" s="36" t="s">
        <v>12</v>
      </c>
      <c r="C40" s="37" t="s">
        <v>23</v>
      </c>
      <c r="D40" s="10"/>
      <c r="E40" s="38"/>
      <c r="F40" s="21" t="s">
        <v>3</v>
      </c>
    </row>
    <row r="41" spans="1:6" s="4" customFormat="1" ht="12.75" customHeight="1" x14ac:dyDescent="0.35">
      <c r="A41" s="35" t="s">
        <v>6</v>
      </c>
      <c r="B41" s="36" t="s">
        <v>13</v>
      </c>
      <c r="C41" s="37" t="s">
        <v>442</v>
      </c>
      <c r="D41" s="39"/>
      <c r="E41" s="72"/>
      <c r="F41" s="446">
        <v>4</v>
      </c>
    </row>
    <row r="42" spans="1:6" s="4" customFormat="1" ht="16.5" customHeight="1" x14ac:dyDescent="0.35">
      <c r="A42" s="35" t="s">
        <v>7</v>
      </c>
      <c r="B42" s="36" t="s">
        <v>14</v>
      </c>
      <c r="C42" s="37" t="s">
        <v>24</v>
      </c>
      <c r="D42" s="420"/>
      <c r="E42" s="420"/>
      <c r="F42" s="450"/>
    </row>
    <row r="43" spans="1:6" s="4" customFormat="1" ht="12.75" customHeight="1" thickBot="1" x14ac:dyDescent="0.4">
      <c r="A43" s="35" t="s">
        <v>8</v>
      </c>
      <c r="B43" s="36" t="s">
        <v>15</v>
      </c>
      <c r="C43" s="37" t="s">
        <v>443</v>
      </c>
      <c r="D43" s="39"/>
      <c r="E43" s="72"/>
      <c r="F43" s="451"/>
    </row>
    <row r="44" spans="1:6" s="4" customFormat="1" ht="12.75" customHeight="1" x14ac:dyDescent="0.35">
      <c r="A44" s="381"/>
      <c r="B44" s="382" t="s">
        <v>428</v>
      </c>
      <c r="C44" s="443"/>
      <c r="D44" s="443"/>
      <c r="E44" s="443"/>
      <c r="F44" s="444"/>
    </row>
    <row r="45" spans="1:6" s="8" customFormat="1" ht="24" customHeight="1" x14ac:dyDescent="0.25">
      <c r="A45" s="42" t="s">
        <v>223</v>
      </c>
      <c r="B45" s="24" t="s">
        <v>45</v>
      </c>
      <c r="C45" s="25"/>
      <c r="D45" s="25"/>
      <c r="E45" s="25"/>
      <c r="F45" s="68" t="s">
        <v>335</v>
      </c>
    </row>
    <row r="46" spans="1:6" s="4" customFormat="1" ht="24" customHeight="1" x14ac:dyDescent="0.35">
      <c r="A46" s="19"/>
      <c r="B46" s="449"/>
      <c r="C46" s="441"/>
      <c r="D46" s="441"/>
      <c r="E46" s="442"/>
      <c r="F46" s="23"/>
    </row>
    <row r="47" spans="1:6" s="4" customFormat="1" ht="24" customHeight="1" x14ac:dyDescent="0.35">
      <c r="A47" s="11"/>
      <c r="B47" s="435"/>
      <c r="C47" s="435"/>
      <c r="D47" s="435"/>
      <c r="E47" s="436"/>
      <c r="F47" s="12"/>
    </row>
    <row r="48" spans="1:6" s="4" customFormat="1" ht="24" customHeight="1" x14ac:dyDescent="0.35">
      <c r="A48" s="11"/>
      <c r="B48" s="435"/>
      <c r="C48" s="435"/>
      <c r="D48" s="435"/>
      <c r="E48" s="436"/>
      <c r="F48" s="12"/>
    </row>
    <row r="49" spans="1:6" s="4" customFormat="1" ht="24" customHeight="1" x14ac:dyDescent="0.35">
      <c r="A49" s="11"/>
      <c r="B49" s="435"/>
      <c r="C49" s="435"/>
      <c r="D49" s="435"/>
      <c r="E49" s="436"/>
      <c r="F49" s="12"/>
    </row>
    <row r="50" spans="1:6" s="4" customFormat="1" ht="24" customHeight="1" x14ac:dyDescent="0.35">
      <c r="A50" s="11"/>
      <c r="B50" s="435"/>
      <c r="C50" s="435"/>
      <c r="D50" s="435"/>
      <c r="E50" s="436"/>
      <c r="F50" s="12"/>
    </row>
    <row r="51" spans="1:6" s="4" customFormat="1" ht="24" customHeight="1" thickBot="1" x14ac:dyDescent="0.4">
      <c r="A51" s="13"/>
      <c r="B51" s="437"/>
      <c r="C51" s="437"/>
      <c r="D51" s="437"/>
      <c r="E51" s="438"/>
      <c r="F51" s="14"/>
    </row>
    <row r="52" spans="1:6" ht="12.75" customHeight="1" x14ac:dyDescent="0.3"/>
    <row r="53" spans="1:6" s="32" customFormat="1" ht="22.5" customHeight="1" x14ac:dyDescent="0.35">
      <c r="A53" s="31"/>
      <c r="B53" s="31"/>
      <c r="C53" s="30" t="s">
        <v>430</v>
      </c>
      <c r="D53" s="30"/>
      <c r="E53" s="30"/>
      <c r="F53" s="33" t="s">
        <v>110</v>
      </c>
    </row>
    <row r="54" spans="1:6" s="32" customFormat="1" ht="22.5" customHeight="1" x14ac:dyDescent="0.35">
      <c r="A54" s="31"/>
      <c r="B54" s="31"/>
      <c r="C54" s="47" t="s">
        <v>337</v>
      </c>
      <c r="D54" s="30"/>
      <c r="E54" s="30"/>
      <c r="F54" s="33" t="s">
        <v>112</v>
      </c>
    </row>
    <row r="55" spans="1:6" s="32" customFormat="1" ht="42" customHeight="1" x14ac:dyDescent="0.35">
      <c r="A55" s="53"/>
      <c r="B55" s="54"/>
      <c r="C55" s="65" t="s">
        <v>725</v>
      </c>
      <c r="D55" s="54"/>
      <c r="E55" s="54"/>
      <c r="F55" s="62" t="s">
        <v>831</v>
      </c>
    </row>
    <row r="56" spans="1:6" ht="18" customHeight="1" x14ac:dyDescent="0.3">
      <c r="A56" s="16"/>
      <c r="B56" s="17" t="s">
        <v>0</v>
      </c>
      <c r="C56" s="66" t="s">
        <v>661</v>
      </c>
      <c r="D56" s="18" t="s">
        <v>35</v>
      </c>
      <c r="E56" s="66" t="s">
        <v>791</v>
      </c>
      <c r="F56" s="63" t="s">
        <v>338</v>
      </c>
    </row>
    <row r="57" spans="1:6" ht="18" customHeight="1" x14ac:dyDescent="0.3">
      <c r="A57" s="6"/>
      <c r="B57" s="45" t="s">
        <v>1</v>
      </c>
      <c r="C57" s="66" t="s">
        <v>629</v>
      </c>
      <c r="D57" s="46" t="s">
        <v>427</v>
      </c>
      <c r="E57" s="66">
        <v>238</v>
      </c>
      <c r="F57" s="64" t="s">
        <v>339</v>
      </c>
    </row>
    <row r="58" spans="1:6" ht="15" customHeight="1" x14ac:dyDescent="0.3">
      <c r="A58" s="51" t="s">
        <v>342</v>
      </c>
      <c r="B58" s="52"/>
      <c r="C58" s="34" t="s">
        <v>2</v>
      </c>
      <c r="D58" s="5"/>
      <c r="E58" s="15"/>
      <c r="F58" s="81" t="s">
        <v>423</v>
      </c>
    </row>
    <row r="59" spans="1:6" ht="15" customHeight="1" thickBot="1" x14ac:dyDescent="0.35">
      <c r="A59" s="51" t="s">
        <v>343</v>
      </c>
      <c r="B59" s="52"/>
      <c r="F59" s="82" t="s">
        <v>423</v>
      </c>
    </row>
    <row r="60" spans="1:6" ht="42" customHeight="1" x14ac:dyDescent="0.3">
      <c r="A60" s="22" t="s">
        <v>38</v>
      </c>
      <c r="B60" s="427" t="s">
        <v>421</v>
      </c>
      <c r="C60" s="427"/>
      <c r="D60" s="427"/>
      <c r="E60" s="429"/>
      <c r="F60" s="20" t="s">
        <v>43</v>
      </c>
    </row>
    <row r="61" spans="1:6" s="4" customFormat="1" ht="12.75" customHeight="1" x14ac:dyDescent="0.35">
      <c r="A61" s="35" t="s">
        <v>4</v>
      </c>
      <c r="B61" s="36" t="s">
        <v>11</v>
      </c>
      <c r="C61" s="37" t="s">
        <v>25</v>
      </c>
      <c r="D61" s="10"/>
      <c r="E61" s="38"/>
      <c r="F61" s="9"/>
    </row>
    <row r="62" spans="1:6" s="4" customFormat="1" ht="12.75" customHeight="1" thickBot="1" x14ac:dyDescent="0.4">
      <c r="A62" s="35" t="s">
        <v>5</v>
      </c>
      <c r="B62" s="36" t="s">
        <v>12</v>
      </c>
      <c r="C62" s="37" t="s">
        <v>26</v>
      </c>
      <c r="D62" s="10"/>
      <c r="E62" s="38"/>
      <c r="F62" s="21" t="s">
        <v>3</v>
      </c>
    </row>
    <row r="63" spans="1:6" s="4" customFormat="1" ht="12.75" customHeight="1" x14ac:dyDescent="0.35">
      <c r="A63" s="35" t="s">
        <v>6</v>
      </c>
      <c r="B63" s="36" t="s">
        <v>13</v>
      </c>
      <c r="C63" s="37" t="s">
        <v>27</v>
      </c>
      <c r="D63" s="39"/>
      <c r="E63" s="72"/>
      <c r="F63" s="446">
        <v>3</v>
      </c>
    </row>
    <row r="64" spans="1:6" s="4" customFormat="1" ht="12.75" customHeight="1" x14ac:dyDescent="0.35">
      <c r="A64" s="35" t="s">
        <v>7</v>
      </c>
      <c r="B64" s="36" t="s">
        <v>14</v>
      </c>
      <c r="C64" s="37" t="s">
        <v>28</v>
      </c>
      <c r="D64" s="420"/>
      <c r="E64" s="420"/>
      <c r="F64" s="447"/>
    </row>
    <row r="65" spans="1:6" s="4" customFormat="1" ht="12.75" customHeight="1" thickBot="1" x14ac:dyDescent="0.4">
      <c r="A65" s="35" t="s">
        <v>8</v>
      </c>
      <c r="B65" s="36" t="s">
        <v>15</v>
      </c>
      <c r="C65" s="37" t="s">
        <v>29</v>
      </c>
      <c r="D65" s="420"/>
      <c r="E65" s="420"/>
      <c r="F65" s="448"/>
    </row>
    <row r="66" spans="1:6" s="4" customFormat="1" ht="12.75" customHeight="1" x14ac:dyDescent="0.35">
      <c r="A66" s="381"/>
      <c r="B66" s="382" t="s">
        <v>428</v>
      </c>
      <c r="C66" s="443"/>
      <c r="D66" s="443"/>
      <c r="E66" s="443"/>
      <c r="F66" s="444"/>
    </row>
    <row r="67" spans="1:6" s="8" customFormat="1" ht="24" customHeight="1" x14ac:dyDescent="0.25">
      <c r="A67" s="42" t="s">
        <v>223</v>
      </c>
      <c r="B67" s="24" t="s">
        <v>45</v>
      </c>
      <c r="C67" s="25"/>
      <c r="D67" s="25"/>
      <c r="E67" s="25"/>
      <c r="F67" s="68" t="s">
        <v>335</v>
      </c>
    </row>
    <row r="68" spans="1:6" s="4" customFormat="1" ht="24" customHeight="1" x14ac:dyDescent="0.35">
      <c r="A68" s="19"/>
      <c r="B68" s="431" t="s">
        <v>826</v>
      </c>
      <c r="C68" s="432"/>
      <c r="D68" s="432"/>
      <c r="E68" s="433"/>
      <c r="F68" s="23"/>
    </row>
    <row r="69" spans="1:6" s="4" customFormat="1" ht="24" customHeight="1" x14ac:dyDescent="0.35">
      <c r="A69" s="11"/>
      <c r="B69" s="434"/>
      <c r="C69" s="435"/>
      <c r="D69" s="435"/>
      <c r="E69" s="436"/>
      <c r="F69" s="12"/>
    </row>
    <row r="70" spans="1:6" s="4" customFormat="1" ht="24" customHeight="1" x14ac:dyDescent="0.35">
      <c r="A70" s="11"/>
      <c r="B70" s="434"/>
      <c r="C70" s="435"/>
      <c r="D70" s="435"/>
      <c r="E70" s="436"/>
      <c r="F70" s="12"/>
    </row>
    <row r="71" spans="1:6" s="4" customFormat="1" ht="24" customHeight="1" x14ac:dyDescent="0.35">
      <c r="A71" s="11"/>
      <c r="B71" s="435"/>
      <c r="C71" s="435"/>
      <c r="D71" s="435"/>
      <c r="E71" s="436"/>
      <c r="F71" s="12"/>
    </row>
    <row r="72" spans="1:6" s="4" customFormat="1" ht="24" customHeight="1" x14ac:dyDescent="0.35">
      <c r="A72" s="11"/>
      <c r="B72" s="435"/>
      <c r="C72" s="435"/>
      <c r="D72" s="435"/>
      <c r="E72" s="436"/>
      <c r="F72" s="12"/>
    </row>
    <row r="73" spans="1:6" s="4" customFormat="1" ht="24" customHeight="1" thickBot="1" x14ac:dyDescent="0.4">
      <c r="A73" s="13"/>
      <c r="B73" s="437"/>
      <c r="C73" s="437"/>
      <c r="D73" s="437"/>
      <c r="E73" s="438"/>
      <c r="F73" s="14"/>
    </row>
    <row r="74" spans="1:6" ht="12.75" customHeight="1" thickBot="1" x14ac:dyDescent="0.35"/>
    <row r="75" spans="1:6" ht="40.5" customHeight="1" x14ac:dyDescent="0.3">
      <c r="A75" s="22" t="s">
        <v>39</v>
      </c>
      <c r="B75" s="427" t="s">
        <v>444</v>
      </c>
      <c r="C75" s="427"/>
      <c r="D75" s="427"/>
      <c r="E75" s="429"/>
      <c r="F75" s="20" t="s">
        <v>44</v>
      </c>
    </row>
    <row r="76" spans="1:6" s="4" customFormat="1" ht="21" customHeight="1" x14ac:dyDescent="0.35">
      <c r="A76" s="35" t="s">
        <v>4</v>
      </c>
      <c r="B76" s="36" t="s">
        <v>11</v>
      </c>
      <c r="C76" s="440" t="s">
        <v>419</v>
      </c>
      <c r="D76" s="440"/>
      <c r="E76" s="440"/>
      <c r="F76" s="9"/>
    </row>
    <row r="77" spans="1:6" s="4" customFormat="1" ht="18" customHeight="1" thickBot="1" x14ac:dyDescent="0.4">
      <c r="A77" s="35" t="s">
        <v>5</v>
      </c>
      <c r="B77" s="36" t="s">
        <v>12</v>
      </c>
      <c r="C77" s="440" t="s">
        <v>30</v>
      </c>
      <c r="D77" s="440"/>
      <c r="E77" s="440"/>
      <c r="F77" s="21" t="s">
        <v>3</v>
      </c>
    </row>
    <row r="78" spans="1:6" s="4" customFormat="1" ht="12.75" customHeight="1" x14ac:dyDescent="0.35">
      <c r="A78" s="35" t="s">
        <v>6</v>
      </c>
      <c r="B78" s="36" t="s">
        <v>13</v>
      </c>
      <c r="C78" s="440" t="s">
        <v>31</v>
      </c>
      <c r="D78" s="440"/>
      <c r="E78" s="440"/>
      <c r="F78" s="446">
        <v>4</v>
      </c>
    </row>
    <row r="79" spans="1:6" s="4" customFormat="1" ht="12.75" customHeight="1" x14ac:dyDescent="0.35">
      <c r="A79" s="35" t="s">
        <v>7</v>
      </c>
      <c r="B79" s="36" t="s">
        <v>14</v>
      </c>
      <c r="C79" s="440" t="s">
        <v>32</v>
      </c>
      <c r="D79" s="440"/>
      <c r="E79" s="440"/>
      <c r="F79" s="447"/>
    </row>
    <row r="80" spans="1:6" s="4" customFormat="1" ht="24" customHeight="1" thickBot="1" x14ac:dyDescent="0.4">
      <c r="A80" s="35" t="s">
        <v>8</v>
      </c>
      <c r="B80" s="36" t="s">
        <v>15</v>
      </c>
      <c r="C80" s="440" t="s">
        <v>420</v>
      </c>
      <c r="D80" s="440"/>
      <c r="E80" s="440"/>
      <c r="F80" s="448"/>
    </row>
    <row r="81" spans="1:6" s="4" customFormat="1" ht="12.75" customHeight="1" x14ac:dyDescent="0.35">
      <c r="A81" s="381"/>
      <c r="B81" s="382" t="s">
        <v>428</v>
      </c>
      <c r="C81" s="443"/>
      <c r="D81" s="443"/>
      <c r="E81" s="443"/>
      <c r="F81" s="444"/>
    </row>
    <row r="82" spans="1:6" s="8" customFormat="1" ht="24" customHeight="1" x14ac:dyDescent="0.25">
      <c r="A82" s="42" t="s">
        <v>223</v>
      </c>
      <c r="B82" s="24" t="s">
        <v>45</v>
      </c>
      <c r="C82" s="25"/>
      <c r="D82" s="25"/>
      <c r="E82" s="25"/>
      <c r="F82" s="68" t="s">
        <v>335</v>
      </c>
    </row>
    <row r="83" spans="1:6" s="4" customFormat="1" ht="24" customHeight="1" x14ac:dyDescent="0.35">
      <c r="A83" s="19"/>
      <c r="B83" s="449"/>
      <c r="C83" s="441"/>
      <c r="D83" s="441"/>
      <c r="E83" s="442"/>
      <c r="F83" s="23"/>
    </row>
    <row r="84" spans="1:6" s="4" customFormat="1" ht="24" customHeight="1" x14ac:dyDescent="0.35">
      <c r="A84" s="11"/>
      <c r="B84" s="435"/>
      <c r="C84" s="435"/>
      <c r="D84" s="435"/>
      <c r="E84" s="436"/>
      <c r="F84" s="12"/>
    </row>
    <row r="85" spans="1:6" s="4" customFormat="1" ht="24" customHeight="1" x14ac:dyDescent="0.35">
      <c r="A85" s="11"/>
      <c r="B85" s="435"/>
      <c r="C85" s="435"/>
      <c r="D85" s="435"/>
      <c r="E85" s="436"/>
      <c r="F85" s="12"/>
    </row>
    <row r="86" spans="1:6" s="4" customFormat="1" ht="24" customHeight="1" x14ac:dyDescent="0.35">
      <c r="A86" s="11"/>
      <c r="B86" s="435"/>
      <c r="C86" s="435"/>
      <c r="D86" s="435"/>
      <c r="E86" s="436"/>
      <c r="F86" s="12"/>
    </row>
    <row r="87" spans="1:6" s="4" customFormat="1" ht="24" customHeight="1" x14ac:dyDescent="0.35">
      <c r="A87" s="11"/>
      <c r="B87" s="435"/>
      <c r="C87" s="435"/>
      <c r="D87" s="435"/>
      <c r="E87" s="436"/>
      <c r="F87" s="12"/>
    </row>
    <row r="88" spans="1:6" s="4" customFormat="1" ht="24" customHeight="1" thickBot="1" x14ac:dyDescent="0.4">
      <c r="A88" s="13"/>
      <c r="B88" s="437"/>
      <c r="C88" s="437"/>
      <c r="D88" s="437"/>
      <c r="E88" s="438"/>
      <c r="F88" s="14"/>
    </row>
    <row r="89" spans="1:6" ht="12.75" customHeight="1" thickBot="1" x14ac:dyDescent="0.35"/>
    <row r="90" spans="1:6" ht="30" customHeight="1" x14ac:dyDescent="0.3">
      <c r="A90" s="22" t="s">
        <v>40</v>
      </c>
      <c r="B90" s="427" t="s">
        <v>422</v>
      </c>
      <c r="C90" s="427"/>
      <c r="D90" s="427"/>
      <c r="E90" s="429"/>
      <c r="F90" s="20" t="s">
        <v>44</v>
      </c>
    </row>
    <row r="91" spans="1:6" s="4" customFormat="1" ht="24" customHeight="1" x14ac:dyDescent="0.35">
      <c r="A91" s="35" t="s">
        <v>4</v>
      </c>
      <c r="B91" s="36" t="s">
        <v>11</v>
      </c>
      <c r="C91" s="440" t="s">
        <v>445</v>
      </c>
      <c r="D91" s="440"/>
      <c r="E91" s="440"/>
      <c r="F91" s="9"/>
    </row>
    <row r="92" spans="1:6" s="4" customFormat="1" ht="12.75" customHeight="1" thickBot="1" x14ac:dyDescent="0.4">
      <c r="A92" s="35" t="s">
        <v>5</v>
      </c>
      <c r="B92" s="36" t="s">
        <v>12</v>
      </c>
      <c r="C92" s="440" t="s">
        <v>446</v>
      </c>
      <c r="D92" s="440"/>
      <c r="E92" s="440"/>
      <c r="F92" s="21" t="s">
        <v>3</v>
      </c>
    </row>
    <row r="93" spans="1:6" s="2" customFormat="1" ht="12.75" customHeight="1" x14ac:dyDescent="0.3">
      <c r="A93" s="35" t="s">
        <v>6</v>
      </c>
      <c r="B93" s="36" t="s">
        <v>13</v>
      </c>
      <c r="C93" s="440" t="s">
        <v>447</v>
      </c>
      <c r="D93" s="440"/>
      <c r="E93" s="440"/>
      <c r="F93" s="446">
        <v>1</v>
      </c>
    </row>
    <row r="94" spans="1:6" ht="12.75" customHeight="1" x14ac:dyDescent="0.3">
      <c r="A94" s="35" t="s">
        <v>7</v>
      </c>
      <c r="B94" s="36" t="s">
        <v>14</v>
      </c>
      <c r="C94" s="440" t="s">
        <v>17</v>
      </c>
      <c r="D94" s="440"/>
      <c r="E94" s="440"/>
      <c r="F94" s="447"/>
    </row>
    <row r="95" spans="1:6" ht="12.75" customHeight="1" thickBot="1" x14ac:dyDescent="0.35">
      <c r="A95" s="35" t="s">
        <v>8</v>
      </c>
      <c r="B95" s="36" t="s">
        <v>15</v>
      </c>
      <c r="C95" s="440" t="s">
        <v>33</v>
      </c>
      <c r="D95" s="440"/>
      <c r="E95" s="440"/>
      <c r="F95" s="448"/>
    </row>
    <row r="96" spans="1:6" ht="12.75" customHeight="1" x14ac:dyDescent="0.3">
      <c r="A96" s="35" t="s">
        <v>10</v>
      </c>
      <c r="B96" s="40" t="s">
        <v>34</v>
      </c>
      <c r="C96" s="440" t="s">
        <v>16</v>
      </c>
      <c r="D96" s="440"/>
      <c r="E96" s="440"/>
      <c r="F96" s="73"/>
    </row>
    <row r="97" spans="1:6" s="4" customFormat="1" ht="12.75" customHeight="1" x14ac:dyDescent="0.35">
      <c r="A97" s="381"/>
      <c r="B97" s="382" t="s">
        <v>428</v>
      </c>
      <c r="C97" s="443"/>
      <c r="D97" s="443"/>
      <c r="E97" s="443"/>
      <c r="F97" s="445"/>
    </row>
    <row r="98" spans="1:6" s="8" customFormat="1" ht="24" customHeight="1" x14ac:dyDescent="0.25">
      <c r="A98" s="42" t="s">
        <v>223</v>
      </c>
      <c r="B98" s="24" t="s">
        <v>45</v>
      </c>
      <c r="C98" s="25"/>
      <c r="D98" s="25"/>
      <c r="E98" s="25"/>
      <c r="F98" s="26" t="s">
        <v>335</v>
      </c>
    </row>
    <row r="99" spans="1:6" s="4" customFormat="1" ht="24" customHeight="1" x14ac:dyDescent="0.35">
      <c r="A99" s="19"/>
      <c r="B99" s="441" t="s">
        <v>825</v>
      </c>
      <c r="C99" s="441"/>
      <c r="D99" s="441"/>
      <c r="E99" s="442"/>
      <c r="F99" s="23"/>
    </row>
    <row r="100" spans="1:6" s="4" customFormat="1" ht="24" customHeight="1" x14ac:dyDescent="0.35">
      <c r="A100" s="11"/>
      <c r="B100" s="435"/>
      <c r="C100" s="435"/>
      <c r="D100" s="435"/>
      <c r="E100" s="436"/>
      <c r="F100" s="12"/>
    </row>
    <row r="101" spans="1:6" s="4" customFormat="1" ht="24" customHeight="1" x14ac:dyDescent="0.35">
      <c r="A101" s="11"/>
      <c r="B101" s="435"/>
      <c r="C101" s="435"/>
      <c r="D101" s="435"/>
      <c r="E101" s="436"/>
      <c r="F101" s="12"/>
    </row>
    <row r="102" spans="1:6" s="4" customFormat="1" ht="24" customHeight="1" x14ac:dyDescent="0.35">
      <c r="A102" s="11"/>
      <c r="B102" s="435"/>
      <c r="C102" s="435"/>
      <c r="D102" s="435"/>
      <c r="E102" s="436"/>
      <c r="F102" s="12"/>
    </row>
    <row r="103" spans="1:6" s="4" customFormat="1" ht="24" customHeight="1" x14ac:dyDescent="0.35">
      <c r="A103" s="11"/>
      <c r="B103" s="435"/>
      <c r="C103" s="435"/>
      <c r="D103" s="435"/>
      <c r="E103" s="436"/>
      <c r="F103" s="12"/>
    </row>
    <row r="104" spans="1:6" s="4" customFormat="1" ht="24" customHeight="1" thickBot="1" x14ac:dyDescent="0.4">
      <c r="A104" s="13"/>
      <c r="B104" s="437"/>
      <c r="C104" s="437"/>
      <c r="D104" s="437"/>
      <c r="E104" s="438"/>
      <c r="F104" s="14"/>
    </row>
    <row r="105" spans="1:6" s="4" customFormat="1" ht="17.25" customHeight="1" x14ac:dyDescent="0.35">
      <c r="A105" s="41"/>
      <c r="B105" s="41"/>
      <c r="C105" s="41"/>
      <c r="D105" s="41"/>
      <c r="E105" s="41"/>
      <c r="F105" s="41"/>
    </row>
    <row r="106" spans="1:6" s="32" customFormat="1" ht="22.5" customHeight="1" x14ac:dyDescent="0.35">
      <c r="A106" s="31"/>
      <c r="B106" s="31"/>
      <c r="C106" s="30" t="s">
        <v>430</v>
      </c>
      <c r="D106" s="30"/>
      <c r="E106" s="30"/>
      <c r="F106" s="33" t="s">
        <v>110</v>
      </c>
    </row>
    <row r="107" spans="1:6" s="32" customFormat="1" ht="22.5" customHeight="1" x14ac:dyDescent="0.35">
      <c r="A107" s="31"/>
      <c r="B107" s="31"/>
      <c r="C107" s="47" t="s">
        <v>337</v>
      </c>
      <c r="D107" s="30"/>
      <c r="E107" s="30"/>
      <c r="F107" s="33" t="s">
        <v>113</v>
      </c>
    </row>
    <row r="108" spans="1:6" s="32" customFormat="1" ht="42" customHeight="1" x14ac:dyDescent="0.35">
      <c r="A108" s="53"/>
      <c r="B108" s="54"/>
      <c r="C108" s="65" t="s">
        <v>725</v>
      </c>
      <c r="D108" s="54"/>
      <c r="E108" s="54"/>
      <c r="F108" s="62" t="s">
        <v>831</v>
      </c>
    </row>
    <row r="109" spans="1:6" ht="18" customHeight="1" x14ac:dyDescent="0.3">
      <c r="A109" s="16"/>
      <c r="B109" s="17" t="s">
        <v>0</v>
      </c>
      <c r="C109" s="66" t="s">
        <v>661</v>
      </c>
      <c r="D109" s="18" t="s">
        <v>35</v>
      </c>
      <c r="E109" s="66" t="s">
        <v>791</v>
      </c>
      <c r="F109" s="63" t="s">
        <v>338</v>
      </c>
    </row>
    <row r="110" spans="1:6" ht="18" customHeight="1" x14ac:dyDescent="0.3">
      <c r="A110" s="6"/>
      <c r="B110" s="45" t="s">
        <v>1</v>
      </c>
      <c r="C110" s="66" t="s">
        <v>629</v>
      </c>
      <c r="D110" s="46" t="s">
        <v>427</v>
      </c>
      <c r="E110" s="66">
        <v>238</v>
      </c>
      <c r="F110" s="64" t="s">
        <v>339</v>
      </c>
    </row>
    <row r="111" spans="1:6" ht="14.5" x14ac:dyDescent="0.3">
      <c r="A111" s="51" t="s">
        <v>342</v>
      </c>
      <c r="B111" s="52"/>
      <c r="C111" s="34" t="s">
        <v>2</v>
      </c>
      <c r="D111" s="5"/>
      <c r="E111" s="15"/>
      <c r="F111" s="81" t="s">
        <v>423</v>
      </c>
    </row>
    <row r="112" spans="1:6" ht="15" thickBot="1" x14ac:dyDescent="0.35">
      <c r="A112" s="51" t="s">
        <v>343</v>
      </c>
      <c r="B112" s="52"/>
      <c r="F112" s="82" t="s">
        <v>423</v>
      </c>
    </row>
    <row r="113" spans="1:6" ht="30" customHeight="1" x14ac:dyDescent="0.3">
      <c r="A113" s="22" t="s">
        <v>46</v>
      </c>
      <c r="B113" s="428" t="s">
        <v>448</v>
      </c>
      <c r="C113" s="427"/>
      <c r="D113" s="427"/>
      <c r="E113" s="427"/>
      <c r="F113" s="43" t="s">
        <v>416</v>
      </c>
    </row>
    <row r="114" spans="1:6" s="8" customFormat="1" ht="24" customHeight="1" x14ac:dyDescent="0.25">
      <c r="A114" s="42" t="s">
        <v>223</v>
      </c>
      <c r="B114" s="24" t="s">
        <v>45</v>
      </c>
      <c r="C114" s="25"/>
      <c r="D114" s="25"/>
      <c r="E114" s="25"/>
      <c r="F114" s="26" t="s">
        <v>335</v>
      </c>
    </row>
    <row r="115" spans="1:6" s="4" customFormat="1" ht="24" customHeight="1" x14ac:dyDescent="0.35">
      <c r="A115" s="27"/>
      <c r="B115" s="452" t="s">
        <v>820</v>
      </c>
      <c r="C115" s="453"/>
      <c r="D115" s="453"/>
      <c r="E115" s="454"/>
      <c r="F115" s="23"/>
    </row>
    <row r="116" spans="1:6" s="4" customFormat="1" ht="24" customHeight="1" x14ac:dyDescent="0.35">
      <c r="A116" s="28"/>
      <c r="B116" s="435" t="s">
        <v>828</v>
      </c>
      <c r="C116" s="435"/>
      <c r="D116" s="435"/>
      <c r="E116" s="436"/>
      <c r="F116" s="12"/>
    </row>
    <row r="117" spans="1:6" s="4" customFormat="1" ht="24" customHeight="1" x14ac:dyDescent="0.35">
      <c r="A117" s="28"/>
      <c r="B117" s="435" t="s">
        <v>334</v>
      </c>
      <c r="C117" s="435"/>
      <c r="D117" s="435"/>
      <c r="E117" s="436"/>
      <c r="F117" s="12"/>
    </row>
    <row r="118" spans="1:6" s="4" customFormat="1" ht="24" customHeight="1" x14ac:dyDescent="0.35">
      <c r="A118" s="28"/>
      <c r="B118" s="434"/>
      <c r="C118" s="435"/>
      <c r="D118" s="435"/>
      <c r="E118" s="436"/>
      <c r="F118" s="12"/>
    </row>
    <row r="119" spans="1:6" s="4" customFormat="1" ht="24" customHeight="1" x14ac:dyDescent="0.35">
      <c r="A119" s="28"/>
      <c r="B119" s="434"/>
      <c r="C119" s="435"/>
      <c r="D119" s="435"/>
      <c r="E119" s="436"/>
      <c r="F119" s="12"/>
    </row>
    <row r="120" spans="1:6" s="4" customFormat="1" ht="24" customHeight="1" thickBot="1" x14ac:dyDescent="0.4">
      <c r="A120" s="29"/>
      <c r="B120" s="439"/>
      <c r="C120" s="437"/>
      <c r="D120" s="437"/>
      <c r="E120" s="438"/>
      <c r="F120" s="14"/>
    </row>
    <row r="121" spans="1:6" ht="12.75" customHeight="1" thickBot="1" x14ac:dyDescent="0.35"/>
    <row r="122" spans="1:6" ht="30" customHeight="1" x14ac:dyDescent="0.3">
      <c r="A122" s="22" t="s">
        <v>332</v>
      </c>
      <c r="B122" s="428" t="s">
        <v>417</v>
      </c>
      <c r="C122" s="427"/>
      <c r="D122" s="427"/>
      <c r="E122" s="427"/>
      <c r="F122" s="43" t="s">
        <v>416</v>
      </c>
    </row>
    <row r="123" spans="1:6" s="8" customFormat="1" ht="24" customHeight="1" x14ac:dyDescent="0.25">
      <c r="A123" s="42" t="s">
        <v>223</v>
      </c>
      <c r="B123" s="24" t="s">
        <v>45</v>
      </c>
      <c r="C123" s="25"/>
      <c r="D123" s="25"/>
      <c r="E123" s="25"/>
      <c r="F123" s="26" t="s">
        <v>335</v>
      </c>
    </row>
    <row r="124" spans="1:6" s="4" customFormat="1" ht="24" customHeight="1" x14ac:dyDescent="0.35">
      <c r="A124" s="27"/>
      <c r="B124" s="431" t="s">
        <v>823</v>
      </c>
      <c r="C124" s="432"/>
      <c r="D124" s="432"/>
      <c r="E124" s="433"/>
      <c r="F124" s="23"/>
    </row>
    <row r="125" spans="1:6" s="4" customFormat="1" ht="36" customHeight="1" x14ac:dyDescent="0.35">
      <c r="A125" s="28"/>
      <c r="B125" s="434" t="s">
        <v>829</v>
      </c>
      <c r="C125" s="435"/>
      <c r="D125" s="435"/>
      <c r="E125" s="436"/>
      <c r="F125" s="12"/>
    </row>
    <row r="126" spans="1:6" s="4" customFormat="1" ht="24" customHeight="1" x14ac:dyDescent="0.35">
      <c r="A126" s="28"/>
      <c r="B126" s="434"/>
      <c r="C126" s="435"/>
      <c r="D126" s="435"/>
      <c r="E126" s="436"/>
      <c r="F126" s="12"/>
    </row>
    <row r="127" spans="1:6" s="4" customFormat="1" ht="24" customHeight="1" x14ac:dyDescent="0.35">
      <c r="A127" s="28"/>
      <c r="B127" s="434"/>
      <c r="C127" s="435"/>
      <c r="D127" s="435"/>
      <c r="E127" s="436"/>
      <c r="F127" s="12"/>
    </row>
    <row r="128" spans="1:6" s="4" customFormat="1" ht="24" customHeight="1" x14ac:dyDescent="0.35">
      <c r="A128" s="28"/>
      <c r="B128" s="434"/>
      <c r="C128" s="435"/>
      <c r="D128" s="435"/>
      <c r="E128" s="436"/>
      <c r="F128" s="12"/>
    </row>
    <row r="129" spans="1:6" s="4" customFormat="1" ht="24" customHeight="1" thickBot="1" x14ac:dyDescent="0.4">
      <c r="A129" s="29"/>
      <c r="B129" s="439"/>
      <c r="C129" s="437"/>
      <c r="D129" s="437"/>
      <c r="E129" s="438"/>
      <c r="F129" s="14"/>
    </row>
    <row r="130" spans="1:6" ht="12.75" customHeight="1" thickBot="1" x14ac:dyDescent="0.35"/>
    <row r="131" spans="1:6" ht="30" customHeight="1" x14ac:dyDescent="0.3">
      <c r="A131" s="22" t="s">
        <v>333</v>
      </c>
      <c r="B131" s="428" t="s">
        <v>336</v>
      </c>
      <c r="C131" s="427"/>
      <c r="D131" s="427"/>
      <c r="E131" s="427"/>
      <c r="F131" s="43" t="s">
        <v>416</v>
      </c>
    </row>
    <row r="132" spans="1:6" s="8" customFormat="1" ht="24" customHeight="1" x14ac:dyDescent="0.25">
      <c r="A132" s="42" t="s">
        <v>223</v>
      </c>
      <c r="B132" s="24" t="s">
        <v>45</v>
      </c>
      <c r="C132" s="25"/>
      <c r="D132" s="25"/>
      <c r="E132" s="25"/>
      <c r="F132" s="26" t="s">
        <v>335</v>
      </c>
    </row>
    <row r="133" spans="1:6" s="4" customFormat="1" ht="24" customHeight="1" x14ac:dyDescent="0.35">
      <c r="A133" s="27"/>
      <c r="B133" s="431" t="s">
        <v>824</v>
      </c>
      <c r="C133" s="432"/>
      <c r="D133" s="432"/>
      <c r="E133" s="433"/>
      <c r="F133" s="23"/>
    </row>
    <row r="134" spans="1:6" s="4" customFormat="1" ht="24" customHeight="1" x14ac:dyDescent="0.35">
      <c r="A134" s="28"/>
      <c r="B134" s="434" t="s">
        <v>827</v>
      </c>
      <c r="C134" s="435"/>
      <c r="D134" s="435"/>
      <c r="E134" s="436"/>
      <c r="F134" s="12"/>
    </row>
    <row r="135" spans="1:6" s="4" customFormat="1" ht="24" customHeight="1" x14ac:dyDescent="0.35">
      <c r="A135" s="28"/>
      <c r="B135" s="434"/>
      <c r="C135" s="435"/>
      <c r="D135" s="435"/>
      <c r="E135" s="436"/>
      <c r="F135" s="12"/>
    </row>
    <row r="136" spans="1:6" s="4" customFormat="1" ht="24" customHeight="1" x14ac:dyDescent="0.35">
      <c r="A136" s="28"/>
      <c r="B136" s="434"/>
      <c r="C136" s="435"/>
      <c r="D136" s="435"/>
      <c r="E136" s="436"/>
      <c r="F136" s="12"/>
    </row>
    <row r="137" spans="1:6" s="4" customFormat="1" ht="24" customHeight="1" x14ac:dyDescent="0.35">
      <c r="A137" s="28"/>
      <c r="B137" s="434"/>
      <c r="C137" s="435"/>
      <c r="D137" s="435"/>
      <c r="E137" s="436"/>
      <c r="F137" s="12"/>
    </row>
    <row r="138" spans="1:6" s="4" customFormat="1" ht="24" customHeight="1" thickBot="1" x14ac:dyDescent="0.4">
      <c r="A138" s="29"/>
      <c r="B138" s="439"/>
      <c r="C138" s="437"/>
      <c r="D138" s="437"/>
      <c r="E138" s="438"/>
      <c r="F138" s="14"/>
    </row>
  </sheetData>
  <sheetProtection formatColumns="0" formatRows="0" autoFilter="0"/>
  <mergeCells count="88">
    <mergeCell ref="B23:E23"/>
    <mergeCell ref="H2:H9"/>
    <mergeCell ref="E6:E7"/>
    <mergeCell ref="B8:E8"/>
    <mergeCell ref="F11:F13"/>
    <mergeCell ref="C14:F14"/>
    <mergeCell ref="B16:E16"/>
    <mergeCell ref="B17:E17"/>
    <mergeCell ref="B18:E18"/>
    <mergeCell ref="B19:E19"/>
    <mergeCell ref="B20:E20"/>
    <mergeCell ref="B21:E21"/>
    <mergeCell ref="B46:E46"/>
    <mergeCell ref="F26:F28"/>
    <mergeCell ref="C29:F29"/>
    <mergeCell ref="B31:E31"/>
    <mergeCell ref="B32:E32"/>
    <mergeCell ref="B33:E33"/>
    <mergeCell ref="B34:E34"/>
    <mergeCell ref="B35:E35"/>
    <mergeCell ref="B36:E36"/>
    <mergeCell ref="B38:E38"/>
    <mergeCell ref="F41:F43"/>
    <mergeCell ref="C44:F44"/>
    <mergeCell ref="B71:E71"/>
    <mergeCell ref="B47:E47"/>
    <mergeCell ref="B48:E48"/>
    <mergeCell ref="B49:E49"/>
    <mergeCell ref="B50:E50"/>
    <mergeCell ref="B51:E51"/>
    <mergeCell ref="B60:E60"/>
    <mergeCell ref="F63:F65"/>
    <mergeCell ref="C66:F66"/>
    <mergeCell ref="B68:E68"/>
    <mergeCell ref="B69:E69"/>
    <mergeCell ref="B70:E70"/>
    <mergeCell ref="B72:E72"/>
    <mergeCell ref="B73:E73"/>
    <mergeCell ref="B75:E75"/>
    <mergeCell ref="C76:E76"/>
    <mergeCell ref="C77:E77"/>
    <mergeCell ref="C91:E91"/>
    <mergeCell ref="F78:F80"/>
    <mergeCell ref="C79:E79"/>
    <mergeCell ref="C80:E80"/>
    <mergeCell ref="C81:F81"/>
    <mergeCell ref="B83:E83"/>
    <mergeCell ref="B84:E84"/>
    <mergeCell ref="C78:E78"/>
    <mergeCell ref="B85:E85"/>
    <mergeCell ref="B86:E86"/>
    <mergeCell ref="B87:E87"/>
    <mergeCell ref="B88:E88"/>
    <mergeCell ref="B90:E90"/>
    <mergeCell ref="B103:E103"/>
    <mergeCell ref="C92:E92"/>
    <mergeCell ref="C93:E93"/>
    <mergeCell ref="F93:F95"/>
    <mergeCell ref="C94:E94"/>
    <mergeCell ref="C95:E95"/>
    <mergeCell ref="C96:E96"/>
    <mergeCell ref="C97:F97"/>
    <mergeCell ref="B99:E99"/>
    <mergeCell ref="B100:E100"/>
    <mergeCell ref="B101:E101"/>
    <mergeCell ref="B102:E102"/>
    <mergeCell ref="B126:E126"/>
    <mergeCell ref="B104:E104"/>
    <mergeCell ref="B113:E113"/>
    <mergeCell ref="B115:E115"/>
    <mergeCell ref="B116:E116"/>
    <mergeCell ref="B117:E117"/>
    <mergeCell ref="B118:E118"/>
    <mergeCell ref="B119:E119"/>
    <mergeCell ref="B120:E120"/>
    <mergeCell ref="B122:E122"/>
    <mergeCell ref="B124:E124"/>
    <mergeCell ref="B125:E125"/>
    <mergeCell ref="B135:E135"/>
    <mergeCell ref="B136:E136"/>
    <mergeCell ref="B137:E137"/>
    <mergeCell ref="B138:E138"/>
    <mergeCell ref="B127:E127"/>
    <mergeCell ref="B128:E128"/>
    <mergeCell ref="B129:E129"/>
    <mergeCell ref="B131:E131"/>
    <mergeCell ref="B133:E133"/>
    <mergeCell ref="B134:E134"/>
  </mergeCells>
  <conditionalFormatting sqref="A8:A22">
    <cfRule type="cellIs" dxfId="39" priority="39" stopIfTrue="1" operator="equal">
      <formula>"Key!"</formula>
    </cfRule>
  </conditionalFormatting>
  <conditionalFormatting sqref="A115:A120">
    <cfRule type="cellIs" dxfId="38" priority="37" stopIfTrue="1" operator="equal">
      <formula>"Key!"</formula>
    </cfRule>
  </conditionalFormatting>
  <conditionalFormatting sqref="A124:A129">
    <cfRule type="cellIs" dxfId="37" priority="24" stopIfTrue="1" operator="equal">
      <formula>"Key!"</formula>
    </cfRule>
  </conditionalFormatting>
  <conditionalFormatting sqref="A104">
    <cfRule type="cellIs" dxfId="36" priority="38" stopIfTrue="1" operator="equal">
      <formula>"Key!"</formula>
    </cfRule>
  </conditionalFormatting>
  <conditionalFormatting sqref="A133:A138">
    <cfRule type="cellIs" dxfId="35" priority="23" stopIfTrue="1" operator="equal">
      <formula>"Key!"</formula>
    </cfRule>
  </conditionalFormatting>
  <conditionalFormatting sqref="A23:A28 A31:A36">
    <cfRule type="cellIs" dxfId="34" priority="36" stopIfTrue="1" operator="equal">
      <formula>"Key!"</formula>
    </cfRule>
  </conditionalFormatting>
  <conditionalFormatting sqref="A38:A43 A46:A51">
    <cfRule type="cellIs" dxfId="33" priority="35" stopIfTrue="1" operator="equal">
      <formula>"Key!"</formula>
    </cfRule>
  </conditionalFormatting>
  <conditionalFormatting sqref="A60:A65 A68:A73">
    <cfRule type="cellIs" dxfId="32" priority="34" stopIfTrue="1" operator="equal">
      <formula>"Key!"</formula>
    </cfRule>
  </conditionalFormatting>
  <conditionalFormatting sqref="A75:A80 A83:A88">
    <cfRule type="cellIs" dxfId="31" priority="33" stopIfTrue="1" operator="equal">
      <formula>"Key!"</formula>
    </cfRule>
  </conditionalFormatting>
  <conditionalFormatting sqref="A90:A96 A99:A102">
    <cfRule type="cellIs" dxfId="30" priority="32" stopIfTrue="1" operator="equal">
      <formula>"Key!"</formula>
    </cfRule>
  </conditionalFormatting>
  <conditionalFormatting sqref="A103">
    <cfRule type="cellIs" dxfId="29" priority="31" stopIfTrue="1" operator="equal">
      <formula>"Key!"</formula>
    </cfRule>
  </conditionalFormatting>
  <conditionalFormatting sqref="A52">
    <cfRule type="cellIs" dxfId="28" priority="29" stopIfTrue="1" operator="equal">
      <formula>"Key!"</formula>
    </cfRule>
  </conditionalFormatting>
  <conditionalFormatting sqref="A37">
    <cfRule type="cellIs" dxfId="27" priority="30" stopIfTrue="1" operator="equal">
      <formula>"Key!"</formula>
    </cfRule>
  </conditionalFormatting>
  <conditionalFormatting sqref="A74">
    <cfRule type="cellIs" dxfId="26" priority="28" stopIfTrue="1" operator="equal">
      <formula>"Key!"</formula>
    </cfRule>
  </conditionalFormatting>
  <conditionalFormatting sqref="A89">
    <cfRule type="cellIs" dxfId="25" priority="27" stopIfTrue="1" operator="equal">
      <formula>"Key!"</formula>
    </cfRule>
  </conditionalFormatting>
  <conditionalFormatting sqref="A121">
    <cfRule type="cellIs" dxfId="24" priority="26" stopIfTrue="1" operator="equal">
      <formula>"Key!"</formula>
    </cfRule>
  </conditionalFormatting>
  <conditionalFormatting sqref="A130">
    <cfRule type="cellIs" dxfId="23" priority="25" stopIfTrue="1" operator="equal">
      <formula>"Key!"</formula>
    </cfRule>
  </conditionalFormatting>
  <conditionalFormatting sqref="A30">
    <cfRule type="cellIs" dxfId="22" priority="22" stopIfTrue="1" operator="equal">
      <formula>"Key!"</formula>
    </cfRule>
  </conditionalFormatting>
  <conditionalFormatting sqref="A45">
    <cfRule type="cellIs" dxfId="21" priority="21" stopIfTrue="1" operator="equal">
      <formula>"Key!"</formula>
    </cfRule>
  </conditionalFormatting>
  <conditionalFormatting sqref="A67">
    <cfRule type="cellIs" dxfId="20" priority="20" stopIfTrue="1" operator="equal">
      <formula>"Key!"</formula>
    </cfRule>
  </conditionalFormatting>
  <conditionalFormatting sqref="A82">
    <cfRule type="cellIs" dxfId="19" priority="19" stopIfTrue="1" operator="equal">
      <formula>"Key!"</formula>
    </cfRule>
  </conditionalFormatting>
  <conditionalFormatting sqref="A98">
    <cfRule type="cellIs" dxfId="18" priority="18" stopIfTrue="1" operator="equal">
      <formula>"Key!"</formula>
    </cfRule>
  </conditionalFormatting>
  <conditionalFormatting sqref="A113">
    <cfRule type="cellIs" dxfId="17" priority="16" stopIfTrue="1" operator="equal">
      <formula>"Key!"</formula>
    </cfRule>
  </conditionalFormatting>
  <conditionalFormatting sqref="A114">
    <cfRule type="cellIs" dxfId="16" priority="17" stopIfTrue="1" operator="equal">
      <formula>"Key!"</formula>
    </cfRule>
  </conditionalFormatting>
  <conditionalFormatting sqref="A122">
    <cfRule type="cellIs" dxfId="15" priority="14" stopIfTrue="1" operator="equal">
      <formula>"Key!"</formula>
    </cfRule>
  </conditionalFormatting>
  <conditionalFormatting sqref="A131">
    <cfRule type="cellIs" dxfId="14" priority="12" stopIfTrue="1" operator="equal">
      <formula>"Key!"</formula>
    </cfRule>
  </conditionalFormatting>
  <conditionalFormatting sqref="A123">
    <cfRule type="cellIs" dxfId="13" priority="15" stopIfTrue="1" operator="equal">
      <formula>"Key!"</formula>
    </cfRule>
  </conditionalFormatting>
  <conditionalFormatting sqref="A132">
    <cfRule type="cellIs" dxfId="12" priority="13" stopIfTrue="1" operator="equal">
      <formula>"Key!"</formula>
    </cfRule>
  </conditionalFormatting>
  <conditionalFormatting sqref="C14">
    <cfRule type="notContainsBlanks" dxfId="11" priority="40">
      <formula>LEN(TRIM(C14))&gt;0</formula>
    </cfRule>
  </conditionalFormatting>
  <conditionalFormatting sqref="C29">
    <cfRule type="notContainsBlanks" dxfId="10" priority="11">
      <formula>LEN(TRIM(C29))&gt;0</formula>
    </cfRule>
  </conditionalFormatting>
  <conditionalFormatting sqref="C44">
    <cfRule type="notContainsBlanks" dxfId="9" priority="10">
      <formula>LEN(TRIM(C44))&gt;0</formula>
    </cfRule>
  </conditionalFormatting>
  <conditionalFormatting sqref="C66">
    <cfRule type="notContainsBlanks" dxfId="8" priority="9">
      <formula>LEN(TRIM(C66))&gt;0</formula>
    </cfRule>
  </conditionalFormatting>
  <conditionalFormatting sqref="C81">
    <cfRule type="notContainsBlanks" dxfId="7" priority="8">
      <formula>LEN(TRIM(C81))&gt;0</formula>
    </cfRule>
  </conditionalFormatting>
  <conditionalFormatting sqref="C97">
    <cfRule type="notContainsBlanks" dxfId="6" priority="7">
      <formula>LEN(TRIM(C97))&gt;0</formula>
    </cfRule>
  </conditionalFormatting>
  <conditionalFormatting sqref="D7">
    <cfRule type="cellIs" dxfId="5" priority="6" operator="equal">
      <formula>"Yes"</formula>
    </cfRule>
  </conditionalFormatting>
  <conditionalFormatting sqref="A29">
    <cfRule type="cellIs" dxfId="4" priority="5" stopIfTrue="1" operator="equal">
      <formula>"Key!"</formula>
    </cfRule>
  </conditionalFormatting>
  <conditionalFormatting sqref="A44">
    <cfRule type="cellIs" dxfId="3" priority="4" stopIfTrue="1" operator="equal">
      <formula>"Key!"</formula>
    </cfRule>
  </conditionalFormatting>
  <conditionalFormatting sqref="A66">
    <cfRule type="cellIs" dxfId="2" priority="3" stopIfTrue="1" operator="equal">
      <formula>"Key!"</formula>
    </cfRule>
  </conditionalFormatting>
  <conditionalFormatting sqref="A81">
    <cfRule type="cellIs" dxfId="1" priority="2" stopIfTrue="1" operator="equal">
      <formula>"Key!"</formula>
    </cfRule>
  </conditionalFormatting>
  <conditionalFormatting sqref="A97">
    <cfRule type="cellIs" dxfId="0" priority="1" stopIfTrue="1" operator="equal">
      <formula>"Key!"</formula>
    </cfRule>
  </conditionalFormatting>
  <dataValidations count="6">
    <dataValidation type="list" allowBlank="1" showInputMessage="1" showErrorMessage="1" sqref="D7">
      <formula1>YesNo</formula1>
    </dataValidation>
    <dataValidation type="decimal" allowBlank="1" showInputMessage="1" showErrorMessage="1" errorTitle="Invalid Score" error="The score must be between 1.0 and 5.0." promptTitle="Score Format" prompt="Score can range from 1 to 5 and will be automatically rounded to one decimal place." sqref="F11:F13 F26:F28 F41:F43 F78:F80 F63:F65 F93:F95">
      <formula1>1</formula1>
      <formula2>5</formula2>
    </dataValidation>
    <dataValidation type="list" allowBlank="1" showErrorMessage="1" prompt="Critical: Will prevent success_x000a_Important: Likely to prevent success_x000a_Concern: Could prevent success_x000a_Support: Likely to aid success_x000a_Excellent: Continue!" sqref="F16 F31 F46 F68 F83 F99 F115:F120 F124:F128">
      <formula1>Comments</formula1>
    </dataValidation>
    <dataValidation type="list" allowBlank="1" showInputMessage="1" showErrorMessage="1" sqref="A16:A21 A31:A36 A46:A51 A68:A73 A83:A88 A99:A104 A115:A120 A124:A129 A133:A138">
      <formula1>KeyFindings</formula1>
    </dataValidation>
    <dataValidation type="list" allowBlank="1" showInputMessage="1" showErrorMessage="1" sqref="F133:F138 F17:F21 F32:F36 F47:F51 F69:F73 F84:F88 F121 F100:F105 F129:F130">
      <formula1>Comments</formula1>
    </dataValidation>
    <dataValidation allowBlank="1" showErrorMessage="1" promptTitle="Project Name" prompt="MANDATORY entry._x000a_Project Number should be in &quot;XX-##&quot; format for Orals (e.g. PD-01)_x000a_or &quot;XXX-##&quot; format for Posters (e.g. FCP-14)." sqref="C56 C109"/>
  </dataValidations>
  <pageMargins left="0.5" right="0.5" top="0.5" bottom="0.5" header="0.3" footer="0.3"/>
  <pageSetup scale="69" fitToHeight="3" orientation="portrait" r:id="rId1"/>
  <rowBreaks count="2" manualBreakCount="2">
    <brk id="52" max="16383" man="1"/>
    <brk id="105" max="16383"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2060"/>
  </sheetPr>
  <dimension ref="A1:FT134"/>
  <sheetViews>
    <sheetView workbookViewId="0">
      <selection activeCell="F11" sqref="F11:F13"/>
    </sheetView>
  </sheetViews>
  <sheetFormatPr defaultRowHeight="14.5" x14ac:dyDescent="0.35"/>
  <cols>
    <col min="1" max="1" width="7.7265625" customWidth="1"/>
    <col min="2" max="2" width="12.54296875" customWidth="1"/>
    <col min="9" max="9" width="9.1796875" customWidth="1"/>
    <col min="159" max="159" width="9.1796875" style="56"/>
  </cols>
  <sheetData>
    <row r="1" spans="1:176" ht="15" x14ac:dyDescent="0.25">
      <c r="B1" t="s">
        <v>48</v>
      </c>
      <c r="C1" t="s">
        <v>351</v>
      </c>
      <c r="D1" t="s">
        <v>50</v>
      </c>
      <c r="E1" t="s">
        <v>49</v>
      </c>
      <c r="F1" t="s">
        <v>51</v>
      </c>
      <c r="G1" t="s">
        <v>435</v>
      </c>
      <c r="H1" t="s">
        <v>436</v>
      </c>
      <c r="I1" t="s">
        <v>47</v>
      </c>
      <c r="J1" t="s">
        <v>114</v>
      </c>
      <c r="K1" t="s">
        <v>52</v>
      </c>
      <c r="L1" t="s">
        <v>115</v>
      </c>
      <c r="M1" t="s">
        <v>116</v>
      </c>
      <c r="N1" t="s">
        <v>53</v>
      </c>
      <c r="O1" t="s">
        <v>117</v>
      </c>
      <c r="P1" t="s">
        <v>118</v>
      </c>
      <c r="Q1" t="s">
        <v>54</v>
      </c>
      <c r="R1" t="s">
        <v>119</v>
      </c>
      <c r="S1" t="s">
        <v>120</v>
      </c>
      <c r="T1" t="s">
        <v>55</v>
      </c>
      <c r="U1" t="s">
        <v>121</v>
      </c>
      <c r="V1" t="s">
        <v>122</v>
      </c>
      <c r="W1" t="s">
        <v>56</v>
      </c>
      <c r="X1" t="s">
        <v>123</v>
      </c>
      <c r="Y1" t="s">
        <v>124</v>
      </c>
      <c r="Z1" t="s">
        <v>57</v>
      </c>
      <c r="AA1" t="s">
        <v>125</v>
      </c>
      <c r="AB1" s="44" t="s">
        <v>64</v>
      </c>
      <c r="AC1" s="44" t="s">
        <v>126</v>
      </c>
      <c r="AD1" s="44" t="s">
        <v>58</v>
      </c>
      <c r="AE1" s="44" t="s">
        <v>127</v>
      </c>
      <c r="AF1" s="44" t="s">
        <v>128</v>
      </c>
      <c r="AG1" s="44" t="s">
        <v>59</v>
      </c>
      <c r="AH1" s="44" t="s">
        <v>129</v>
      </c>
      <c r="AI1" s="44" t="s">
        <v>130</v>
      </c>
      <c r="AJ1" s="44" t="s">
        <v>60</v>
      </c>
      <c r="AK1" s="44" t="s">
        <v>131</v>
      </c>
      <c r="AL1" s="44" t="s">
        <v>132</v>
      </c>
      <c r="AM1" s="44" t="s">
        <v>61</v>
      </c>
      <c r="AN1" s="44" t="s">
        <v>133</v>
      </c>
      <c r="AO1" s="44" t="s">
        <v>134</v>
      </c>
      <c r="AP1" s="44" t="s">
        <v>62</v>
      </c>
      <c r="AQ1" s="44" t="s">
        <v>135</v>
      </c>
      <c r="AR1" s="44" t="s">
        <v>136</v>
      </c>
      <c r="AS1" s="44" t="s">
        <v>63</v>
      </c>
      <c r="AT1" s="44" t="s">
        <v>137</v>
      </c>
      <c r="AU1" t="s">
        <v>138</v>
      </c>
      <c r="AV1" t="s">
        <v>139</v>
      </c>
      <c r="AW1" t="s">
        <v>65</v>
      </c>
      <c r="AX1" t="s">
        <v>140</v>
      </c>
      <c r="AY1" t="s">
        <v>141</v>
      </c>
      <c r="AZ1" t="s">
        <v>66</v>
      </c>
      <c r="BA1" t="s">
        <v>142</v>
      </c>
      <c r="BB1" t="s">
        <v>143</v>
      </c>
      <c r="BC1" t="s">
        <v>67</v>
      </c>
      <c r="BD1" t="s">
        <v>144</v>
      </c>
      <c r="BE1" t="s">
        <v>145</v>
      </c>
      <c r="BF1" t="s">
        <v>68</v>
      </c>
      <c r="BG1" t="s">
        <v>146</v>
      </c>
      <c r="BH1" t="s">
        <v>147</v>
      </c>
      <c r="BI1" t="s">
        <v>69</v>
      </c>
      <c r="BJ1" t="s">
        <v>148</v>
      </c>
      <c r="BK1" t="s">
        <v>149</v>
      </c>
      <c r="BL1" t="s">
        <v>70</v>
      </c>
      <c r="BM1" t="s">
        <v>150</v>
      </c>
      <c r="BN1" s="44" t="s">
        <v>71</v>
      </c>
      <c r="BO1" s="44" t="s">
        <v>151</v>
      </c>
      <c r="BP1" s="44" t="s">
        <v>72</v>
      </c>
      <c r="BQ1" s="44" t="s">
        <v>152</v>
      </c>
      <c r="BR1" s="44" t="s">
        <v>153</v>
      </c>
      <c r="BS1" s="44" t="s">
        <v>73</v>
      </c>
      <c r="BT1" s="44" t="s">
        <v>154</v>
      </c>
      <c r="BU1" s="44" t="s">
        <v>155</v>
      </c>
      <c r="BV1" s="44" t="s">
        <v>74</v>
      </c>
      <c r="BW1" s="44" t="s">
        <v>156</v>
      </c>
      <c r="BX1" s="44" t="s">
        <v>157</v>
      </c>
      <c r="BY1" s="44" t="s">
        <v>75</v>
      </c>
      <c r="BZ1" s="44" t="s">
        <v>158</v>
      </c>
      <c r="CA1" s="44" t="s">
        <v>159</v>
      </c>
      <c r="CB1" s="44" t="s">
        <v>76</v>
      </c>
      <c r="CC1" s="44" t="s">
        <v>160</v>
      </c>
      <c r="CD1" s="44" t="s">
        <v>161</v>
      </c>
      <c r="CE1" s="44" t="s">
        <v>77</v>
      </c>
      <c r="CF1" s="44" t="s">
        <v>162</v>
      </c>
      <c r="CG1" t="s">
        <v>78</v>
      </c>
      <c r="CH1" t="s">
        <v>163</v>
      </c>
      <c r="CI1" t="s">
        <v>79</v>
      </c>
      <c r="CJ1" t="s">
        <v>164</v>
      </c>
      <c r="CK1" t="s">
        <v>165</v>
      </c>
      <c r="CL1" t="s">
        <v>80</v>
      </c>
      <c r="CM1" t="s">
        <v>166</v>
      </c>
      <c r="CN1" t="s">
        <v>167</v>
      </c>
      <c r="CO1" t="s">
        <v>81</v>
      </c>
      <c r="CP1" t="s">
        <v>168</v>
      </c>
      <c r="CQ1" t="s">
        <v>169</v>
      </c>
      <c r="CR1" t="s">
        <v>82</v>
      </c>
      <c r="CS1" t="s">
        <v>170</v>
      </c>
      <c r="CT1" t="s">
        <v>171</v>
      </c>
      <c r="CU1" t="s">
        <v>83</v>
      </c>
      <c r="CV1" t="s">
        <v>172</v>
      </c>
      <c r="CW1" t="s">
        <v>173</v>
      </c>
      <c r="CX1" t="s">
        <v>84</v>
      </c>
      <c r="CY1" t="s">
        <v>174</v>
      </c>
      <c r="CZ1" s="44" t="s">
        <v>85</v>
      </c>
      <c r="DA1" s="44" t="s">
        <v>175</v>
      </c>
      <c r="DB1" s="44" t="s">
        <v>86</v>
      </c>
      <c r="DC1" s="44" t="s">
        <v>176</v>
      </c>
      <c r="DD1" s="44" t="s">
        <v>177</v>
      </c>
      <c r="DE1" s="44" t="s">
        <v>87</v>
      </c>
      <c r="DF1" s="44" t="s">
        <v>178</v>
      </c>
      <c r="DG1" s="44" t="s">
        <v>179</v>
      </c>
      <c r="DH1" s="44" t="s">
        <v>88</v>
      </c>
      <c r="DI1" s="44" t="s">
        <v>180</v>
      </c>
      <c r="DJ1" s="44" t="s">
        <v>181</v>
      </c>
      <c r="DK1" s="44" t="s">
        <v>89</v>
      </c>
      <c r="DL1" s="44" t="s">
        <v>182</v>
      </c>
      <c r="DM1" s="44" t="s">
        <v>183</v>
      </c>
      <c r="DN1" s="44" t="s">
        <v>90</v>
      </c>
      <c r="DO1" s="44" t="s">
        <v>184</v>
      </c>
      <c r="DP1" s="44" t="s">
        <v>185</v>
      </c>
      <c r="DQ1" s="44" t="s">
        <v>91</v>
      </c>
      <c r="DR1" s="44" t="s">
        <v>186</v>
      </c>
      <c r="DS1" t="s">
        <v>187</v>
      </c>
      <c r="DT1" t="s">
        <v>92</v>
      </c>
      <c r="DU1" t="s">
        <v>188</v>
      </c>
      <c r="DV1" t="s">
        <v>189</v>
      </c>
      <c r="DW1" t="s">
        <v>93</v>
      </c>
      <c r="DX1" t="s">
        <v>190</v>
      </c>
      <c r="DY1" t="s">
        <v>191</v>
      </c>
      <c r="DZ1" t="s">
        <v>94</v>
      </c>
      <c r="EA1" t="s">
        <v>192</v>
      </c>
      <c r="EB1" t="s">
        <v>193</v>
      </c>
      <c r="EC1" t="s">
        <v>95</v>
      </c>
      <c r="ED1" t="s">
        <v>194</v>
      </c>
      <c r="EE1" t="s">
        <v>195</v>
      </c>
      <c r="EF1" t="s">
        <v>96</v>
      </c>
      <c r="EG1" t="s">
        <v>196</v>
      </c>
      <c r="EH1" t="s">
        <v>197</v>
      </c>
      <c r="EI1" t="s">
        <v>97</v>
      </c>
      <c r="EJ1" t="s">
        <v>198</v>
      </c>
      <c r="EK1" s="44" t="s">
        <v>199</v>
      </c>
      <c r="EL1" s="44" t="s">
        <v>98</v>
      </c>
      <c r="EM1" s="44" t="s">
        <v>200</v>
      </c>
      <c r="EN1" s="44" t="s">
        <v>201</v>
      </c>
      <c r="EO1" s="44" t="s">
        <v>99</v>
      </c>
      <c r="EP1" s="44" t="s">
        <v>202</v>
      </c>
      <c r="EQ1" s="44" t="s">
        <v>203</v>
      </c>
      <c r="ER1" s="44" t="s">
        <v>100</v>
      </c>
      <c r="ES1" s="44" t="s">
        <v>204</v>
      </c>
      <c r="ET1" s="44" t="s">
        <v>205</v>
      </c>
      <c r="EU1" s="44" t="s">
        <v>101</v>
      </c>
      <c r="EV1" s="44" t="s">
        <v>206</v>
      </c>
      <c r="EW1" s="44" t="s">
        <v>207</v>
      </c>
      <c r="EX1" s="44" t="s">
        <v>102</v>
      </c>
      <c r="EY1" s="44" t="s">
        <v>208</v>
      </c>
      <c r="EZ1" s="44" t="s">
        <v>209</v>
      </c>
      <c r="FA1" s="44" t="s">
        <v>103</v>
      </c>
      <c r="FB1" s="44" t="s">
        <v>210</v>
      </c>
      <c r="FC1" s="56" t="s">
        <v>211</v>
      </c>
      <c r="FD1" t="s">
        <v>104</v>
      </c>
      <c r="FE1" t="s">
        <v>212</v>
      </c>
      <c r="FF1" t="s">
        <v>213</v>
      </c>
      <c r="FG1" t="s">
        <v>105</v>
      </c>
      <c r="FH1" t="s">
        <v>214</v>
      </c>
      <c r="FI1" t="s">
        <v>215</v>
      </c>
      <c r="FJ1" t="s">
        <v>106</v>
      </c>
      <c r="FK1" t="s">
        <v>216</v>
      </c>
      <c r="FL1" t="s">
        <v>217</v>
      </c>
      <c r="FM1" t="s">
        <v>107</v>
      </c>
      <c r="FN1" t="s">
        <v>218</v>
      </c>
      <c r="FO1" t="s">
        <v>219</v>
      </c>
      <c r="FP1" t="s">
        <v>108</v>
      </c>
      <c r="FQ1" t="s">
        <v>220</v>
      </c>
      <c r="FR1" t="s">
        <v>221</v>
      </c>
      <c r="FS1" t="s">
        <v>109</v>
      </c>
      <c r="FT1" t="s">
        <v>222</v>
      </c>
    </row>
    <row r="2" spans="1:176" ht="15" x14ac:dyDescent="0.25">
      <c r="B2" t="s">
        <v>429</v>
      </c>
      <c r="C2" t="s">
        <v>355</v>
      </c>
      <c r="D2" t="s">
        <v>353</v>
      </c>
      <c r="E2" t="s">
        <v>352</v>
      </c>
      <c r="F2" t="s">
        <v>354</v>
      </c>
      <c r="G2" t="s">
        <v>433</v>
      </c>
      <c r="H2" t="s">
        <v>434</v>
      </c>
      <c r="I2" t="s">
        <v>356</v>
      </c>
      <c r="J2" t="s">
        <v>224</v>
      </c>
      <c r="K2" t="s">
        <v>225</v>
      </c>
      <c r="L2" t="s">
        <v>226</v>
      </c>
      <c r="M2" t="s">
        <v>227</v>
      </c>
      <c r="N2" t="s">
        <v>228</v>
      </c>
      <c r="O2" t="s">
        <v>229</v>
      </c>
      <c r="P2" t="s">
        <v>230</v>
      </c>
      <c r="Q2" t="s">
        <v>231</v>
      </c>
      <c r="R2" t="s">
        <v>232</v>
      </c>
      <c r="S2" t="s">
        <v>233</v>
      </c>
      <c r="T2" t="s">
        <v>234</v>
      </c>
      <c r="U2" t="s">
        <v>235</v>
      </c>
      <c r="V2" t="s">
        <v>236</v>
      </c>
      <c r="W2" t="s">
        <v>237</v>
      </c>
      <c r="X2" t="s">
        <v>238</v>
      </c>
      <c r="Y2" t="s">
        <v>357</v>
      </c>
      <c r="Z2" t="s">
        <v>358</v>
      </c>
      <c r="AA2" t="s">
        <v>359</v>
      </c>
      <c r="AB2" s="44" t="s">
        <v>360</v>
      </c>
      <c r="AC2" s="44" t="s">
        <v>239</v>
      </c>
      <c r="AD2" s="44" t="s">
        <v>240</v>
      </c>
      <c r="AE2" s="44" t="s">
        <v>241</v>
      </c>
      <c r="AF2" s="44" t="s">
        <v>242</v>
      </c>
      <c r="AG2" s="44" t="s">
        <v>243</v>
      </c>
      <c r="AH2" s="44" t="s">
        <v>244</v>
      </c>
      <c r="AI2" s="44" t="s">
        <v>245</v>
      </c>
      <c r="AJ2" s="44" t="s">
        <v>246</v>
      </c>
      <c r="AK2" s="44" t="s">
        <v>247</v>
      </c>
      <c r="AL2" s="44" t="s">
        <v>248</v>
      </c>
      <c r="AM2" s="44" t="s">
        <v>249</v>
      </c>
      <c r="AN2" s="44" t="s">
        <v>250</v>
      </c>
      <c r="AO2" s="44" t="s">
        <v>251</v>
      </c>
      <c r="AP2" s="44" t="s">
        <v>252</v>
      </c>
      <c r="AQ2" s="44" t="s">
        <v>253</v>
      </c>
      <c r="AR2" s="44" t="s">
        <v>361</v>
      </c>
      <c r="AS2" s="44" t="s">
        <v>362</v>
      </c>
      <c r="AT2" s="44" t="s">
        <v>363</v>
      </c>
      <c r="AU2" t="s">
        <v>364</v>
      </c>
      <c r="AV2" t="s">
        <v>254</v>
      </c>
      <c r="AW2" t="s">
        <v>255</v>
      </c>
      <c r="AX2" t="s">
        <v>256</v>
      </c>
      <c r="AY2" t="s">
        <v>257</v>
      </c>
      <c r="AZ2" t="s">
        <v>258</v>
      </c>
      <c r="BA2" t="s">
        <v>259</v>
      </c>
      <c r="BB2" t="s">
        <v>260</v>
      </c>
      <c r="BC2" t="s">
        <v>261</v>
      </c>
      <c r="BD2" t="s">
        <v>262</v>
      </c>
      <c r="BE2" t="s">
        <v>263</v>
      </c>
      <c r="BF2" t="s">
        <v>264</v>
      </c>
      <c r="BG2" t="s">
        <v>265</v>
      </c>
      <c r="BH2" t="s">
        <v>266</v>
      </c>
      <c r="BI2" t="s">
        <v>267</v>
      </c>
      <c r="BJ2" t="s">
        <v>268</v>
      </c>
      <c r="BK2" t="s">
        <v>365</v>
      </c>
      <c r="BL2" t="s">
        <v>366</v>
      </c>
      <c r="BM2" t="s">
        <v>367</v>
      </c>
      <c r="BN2" s="44" t="s">
        <v>368</v>
      </c>
      <c r="BO2" s="44" t="s">
        <v>269</v>
      </c>
      <c r="BP2" s="44" t="s">
        <v>270</v>
      </c>
      <c r="BQ2" s="44" t="s">
        <v>271</v>
      </c>
      <c r="BR2" s="44" t="s">
        <v>272</v>
      </c>
      <c r="BS2" s="44" t="s">
        <v>273</v>
      </c>
      <c r="BT2" s="44" t="s">
        <v>274</v>
      </c>
      <c r="BU2" s="44" t="s">
        <v>275</v>
      </c>
      <c r="BV2" s="44" t="s">
        <v>276</v>
      </c>
      <c r="BW2" s="44" t="s">
        <v>277</v>
      </c>
      <c r="BX2" s="44" t="s">
        <v>278</v>
      </c>
      <c r="BY2" s="44" t="s">
        <v>279</v>
      </c>
      <c r="BZ2" s="44" t="s">
        <v>280</v>
      </c>
      <c r="CA2" s="44" t="s">
        <v>369</v>
      </c>
      <c r="CB2" s="44" t="s">
        <v>370</v>
      </c>
      <c r="CC2" s="44" t="s">
        <v>371</v>
      </c>
      <c r="CD2" s="44" t="s">
        <v>372</v>
      </c>
      <c r="CE2" s="44" t="s">
        <v>373</v>
      </c>
      <c r="CF2" s="44" t="s">
        <v>374</v>
      </c>
      <c r="CG2" t="s">
        <v>375</v>
      </c>
      <c r="CH2" t="s">
        <v>281</v>
      </c>
      <c r="CI2" t="s">
        <v>282</v>
      </c>
      <c r="CJ2" t="s">
        <v>283</v>
      </c>
      <c r="CK2" t="s">
        <v>284</v>
      </c>
      <c r="CL2" t="s">
        <v>285</v>
      </c>
      <c r="CM2" t="s">
        <v>286</v>
      </c>
      <c r="CN2" t="s">
        <v>287</v>
      </c>
      <c r="CO2" t="s">
        <v>288</v>
      </c>
      <c r="CP2" t="s">
        <v>289</v>
      </c>
      <c r="CQ2" t="s">
        <v>290</v>
      </c>
      <c r="CR2" t="s">
        <v>291</v>
      </c>
      <c r="CS2" t="s">
        <v>292</v>
      </c>
      <c r="CT2" t="s">
        <v>376</v>
      </c>
      <c r="CU2" t="s">
        <v>377</v>
      </c>
      <c r="CV2" t="s">
        <v>378</v>
      </c>
      <c r="CW2" t="s">
        <v>379</v>
      </c>
      <c r="CX2" t="s">
        <v>380</v>
      </c>
      <c r="CY2" t="s">
        <v>381</v>
      </c>
      <c r="CZ2" s="44" t="s">
        <v>382</v>
      </c>
      <c r="DA2" s="44" t="s">
        <v>293</v>
      </c>
      <c r="DB2" s="44" t="s">
        <v>294</v>
      </c>
      <c r="DC2" s="44" t="s">
        <v>295</v>
      </c>
      <c r="DD2" s="44" t="s">
        <v>296</v>
      </c>
      <c r="DE2" s="44" t="s">
        <v>297</v>
      </c>
      <c r="DF2" s="44" t="s">
        <v>298</v>
      </c>
      <c r="DG2" s="44" t="s">
        <v>299</v>
      </c>
      <c r="DH2" s="44" t="s">
        <v>300</v>
      </c>
      <c r="DI2" s="44" t="s">
        <v>301</v>
      </c>
      <c r="DJ2" s="44" t="s">
        <v>302</v>
      </c>
      <c r="DK2" s="44" t="s">
        <v>303</v>
      </c>
      <c r="DL2" s="44" t="s">
        <v>304</v>
      </c>
      <c r="DM2" s="44" t="s">
        <v>383</v>
      </c>
      <c r="DN2" s="44" t="s">
        <v>384</v>
      </c>
      <c r="DO2" s="44" t="s">
        <v>385</v>
      </c>
      <c r="DP2" s="44" t="s">
        <v>386</v>
      </c>
      <c r="DQ2" s="44" t="s">
        <v>387</v>
      </c>
      <c r="DR2" s="44" t="s">
        <v>388</v>
      </c>
      <c r="DS2" t="s">
        <v>305</v>
      </c>
      <c r="DT2" t="s">
        <v>306</v>
      </c>
      <c r="DU2" t="s">
        <v>307</v>
      </c>
      <c r="DV2" t="s">
        <v>308</v>
      </c>
      <c r="DW2" t="s">
        <v>309</v>
      </c>
      <c r="DX2" t="s">
        <v>310</v>
      </c>
      <c r="DY2" t="s">
        <v>311</v>
      </c>
      <c r="DZ2" t="s">
        <v>312</v>
      </c>
      <c r="EA2" t="s">
        <v>313</v>
      </c>
      <c r="EB2" t="s">
        <v>389</v>
      </c>
      <c r="EC2" t="s">
        <v>390</v>
      </c>
      <c r="ED2" t="s">
        <v>391</v>
      </c>
      <c r="EE2" t="s">
        <v>392</v>
      </c>
      <c r="EF2" t="s">
        <v>393</v>
      </c>
      <c r="EG2" t="s">
        <v>394</v>
      </c>
      <c r="EH2" t="s">
        <v>395</v>
      </c>
      <c r="EI2" t="s">
        <v>396</v>
      </c>
      <c r="EJ2" t="s">
        <v>397</v>
      </c>
      <c r="EK2" s="44" t="s">
        <v>314</v>
      </c>
      <c r="EL2" s="44" t="s">
        <v>315</v>
      </c>
      <c r="EM2" s="44" t="s">
        <v>316</v>
      </c>
      <c r="EN2" s="44" t="s">
        <v>317</v>
      </c>
      <c r="EO2" s="44" t="s">
        <v>318</v>
      </c>
      <c r="EP2" s="44" t="s">
        <v>319</v>
      </c>
      <c r="EQ2" s="44" t="s">
        <v>320</v>
      </c>
      <c r="ER2" s="44" t="s">
        <v>321</v>
      </c>
      <c r="ES2" s="44" t="s">
        <v>322</v>
      </c>
      <c r="ET2" s="44" t="s">
        <v>400</v>
      </c>
      <c r="EU2" s="44" t="s">
        <v>398</v>
      </c>
      <c r="EV2" s="44" t="s">
        <v>399</v>
      </c>
      <c r="EW2" s="44" t="s">
        <v>401</v>
      </c>
      <c r="EX2" s="44" t="s">
        <v>402</v>
      </c>
      <c r="EY2" s="44" t="s">
        <v>403</v>
      </c>
      <c r="EZ2" s="44" t="s">
        <v>404</v>
      </c>
      <c r="FA2" s="44" t="s">
        <v>405</v>
      </c>
      <c r="FB2" s="44" t="s">
        <v>406</v>
      </c>
      <c r="FC2" t="s">
        <v>323</v>
      </c>
      <c r="FD2" t="s">
        <v>324</v>
      </c>
      <c r="FE2" t="s">
        <v>325</v>
      </c>
      <c r="FF2" t="s">
        <v>326</v>
      </c>
      <c r="FG2" t="s">
        <v>327</v>
      </c>
      <c r="FH2" t="s">
        <v>328</v>
      </c>
      <c r="FI2" t="s">
        <v>329</v>
      </c>
      <c r="FJ2" t="s">
        <v>330</v>
      </c>
      <c r="FK2" t="s">
        <v>331</v>
      </c>
      <c r="FL2" t="s">
        <v>407</v>
      </c>
      <c r="FM2" t="s">
        <v>408</v>
      </c>
      <c r="FN2" t="s">
        <v>409</v>
      </c>
      <c r="FO2" t="s">
        <v>410</v>
      </c>
      <c r="FP2" t="s">
        <v>411</v>
      </c>
      <c r="FQ2" t="s">
        <v>412</v>
      </c>
      <c r="FR2" t="s">
        <v>413</v>
      </c>
      <c r="FS2" t="s">
        <v>414</v>
      </c>
      <c r="FT2" t="s">
        <v>415</v>
      </c>
    </row>
    <row r="3" spans="1:176" ht="15" x14ac:dyDescent="0.25">
      <c r="A3" s="240">
        <v>126</v>
      </c>
      <c r="B3" t="e">
        <f t="shared" ref="B3:B19" ca="1" si="0">IF($A3="", "", IF(INDIRECT($A3&amp; "!"&amp; B$2)="", "", INDIRECT($A3&amp; "!"&amp; B$2)))</f>
        <v>#REF!</v>
      </c>
      <c r="C3" t="e">
        <f t="shared" ref="C3:T18" ca="1" si="1">IF($A3="", "", IF(INDIRECT($A3&amp; "!"&amp; C$2)="", "", INDIRECT($A3&amp; "!"&amp; C$2)))</f>
        <v>#REF!</v>
      </c>
      <c r="D3" t="e">
        <f t="shared" ca="1" si="1"/>
        <v>#REF!</v>
      </c>
      <c r="E3" t="e">
        <f t="shared" ca="1" si="1"/>
        <v>#REF!</v>
      </c>
      <c r="F3" t="e">
        <f t="shared" ca="1" si="1"/>
        <v>#REF!</v>
      </c>
      <c r="G3" t="e">
        <f t="shared" ref="G3:H18" ca="1" si="2">IF($A3="", "", IF(INDIRECT($A3&amp; "!"&amp; G$2)="", "", INDIRECT($A3&amp; "!"&amp; G$2)))</f>
        <v>#REF!</v>
      </c>
      <c r="H3" t="e">
        <f t="shared" ca="1" si="2"/>
        <v>#REF!</v>
      </c>
      <c r="I3" t="e">
        <f t="shared" ca="1" si="1"/>
        <v>#REF!</v>
      </c>
      <c r="J3" t="e">
        <f t="shared" ca="1" si="1"/>
        <v>#REF!</v>
      </c>
      <c r="K3" t="e">
        <f t="shared" ca="1" si="1"/>
        <v>#REF!</v>
      </c>
      <c r="L3" t="e">
        <f t="shared" ca="1" si="1"/>
        <v>#REF!</v>
      </c>
      <c r="M3" t="e">
        <f t="shared" ca="1" si="1"/>
        <v>#REF!</v>
      </c>
      <c r="N3" t="e">
        <f t="shared" ca="1" si="1"/>
        <v>#REF!</v>
      </c>
      <c r="O3" t="e">
        <f t="shared" ca="1" si="1"/>
        <v>#REF!</v>
      </c>
      <c r="P3" t="e">
        <f t="shared" ca="1" si="1"/>
        <v>#REF!</v>
      </c>
      <c r="Q3" t="e">
        <f t="shared" ca="1" si="1"/>
        <v>#REF!</v>
      </c>
      <c r="R3" t="e">
        <f t="shared" ca="1" si="1"/>
        <v>#REF!</v>
      </c>
      <c r="S3" t="e">
        <f t="shared" ca="1" si="1"/>
        <v>#REF!</v>
      </c>
      <c r="T3" t="e">
        <f t="shared" ca="1" si="1"/>
        <v>#REF!</v>
      </c>
      <c r="U3" t="e">
        <f t="shared" ref="U3:AJ18" ca="1" si="3">IF($A3="", "", IF(INDIRECT($A3&amp; "!"&amp; U$2)="", "", INDIRECT($A3&amp; "!"&amp; U$2)))</f>
        <v>#REF!</v>
      </c>
      <c r="V3" t="e">
        <f t="shared" ca="1" si="3"/>
        <v>#REF!</v>
      </c>
      <c r="W3" t="e">
        <f t="shared" ca="1" si="3"/>
        <v>#REF!</v>
      </c>
      <c r="X3" t="e">
        <f t="shared" ca="1" si="3"/>
        <v>#REF!</v>
      </c>
      <c r="Y3" t="e">
        <f t="shared" ca="1" si="3"/>
        <v>#REF!</v>
      </c>
      <c r="Z3" t="e">
        <f t="shared" ca="1" si="3"/>
        <v>#REF!</v>
      </c>
      <c r="AA3" t="e">
        <f t="shared" ca="1" si="3"/>
        <v>#REF!</v>
      </c>
      <c r="AB3" s="44" t="e">
        <f t="shared" ca="1" si="3"/>
        <v>#REF!</v>
      </c>
      <c r="AC3" s="44" t="e">
        <f t="shared" ca="1" si="3"/>
        <v>#REF!</v>
      </c>
      <c r="AD3" s="44" t="e">
        <f t="shared" ca="1" si="3"/>
        <v>#REF!</v>
      </c>
      <c r="AE3" s="44" t="e">
        <f t="shared" ca="1" si="3"/>
        <v>#REF!</v>
      </c>
      <c r="AF3" s="44" t="e">
        <f t="shared" ca="1" si="3"/>
        <v>#REF!</v>
      </c>
      <c r="AG3" s="44" t="e">
        <f t="shared" ca="1" si="3"/>
        <v>#REF!</v>
      </c>
      <c r="AH3" s="44" t="e">
        <f t="shared" ca="1" si="3"/>
        <v>#REF!</v>
      </c>
      <c r="AI3" s="44" t="e">
        <f t="shared" ca="1" si="3"/>
        <v>#REF!</v>
      </c>
      <c r="AJ3" s="44" t="e">
        <f t="shared" ca="1" si="3"/>
        <v>#REF!</v>
      </c>
      <c r="AK3" s="44" t="e">
        <f t="shared" ref="AK3:AZ18" ca="1" si="4">IF($A3="", "", IF(INDIRECT($A3&amp; "!"&amp; AK$2)="", "", INDIRECT($A3&amp; "!"&amp; AK$2)))</f>
        <v>#REF!</v>
      </c>
      <c r="AL3" s="44" t="e">
        <f t="shared" ca="1" si="4"/>
        <v>#REF!</v>
      </c>
      <c r="AM3" s="44" t="e">
        <f t="shared" ca="1" si="4"/>
        <v>#REF!</v>
      </c>
      <c r="AN3" s="44" t="e">
        <f t="shared" ca="1" si="4"/>
        <v>#REF!</v>
      </c>
      <c r="AO3" s="44" t="e">
        <f t="shared" ca="1" si="4"/>
        <v>#REF!</v>
      </c>
      <c r="AP3" s="44" t="e">
        <f t="shared" ca="1" si="4"/>
        <v>#REF!</v>
      </c>
      <c r="AQ3" s="44" t="e">
        <f t="shared" ca="1" si="4"/>
        <v>#REF!</v>
      </c>
      <c r="AR3" s="44" t="e">
        <f t="shared" ca="1" si="4"/>
        <v>#REF!</v>
      </c>
      <c r="AS3" s="44" t="e">
        <f t="shared" ca="1" si="4"/>
        <v>#REF!</v>
      </c>
      <c r="AT3" s="44" t="e">
        <f t="shared" ca="1" si="4"/>
        <v>#REF!</v>
      </c>
      <c r="AU3" t="e">
        <f t="shared" ca="1" si="4"/>
        <v>#REF!</v>
      </c>
      <c r="AV3" t="e">
        <f t="shared" ca="1" si="4"/>
        <v>#REF!</v>
      </c>
      <c r="AW3" t="e">
        <f t="shared" ca="1" si="4"/>
        <v>#REF!</v>
      </c>
      <c r="AX3" t="e">
        <f t="shared" ca="1" si="4"/>
        <v>#REF!</v>
      </c>
      <c r="AY3" t="e">
        <f t="shared" ca="1" si="4"/>
        <v>#REF!</v>
      </c>
      <c r="AZ3" t="e">
        <f t="shared" ca="1" si="4"/>
        <v>#REF!</v>
      </c>
      <c r="BA3" t="e">
        <f t="shared" ref="BA3:BP18" ca="1" si="5">IF($A3="", "", IF(INDIRECT($A3&amp; "!"&amp; BA$2)="", "", INDIRECT($A3&amp; "!"&amp; BA$2)))</f>
        <v>#REF!</v>
      </c>
      <c r="BB3" t="e">
        <f t="shared" ca="1" si="5"/>
        <v>#REF!</v>
      </c>
      <c r="BC3" t="e">
        <f t="shared" ca="1" si="5"/>
        <v>#REF!</v>
      </c>
      <c r="BD3" t="e">
        <f t="shared" ca="1" si="5"/>
        <v>#REF!</v>
      </c>
      <c r="BE3" t="e">
        <f t="shared" ca="1" si="5"/>
        <v>#REF!</v>
      </c>
      <c r="BF3" t="e">
        <f t="shared" ca="1" si="5"/>
        <v>#REF!</v>
      </c>
      <c r="BG3" t="e">
        <f t="shared" ca="1" si="5"/>
        <v>#REF!</v>
      </c>
      <c r="BH3" t="e">
        <f t="shared" ca="1" si="5"/>
        <v>#REF!</v>
      </c>
      <c r="BI3" t="e">
        <f t="shared" ca="1" si="5"/>
        <v>#REF!</v>
      </c>
      <c r="BJ3" t="e">
        <f t="shared" ca="1" si="5"/>
        <v>#REF!</v>
      </c>
      <c r="BK3" t="e">
        <f t="shared" ca="1" si="5"/>
        <v>#REF!</v>
      </c>
      <c r="BL3" t="e">
        <f t="shared" ca="1" si="5"/>
        <v>#REF!</v>
      </c>
      <c r="BM3" t="e">
        <f t="shared" ca="1" si="5"/>
        <v>#REF!</v>
      </c>
      <c r="BN3" s="44" t="e">
        <f t="shared" ca="1" si="5"/>
        <v>#REF!</v>
      </c>
      <c r="BO3" s="44" t="e">
        <f t="shared" ca="1" si="5"/>
        <v>#REF!</v>
      </c>
      <c r="BP3" s="44" t="e">
        <f t="shared" ca="1" si="5"/>
        <v>#REF!</v>
      </c>
      <c r="BQ3" s="44" t="e">
        <f t="shared" ref="BQ3:CF18" ca="1" si="6">IF($A3="", "", IF(INDIRECT($A3&amp; "!"&amp; BQ$2)="", "", INDIRECT($A3&amp; "!"&amp; BQ$2)))</f>
        <v>#REF!</v>
      </c>
      <c r="BR3" s="44" t="e">
        <f t="shared" ca="1" si="6"/>
        <v>#REF!</v>
      </c>
      <c r="BS3" s="44" t="e">
        <f t="shared" ca="1" si="6"/>
        <v>#REF!</v>
      </c>
      <c r="BT3" s="44" t="e">
        <f t="shared" ca="1" si="6"/>
        <v>#REF!</v>
      </c>
      <c r="BU3" s="44" t="e">
        <f t="shared" ca="1" si="6"/>
        <v>#REF!</v>
      </c>
      <c r="BV3" s="44" t="e">
        <f t="shared" ca="1" si="6"/>
        <v>#REF!</v>
      </c>
      <c r="BW3" s="44" t="e">
        <f t="shared" ca="1" si="6"/>
        <v>#REF!</v>
      </c>
      <c r="BX3" s="44" t="e">
        <f t="shared" ca="1" si="6"/>
        <v>#REF!</v>
      </c>
      <c r="BY3" s="44" t="e">
        <f t="shared" ca="1" si="6"/>
        <v>#REF!</v>
      </c>
      <c r="BZ3" s="44" t="e">
        <f t="shared" ca="1" si="6"/>
        <v>#REF!</v>
      </c>
      <c r="CA3" s="44" t="e">
        <f t="shared" ca="1" si="6"/>
        <v>#REF!</v>
      </c>
      <c r="CB3" s="44" t="e">
        <f t="shared" ca="1" si="6"/>
        <v>#REF!</v>
      </c>
      <c r="CC3" s="44" t="e">
        <f t="shared" ca="1" si="6"/>
        <v>#REF!</v>
      </c>
      <c r="CD3" s="44" t="e">
        <f t="shared" ca="1" si="6"/>
        <v>#REF!</v>
      </c>
      <c r="CE3" s="44" t="e">
        <f t="shared" ca="1" si="6"/>
        <v>#REF!</v>
      </c>
      <c r="CF3" s="44" t="e">
        <f t="shared" ca="1" si="6"/>
        <v>#REF!</v>
      </c>
      <c r="CG3" t="e">
        <f t="shared" ref="CG3:CV18" ca="1" si="7">IF($A3="", "", IF(INDIRECT($A3&amp; "!"&amp; CG$2)="", "", INDIRECT($A3&amp; "!"&amp; CG$2)))</f>
        <v>#REF!</v>
      </c>
      <c r="CH3" t="e">
        <f t="shared" ca="1" si="7"/>
        <v>#REF!</v>
      </c>
      <c r="CI3" t="e">
        <f t="shared" ca="1" si="7"/>
        <v>#REF!</v>
      </c>
      <c r="CJ3" t="e">
        <f t="shared" ca="1" si="7"/>
        <v>#REF!</v>
      </c>
      <c r="CK3" t="e">
        <f t="shared" ca="1" si="7"/>
        <v>#REF!</v>
      </c>
      <c r="CL3" t="e">
        <f t="shared" ca="1" si="7"/>
        <v>#REF!</v>
      </c>
      <c r="CM3" t="e">
        <f t="shared" ca="1" si="7"/>
        <v>#REF!</v>
      </c>
      <c r="CN3" t="e">
        <f t="shared" ca="1" si="7"/>
        <v>#REF!</v>
      </c>
      <c r="CO3" t="e">
        <f t="shared" ca="1" si="7"/>
        <v>#REF!</v>
      </c>
      <c r="CP3" t="e">
        <f t="shared" ca="1" si="7"/>
        <v>#REF!</v>
      </c>
      <c r="CQ3" t="e">
        <f t="shared" ca="1" si="7"/>
        <v>#REF!</v>
      </c>
      <c r="CR3" t="e">
        <f t="shared" ca="1" si="7"/>
        <v>#REF!</v>
      </c>
      <c r="CS3" t="e">
        <f t="shared" ca="1" si="7"/>
        <v>#REF!</v>
      </c>
      <c r="CT3" t="e">
        <f t="shared" ca="1" si="7"/>
        <v>#REF!</v>
      </c>
      <c r="CU3" t="e">
        <f t="shared" ca="1" si="7"/>
        <v>#REF!</v>
      </c>
      <c r="CV3" t="e">
        <f t="shared" ca="1" si="7"/>
        <v>#REF!</v>
      </c>
      <c r="CW3" t="e">
        <f t="shared" ref="CW3:DL18" ca="1" si="8">IF($A3="", "", IF(INDIRECT($A3&amp; "!"&amp; CW$2)="", "", INDIRECT($A3&amp; "!"&amp; CW$2)))</f>
        <v>#REF!</v>
      </c>
      <c r="CX3" t="e">
        <f t="shared" ca="1" si="8"/>
        <v>#REF!</v>
      </c>
      <c r="CY3" t="e">
        <f t="shared" ca="1" si="8"/>
        <v>#REF!</v>
      </c>
      <c r="CZ3" s="44" t="e">
        <f t="shared" ca="1" si="8"/>
        <v>#REF!</v>
      </c>
      <c r="DA3" s="44" t="e">
        <f t="shared" ca="1" si="8"/>
        <v>#REF!</v>
      </c>
      <c r="DB3" s="44" t="e">
        <f t="shared" ca="1" si="8"/>
        <v>#REF!</v>
      </c>
      <c r="DC3" s="44" t="e">
        <f t="shared" ca="1" si="8"/>
        <v>#REF!</v>
      </c>
      <c r="DD3" s="44" t="e">
        <f t="shared" ca="1" si="8"/>
        <v>#REF!</v>
      </c>
      <c r="DE3" s="44" t="e">
        <f t="shared" ca="1" si="8"/>
        <v>#REF!</v>
      </c>
      <c r="DF3" s="44" t="e">
        <f t="shared" ca="1" si="8"/>
        <v>#REF!</v>
      </c>
      <c r="DG3" s="44" t="e">
        <f t="shared" ca="1" si="8"/>
        <v>#REF!</v>
      </c>
      <c r="DH3" s="44" t="e">
        <f t="shared" ca="1" si="8"/>
        <v>#REF!</v>
      </c>
      <c r="DI3" s="44" t="e">
        <f t="shared" ca="1" si="8"/>
        <v>#REF!</v>
      </c>
      <c r="DJ3" s="44" t="e">
        <f t="shared" ca="1" si="8"/>
        <v>#REF!</v>
      </c>
      <c r="DK3" s="44" t="e">
        <f t="shared" ca="1" si="8"/>
        <v>#REF!</v>
      </c>
      <c r="DL3" s="44" t="e">
        <f t="shared" ca="1" si="8"/>
        <v>#REF!</v>
      </c>
      <c r="DM3" s="44" t="e">
        <f t="shared" ref="DM3:EB18" ca="1" si="9">IF($A3="", "", IF(INDIRECT($A3&amp; "!"&amp; DM$2)="", "", INDIRECT($A3&amp; "!"&amp; DM$2)))</f>
        <v>#REF!</v>
      </c>
      <c r="DN3" s="44" t="e">
        <f t="shared" ca="1" si="9"/>
        <v>#REF!</v>
      </c>
      <c r="DO3" s="44" t="e">
        <f t="shared" ca="1" si="9"/>
        <v>#REF!</v>
      </c>
      <c r="DP3" s="44" t="e">
        <f t="shared" ca="1" si="9"/>
        <v>#REF!</v>
      </c>
      <c r="DQ3" s="44" t="e">
        <f t="shared" ca="1" si="9"/>
        <v>#REF!</v>
      </c>
      <c r="DR3" s="44" t="e">
        <f t="shared" ca="1" si="9"/>
        <v>#REF!</v>
      </c>
      <c r="DS3" t="e">
        <f t="shared" ca="1" si="9"/>
        <v>#REF!</v>
      </c>
      <c r="DT3" t="e">
        <f t="shared" ca="1" si="9"/>
        <v>#REF!</v>
      </c>
      <c r="DU3" t="e">
        <f t="shared" ca="1" si="9"/>
        <v>#REF!</v>
      </c>
      <c r="DV3" t="e">
        <f t="shared" ca="1" si="9"/>
        <v>#REF!</v>
      </c>
      <c r="DW3" t="e">
        <f t="shared" ca="1" si="9"/>
        <v>#REF!</v>
      </c>
      <c r="DX3" t="e">
        <f t="shared" ca="1" si="9"/>
        <v>#REF!</v>
      </c>
      <c r="DY3" t="e">
        <f t="shared" ca="1" si="9"/>
        <v>#REF!</v>
      </c>
      <c r="DZ3" t="e">
        <f t="shared" ca="1" si="9"/>
        <v>#REF!</v>
      </c>
      <c r="EA3" t="e">
        <f t="shared" ca="1" si="9"/>
        <v>#REF!</v>
      </c>
      <c r="EB3" t="e">
        <f t="shared" ca="1" si="9"/>
        <v>#REF!</v>
      </c>
      <c r="EC3" t="e">
        <f t="shared" ref="EC3:ER18" ca="1" si="10">IF($A3="", "", IF(INDIRECT($A3&amp; "!"&amp; EC$2)="", "", INDIRECT($A3&amp; "!"&amp; EC$2)))</f>
        <v>#REF!</v>
      </c>
      <c r="ED3" t="e">
        <f t="shared" ca="1" si="10"/>
        <v>#REF!</v>
      </c>
      <c r="EE3" t="e">
        <f t="shared" ca="1" si="10"/>
        <v>#REF!</v>
      </c>
      <c r="EF3" t="e">
        <f t="shared" ca="1" si="10"/>
        <v>#REF!</v>
      </c>
      <c r="EG3" t="e">
        <f t="shared" ca="1" si="10"/>
        <v>#REF!</v>
      </c>
      <c r="EH3" t="e">
        <f t="shared" ca="1" si="10"/>
        <v>#REF!</v>
      </c>
      <c r="EI3" t="e">
        <f t="shared" ca="1" si="10"/>
        <v>#REF!</v>
      </c>
      <c r="EJ3" t="e">
        <f t="shared" ca="1" si="10"/>
        <v>#REF!</v>
      </c>
      <c r="EK3" s="44" t="e">
        <f t="shared" ca="1" si="10"/>
        <v>#REF!</v>
      </c>
      <c r="EL3" s="44" t="e">
        <f t="shared" ca="1" si="10"/>
        <v>#REF!</v>
      </c>
      <c r="EM3" s="44" t="e">
        <f t="shared" ca="1" si="10"/>
        <v>#REF!</v>
      </c>
      <c r="EN3" s="44" t="e">
        <f t="shared" ca="1" si="10"/>
        <v>#REF!</v>
      </c>
      <c r="EO3" s="44" t="e">
        <f t="shared" ca="1" si="10"/>
        <v>#REF!</v>
      </c>
      <c r="EP3" s="44" t="e">
        <f t="shared" ca="1" si="10"/>
        <v>#REF!</v>
      </c>
      <c r="EQ3" s="44" t="e">
        <f t="shared" ca="1" si="10"/>
        <v>#REF!</v>
      </c>
      <c r="ER3" s="44" t="e">
        <f t="shared" ca="1" si="10"/>
        <v>#REF!</v>
      </c>
      <c r="ES3" s="44" t="e">
        <f t="shared" ref="ES3:FH18" ca="1" si="11">IF($A3="", "", IF(INDIRECT($A3&amp; "!"&amp; ES$2)="", "", INDIRECT($A3&amp; "!"&amp; ES$2)))</f>
        <v>#REF!</v>
      </c>
      <c r="ET3" s="44" t="e">
        <f t="shared" ca="1" si="11"/>
        <v>#REF!</v>
      </c>
      <c r="EU3" s="44" t="e">
        <f t="shared" ca="1" si="11"/>
        <v>#REF!</v>
      </c>
      <c r="EV3" s="44" t="e">
        <f t="shared" ca="1" si="11"/>
        <v>#REF!</v>
      </c>
      <c r="EW3" s="44" t="e">
        <f t="shared" ca="1" si="11"/>
        <v>#REF!</v>
      </c>
      <c r="EX3" s="44" t="e">
        <f t="shared" ca="1" si="11"/>
        <v>#REF!</v>
      </c>
      <c r="EY3" s="44" t="e">
        <f t="shared" ca="1" si="11"/>
        <v>#REF!</v>
      </c>
      <c r="EZ3" s="44" t="e">
        <f t="shared" ca="1" si="11"/>
        <v>#REF!</v>
      </c>
      <c r="FA3" s="44" t="e">
        <f t="shared" ca="1" si="11"/>
        <v>#REF!</v>
      </c>
      <c r="FB3" s="44" t="e">
        <f t="shared" ca="1" si="11"/>
        <v>#REF!</v>
      </c>
      <c r="FC3" s="56" t="e">
        <f t="shared" ca="1" si="11"/>
        <v>#REF!</v>
      </c>
      <c r="FD3" t="e">
        <f t="shared" ca="1" si="11"/>
        <v>#REF!</v>
      </c>
      <c r="FE3" t="e">
        <f t="shared" ca="1" si="11"/>
        <v>#REF!</v>
      </c>
      <c r="FF3" t="e">
        <f t="shared" ca="1" si="11"/>
        <v>#REF!</v>
      </c>
      <c r="FG3" t="e">
        <f t="shared" ca="1" si="11"/>
        <v>#REF!</v>
      </c>
      <c r="FH3" t="e">
        <f t="shared" ca="1" si="11"/>
        <v>#REF!</v>
      </c>
      <c r="FI3" t="e">
        <f t="shared" ref="FI3:FT18" ca="1" si="12">IF($A3="", "", IF(INDIRECT($A3&amp; "!"&amp; FI$2)="", "", INDIRECT($A3&amp; "!"&amp; FI$2)))</f>
        <v>#REF!</v>
      </c>
      <c r="FJ3" t="e">
        <f t="shared" ca="1" si="12"/>
        <v>#REF!</v>
      </c>
      <c r="FK3" t="e">
        <f t="shared" ca="1" si="12"/>
        <v>#REF!</v>
      </c>
      <c r="FL3" t="e">
        <f t="shared" ca="1" si="12"/>
        <v>#REF!</v>
      </c>
      <c r="FM3" t="e">
        <f t="shared" ca="1" si="12"/>
        <v>#REF!</v>
      </c>
      <c r="FN3" t="e">
        <f t="shared" ca="1" si="12"/>
        <v>#REF!</v>
      </c>
      <c r="FO3" t="e">
        <f t="shared" ca="1" si="12"/>
        <v>#REF!</v>
      </c>
      <c r="FP3" t="e">
        <f t="shared" ca="1" si="12"/>
        <v>#REF!</v>
      </c>
      <c r="FQ3" t="e">
        <f t="shared" ca="1" si="12"/>
        <v>#REF!</v>
      </c>
      <c r="FR3" t="e">
        <f t="shared" ca="1" si="12"/>
        <v>#REF!</v>
      </c>
      <c r="FS3" t="e">
        <f t="shared" ca="1" si="12"/>
        <v>#REF!</v>
      </c>
      <c r="FT3" t="e">
        <f t="shared" ca="1" si="12"/>
        <v>#REF!</v>
      </c>
    </row>
    <row r="4" spans="1:176" ht="15" x14ac:dyDescent="0.25">
      <c r="A4" s="240">
        <v>127</v>
      </c>
      <c r="B4" t="e">
        <f t="shared" ca="1" si="0"/>
        <v>#REF!</v>
      </c>
      <c r="C4" t="e">
        <f t="shared" ca="1" si="1"/>
        <v>#REF!</v>
      </c>
      <c r="D4" t="e">
        <f t="shared" ca="1" si="1"/>
        <v>#REF!</v>
      </c>
      <c r="E4" t="e">
        <f t="shared" ca="1" si="1"/>
        <v>#REF!</v>
      </c>
      <c r="F4" t="e">
        <f t="shared" ref="F4:H67" ca="1" si="13">IF($A4="", "", IF(INDIRECT($A4&amp; "!"&amp; F$2)="", "", INDIRECT($A4&amp; "!"&amp; F$2)))</f>
        <v>#REF!</v>
      </c>
      <c r="G4" t="e">
        <f t="shared" ca="1" si="2"/>
        <v>#REF!</v>
      </c>
      <c r="H4" t="e">
        <f t="shared" ca="1" si="2"/>
        <v>#REF!</v>
      </c>
      <c r="I4" t="e">
        <f t="shared" ca="1" si="1"/>
        <v>#REF!</v>
      </c>
      <c r="J4" t="e">
        <f t="shared" ca="1" si="1"/>
        <v>#REF!</v>
      </c>
      <c r="K4" t="e">
        <f t="shared" ca="1" si="1"/>
        <v>#REF!</v>
      </c>
      <c r="L4" t="e">
        <f t="shared" ca="1" si="1"/>
        <v>#REF!</v>
      </c>
      <c r="M4" t="e">
        <f t="shared" ca="1" si="1"/>
        <v>#REF!</v>
      </c>
      <c r="N4" t="e">
        <f t="shared" ca="1" si="1"/>
        <v>#REF!</v>
      </c>
      <c r="O4" t="e">
        <f t="shared" ca="1" si="1"/>
        <v>#REF!</v>
      </c>
      <c r="P4" t="e">
        <f t="shared" ca="1" si="1"/>
        <v>#REF!</v>
      </c>
      <c r="Q4" t="e">
        <f t="shared" ca="1" si="1"/>
        <v>#REF!</v>
      </c>
      <c r="R4" t="e">
        <f t="shared" ca="1" si="1"/>
        <v>#REF!</v>
      </c>
      <c r="S4" t="e">
        <f t="shared" ca="1" si="1"/>
        <v>#REF!</v>
      </c>
      <c r="T4" t="e">
        <f t="shared" ca="1" si="1"/>
        <v>#REF!</v>
      </c>
      <c r="U4" t="e">
        <f t="shared" ca="1" si="3"/>
        <v>#REF!</v>
      </c>
      <c r="V4" t="e">
        <f t="shared" ca="1" si="3"/>
        <v>#REF!</v>
      </c>
      <c r="W4" t="e">
        <f t="shared" ca="1" si="3"/>
        <v>#REF!</v>
      </c>
      <c r="X4" t="e">
        <f t="shared" ca="1" si="3"/>
        <v>#REF!</v>
      </c>
      <c r="Y4" t="e">
        <f t="shared" ca="1" si="3"/>
        <v>#REF!</v>
      </c>
      <c r="Z4" t="e">
        <f t="shared" ca="1" si="3"/>
        <v>#REF!</v>
      </c>
      <c r="AA4" t="e">
        <f t="shared" ca="1" si="3"/>
        <v>#REF!</v>
      </c>
      <c r="AB4" s="44" t="e">
        <f t="shared" ca="1" si="3"/>
        <v>#REF!</v>
      </c>
      <c r="AC4" s="44" t="e">
        <f t="shared" ca="1" si="3"/>
        <v>#REF!</v>
      </c>
      <c r="AD4" s="44" t="e">
        <f t="shared" ca="1" si="3"/>
        <v>#REF!</v>
      </c>
      <c r="AE4" s="44" t="e">
        <f t="shared" ca="1" si="3"/>
        <v>#REF!</v>
      </c>
      <c r="AF4" s="44" t="e">
        <f t="shared" ca="1" si="3"/>
        <v>#REF!</v>
      </c>
      <c r="AG4" s="44" t="e">
        <f t="shared" ca="1" si="3"/>
        <v>#REF!</v>
      </c>
      <c r="AH4" s="44" t="e">
        <f t="shared" ca="1" si="3"/>
        <v>#REF!</v>
      </c>
      <c r="AI4" s="44" t="e">
        <f t="shared" ca="1" si="3"/>
        <v>#REF!</v>
      </c>
      <c r="AJ4" s="44" t="e">
        <f t="shared" ca="1" si="3"/>
        <v>#REF!</v>
      </c>
      <c r="AK4" s="44" t="e">
        <f t="shared" ca="1" si="4"/>
        <v>#REF!</v>
      </c>
      <c r="AL4" s="44" t="e">
        <f t="shared" ca="1" si="4"/>
        <v>#REF!</v>
      </c>
      <c r="AM4" s="44" t="e">
        <f t="shared" ca="1" si="4"/>
        <v>#REF!</v>
      </c>
      <c r="AN4" s="44" t="e">
        <f t="shared" ca="1" si="4"/>
        <v>#REF!</v>
      </c>
      <c r="AO4" s="44" t="e">
        <f t="shared" ca="1" si="4"/>
        <v>#REF!</v>
      </c>
      <c r="AP4" s="44" t="e">
        <f t="shared" ca="1" si="4"/>
        <v>#REF!</v>
      </c>
      <c r="AQ4" s="44" t="e">
        <f t="shared" ca="1" si="4"/>
        <v>#REF!</v>
      </c>
      <c r="AR4" s="44" t="e">
        <f t="shared" ca="1" si="4"/>
        <v>#REF!</v>
      </c>
      <c r="AS4" s="44" t="e">
        <f t="shared" ca="1" si="4"/>
        <v>#REF!</v>
      </c>
      <c r="AT4" s="44" t="e">
        <f t="shared" ca="1" si="4"/>
        <v>#REF!</v>
      </c>
      <c r="AU4" t="e">
        <f t="shared" ca="1" si="4"/>
        <v>#REF!</v>
      </c>
      <c r="AV4" t="e">
        <f t="shared" ca="1" si="4"/>
        <v>#REF!</v>
      </c>
      <c r="AW4" t="e">
        <f t="shared" ca="1" si="4"/>
        <v>#REF!</v>
      </c>
      <c r="AX4" t="e">
        <f t="shared" ca="1" si="4"/>
        <v>#REF!</v>
      </c>
      <c r="AY4" t="e">
        <f t="shared" ca="1" si="4"/>
        <v>#REF!</v>
      </c>
      <c r="AZ4" t="e">
        <f t="shared" ca="1" si="4"/>
        <v>#REF!</v>
      </c>
      <c r="BA4" t="e">
        <f t="shared" ca="1" si="5"/>
        <v>#REF!</v>
      </c>
      <c r="BB4" t="e">
        <f t="shared" ca="1" si="5"/>
        <v>#REF!</v>
      </c>
      <c r="BC4" t="e">
        <f t="shared" ca="1" si="5"/>
        <v>#REF!</v>
      </c>
      <c r="BD4" t="e">
        <f t="shared" ca="1" si="5"/>
        <v>#REF!</v>
      </c>
      <c r="BE4" t="e">
        <f t="shared" ca="1" si="5"/>
        <v>#REF!</v>
      </c>
      <c r="BF4" t="e">
        <f t="shared" ca="1" si="5"/>
        <v>#REF!</v>
      </c>
      <c r="BG4" t="e">
        <f t="shared" ca="1" si="5"/>
        <v>#REF!</v>
      </c>
      <c r="BH4" t="e">
        <f t="shared" ca="1" si="5"/>
        <v>#REF!</v>
      </c>
      <c r="BI4" t="e">
        <f t="shared" ca="1" si="5"/>
        <v>#REF!</v>
      </c>
      <c r="BJ4" t="e">
        <f t="shared" ca="1" si="5"/>
        <v>#REF!</v>
      </c>
      <c r="BK4" t="e">
        <f t="shared" ca="1" si="5"/>
        <v>#REF!</v>
      </c>
      <c r="BL4" t="e">
        <f t="shared" ca="1" si="5"/>
        <v>#REF!</v>
      </c>
      <c r="BM4" t="e">
        <f t="shared" ca="1" si="5"/>
        <v>#REF!</v>
      </c>
      <c r="BN4" s="44" t="e">
        <f t="shared" ca="1" si="5"/>
        <v>#REF!</v>
      </c>
      <c r="BO4" s="44" t="e">
        <f t="shared" ca="1" si="5"/>
        <v>#REF!</v>
      </c>
      <c r="BP4" s="44" t="e">
        <f t="shared" ca="1" si="5"/>
        <v>#REF!</v>
      </c>
      <c r="BQ4" s="44" t="e">
        <f t="shared" ca="1" si="6"/>
        <v>#REF!</v>
      </c>
      <c r="BR4" s="44" t="e">
        <f t="shared" ca="1" si="6"/>
        <v>#REF!</v>
      </c>
      <c r="BS4" s="44" t="e">
        <f t="shared" ca="1" si="6"/>
        <v>#REF!</v>
      </c>
      <c r="BT4" s="44" t="e">
        <f t="shared" ca="1" si="6"/>
        <v>#REF!</v>
      </c>
      <c r="BU4" s="44" t="e">
        <f t="shared" ca="1" si="6"/>
        <v>#REF!</v>
      </c>
      <c r="BV4" s="44" t="e">
        <f t="shared" ca="1" si="6"/>
        <v>#REF!</v>
      </c>
      <c r="BW4" s="44" t="e">
        <f t="shared" ca="1" si="6"/>
        <v>#REF!</v>
      </c>
      <c r="BX4" s="44" t="e">
        <f t="shared" ca="1" si="6"/>
        <v>#REF!</v>
      </c>
      <c r="BY4" s="44" t="e">
        <f t="shared" ca="1" si="6"/>
        <v>#REF!</v>
      </c>
      <c r="BZ4" s="44" t="e">
        <f t="shared" ca="1" si="6"/>
        <v>#REF!</v>
      </c>
      <c r="CA4" s="44" t="e">
        <f t="shared" ca="1" si="6"/>
        <v>#REF!</v>
      </c>
      <c r="CB4" s="44" t="e">
        <f t="shared" ca="1" si="6"/>
        <v>#REF!</v>
      </c>
      <c r="CC4" s="44" t="e">
        <f t="shared" ca="1" si="6"/>
        <v>#REF!</v>
      </c>
      <c r="CD4" s="44" t="e">
        <f t="shared" ca="1" si="6"/>
        <v>#REF!</v>
      </c>
      <c r="CE4" s="44" t="e">
        <f t="shared" ca="1" si="6"/>
        <v>#REF!</v>
      </c>
      <c r="CF4" s="44" t="e">
        <f t="shared" ca="1" si="6"/>
        <v>#REF!</v>
      </c>
      <c r="CG4" t="e">
        <f t="shared" ca="1" si="7"/>
        <v>#REF!</v>
      </c>
      <c r="CH4" t="e">
        <f t="shared" ca="1" si="7"/>
        <v>#REF!</v>
      </c>
      <c r="CI4" t="e">
        <f t="shared" ca="1" si="7"/>
        <v>#REF!</v>
      </c>
      <c r="CJ4" t="e">
        <f t="shared" ca="1" si="7"/>
        <v>#REF!</v>
      </c>
      <c r="CK4" t="e">
        <f t="shared" ca="1" si="7"/>
        <v>#REF!</v>
      </c>
      <c r="CL4" t="e">
        <f t="shared" ca="1" si="7"/>
        <v>#REF!</v>
      </c>
      <c r="CM4" t="e">
        <f t="shared" ca="1" si="7"/>
        <v>#REF!</v>
      </c>
      <c r="CN4" t="e">
        <f t="shared" ca="1" si="7"/>
        <v>#REF!</v>
      </c>
      <c r="CO4" t="e">
        <f t="shared" ca="1" si="7"/>
        <v>#REF!</v>
      </c>
      <c r="CP4" t="e">
        <f t="shared" ca="1" si="7"/>
        <v>#REF!</v>
      </c>
      <c r="CQ4" t="e">
        <f t="shared" ca="1" si="7"/>
        <v>#REF!</v>
      </c>
      <c r="CR4" t="e">
        <f t="shared" ca="1" si="7"/>
        <v>#REF!</v>
      </c>
      <c r="CS4" t="e">
        <f t="shared" ca="1" si="7"/>
        <v>#REF!</v>
      </c>
      <c r="CT4" t="e">
        <f t="shared" ca="1" si="7"/>
        <v>#REF!</v>
      </c>
      <c r="CU4" t="e">
        <f t="shared" ca="1" si="7"/>
        <v>#REF!</v>
      </c>
      <c r="CV4" t="e">
        <f t="shared" ca="1" si="7"/>
        <v>#REF!</v>
      </c>
      <c r="CW4" t="e">
        <f t="shared" ca="1" si="8"/>
        <v>#REF!</v>
      </c>
      <c r="CX4" t="e">
        <f t="shared" ca="1" si="8"/>
        <v>#REF!</v>
      </c>
      <c r="CY4" t="e">
        <f t="shared" ca="1" si="8"/>
        <v>#REF!</v>
      </c>
      <c r="CZ4" s="44" t="e">
        <f t="shared" ca="1" si="8"/>
        <v>#REF!</v>
      </c>
      <c r="DA4" s="44" t="e">
        <f t="shared" ca="1" si="8"/>
        <v>#REF!</v>
      </c>
      <c r="DB4" s="44" t="e">
        <f t="shared" ca="1" si="8"/>
        <v>#REF!</v>
      </c>
      <c r="DC4" s="44" t="e">
        <f t="shared" ca="1" si="8"/>
        <v>#REF!</v>
      </c>
      <c r="DD4" s="44" t="e">
        <f t="shared" ca="1" si="8"/>
        <v>#REF!</v>
      </c>
      <c r="DE4" s="44" t="e">
        <f t="shared" ca="1" si="8"/>
        <v>#REF!</v>
      </c>
      <c r="DF4" s="44" t="e">
        <f t="shared" ca="1" si="8"/>
        <v>#REF!</v>
      </c>
      <c r="DG4" s="44" t="e">
        <f t="shared" ca="1" si="8"/>
        <v>#REF!</v>
      </c>
      <c r="DH4" s="44" t="e">
        <f t="shared" ca="1" si="8"/>
        <v>#REF!</v>
      </c>
      <c r="DI4" s="44" t="e">
        <f t="shared" ca="1" si="8"/>
        <v>#REF!</v>
      </c>
      <c r="DJ4" s="44" t="e">
        <f t="shared" ca="1" si="8"/>
        <v>#REF!</v>
      </c>
      <c r="DK4" s="44" t="e">
        <f t="shared" ca="1" si="8"/>
        <v>#REF!</v>
      </c>
      <c r="DL4" s="44" t="e">
        <f t="shared" ca="1" si="8"/>
        <v>#REF!</v>
      </c>
      <c r="DM4" s="44" t="e">
        <f t="shared" ca="1" si="9"/>
        <v>#REF!</v>
      </c>
      <c r="DN4" s="44" t="e">
        <f t="shared" ca="1" si="9"/>
        <v>#REF!</v>
      </c>
      <c r="DO4" s="44" t="e">
        <f t="shared" ca="1" si="9"/>
        <v>#REF!</v>
      </c>
      <c r="DP4" s="44" t="e">
        <f t="shared" ca="1" si="9"/>
        <v>#REF!</v>
      </c>
      <c r="DQ4" s="44" t="e">
        <f t="shared" ca="1" si="9"/>
        <v>#REF!</v>
      </c>
      <c r="DR4" s="44" t="e">
        <f t="shared" ca="1" si="9"/>
        <v>#REF!</v>
      </c>
      <c r="DS4" t="e">
        <f t="shared" ca="1" si="9"/>
        <v>#REF!</v>
      </c>
      <c r="DT4" t="e">
        <f t="shared" ca="1" si="9"/>
        <v>#REF!</v>
      </c>
      <c r="DU4" t="e">
        <f t="shared" ca="1" si="9"/>
        <v>#REF!</v>
      </c>
      <c r="DV4" t="e">
        <f t="shared" ca="1" si="9"/>
        <v>#REF!</v>
      </c>
      <c r="DW4" t="e">
        <f t="shared" ca="1" si="9"/>
        <v>#REF!</v>
      </c>
      <c r="DX4" t="e">
        <f t="shared" ca="1" si="9"/>
        <v>#REF!</v>
      </c>
      <c r="DY4" t="e">
        <f t="shared" ca="1" si="9"/>
        <v>#REF!</v>
      </c>
      <c r="DZ4" t="e">
        <f t="shared" ca="1" si="9"/>
        <v>#REF!</v>
      </c>
      <c r="EA4" t="e">
        <f t="shared" ca="1" si="9"/>
        <v>#REF!</v>
      </c>
      <c r="EB4" t="e">
        <f t="shared" ca="1" si="9"/>
        <v>#REF!</v>
      </c>
      <c r="EC4" t="e">
        <f t="shared" ca="1" si="10"/>
        <v>#REF!</v>
      </c>
      <c r="ED4" t="e">
        <f t="shared" ca="1" si="10"/>
        <v>#REF!</v>
      </c>
      <c r="EE4" t="e">
        <f t="shared" ca="1" si="10"/>
        <v>#REF!</v>
      </c>
      <c r="EF4" t="e">
        <f t="shared" ca="1" si="10"/>
        <v>#REF!</v>
      </c>
      <c r="EG4" t="e">
        <f t="shared" ca="1" si="10"/>
        <v>#REF!</v>
      </c>
      <c r="EH4" t="e">
        <f t="shared" ca="1" si="10"/>
        <v>#REF!</v>
      </c>
      <c r="EI4" t="e">
        <f t="shared" ca="1" si="10"/>
        <v>#REF!</v>
      </c>
      <c r="EJ4" t="e">
        <f t="shared" ca="1" si="10"/>
        <v>#REF!</v>
      </c>
      <c r="EK4" s="44" t="e">
        <f t="shared" ca="1" si="10"/>
        <v>#REF!</v>
      </c>
      <c r="EL4" s="44" t="e">
        <f t="shared" ca="1" si="10"/>
        <v>#REF!</v>
      </c>
      <c r="EM4" s="44" t="e">
        <f t="shared" ca="1" si="10"/>
        <v>#REF!</v>
      </c>
      <c r="EN4" s="44" t="e">
        <f t="shared" ca="1" si="10"/>
        <v>#REF!</v>
      </c>
      <c r="EO4" s="44" t="e">
        <f t="shared" ca="1" si="10"/>
        <v>#REF!</v>
      </c>
      <c r="EP4" s="44" t="e">
        <f t="shared" ca="1" si="10"/>
        <v>#REF!</v>
      </c>
      <c r="EQ4" s="44" t="e">
        <f t="shared" ca="1" si="10"/>
        <v>#REF!</v>
      </c>
      <c r="ER4" s="44" t="e">
        <f t="shared" ca="1" si="10"/>
        <v>#REF!</v>
      </c>
      <c r="ES4" s="44" t="e">
        <f t="shared" ca="1" si="11"/>
        <v>#REF!</v>
      </c>
      <c r="ET4" s="44" t="e">
        <f t="shared" ca="1" si="11"/>
        <v>#REF!</v>
      </c>
      <c r="EU4" s="44" t="e">
        <f t="shared" ca="1" si="11"/>
        <v>#REF!</v>
      </c>
      <c r="EV4" s="44" t="e">
        <f t="shared" ca="1" si="11"/>
        <v>#REF!</v>
      </c>
      <c r="EW4" s="44" t="e">
        <f t="shared" ca="1" si="11"/>
        <v>#REF!</v>
      </c>
      <c r="EX4" s="44" t="e">
        <f t="shared" ca="1" si="11"/>
        <v>#REF!</v>
      </c>
      <c r="EY4" s="44" t="e">
        <f t="shared" ca="1" si="11"/>
        <v>#REF!</v>
      </c>
      <c r="EZ4" s="44" t="e">
        <f t="shared" ca="1" si="11"/>
        <v>#REF!</v>
      </c>
      <c r="FA4" s="44" t="e">
        <f t="shared" ca="1" si="11"/>
        <v>#REF!</v>
      </c>
      <c r="FB4" s="44" t="e">
        <f t="shared" ca="1" si="11"/>
        <v>#REF!</v>
      </c>
      <c r="FC4" s="56" t="e">
        <f t="shared" ca="1" si="11"/>
        <v>#REF!</v>
      </c>
      <c r="FD4" t="e">
        <f t="shared" ca="1" si="11"/>
        <v>#REF!</v>
      </c>
      <c r="FE4" t="e">
        <f t="shared" ca="1" si="11"/>
        <v>#REF!</v>
      </c>
      <c r="FF4" t="e">
        <f t="shared" ca="1" si="11"/>
        <v>#REF!</v>
      </c>
      <c r="FG4" t="e">
        <f t="shared" ca="1" si="11"/>
        <v>#REF!</v>
      </c>
      <c r="FH4" t="e">
        <f t="shared" ca="1" si="11"/>
        <v>#REF!</v>
      </c>
      <c r="FI4" t="e">
        <f t="shared" ca="1" si="12"/>
        <v>#REF!</v>
      </c>
      <c r="FJ4" t="e">
        <f t="shared" ca="1" si="12"/>
        <v>#REF!</v>
      </c>
      <c r="FK4" t="e">
        <f t="shared" ca="1" si="12"/>
        <v>#REF!</v>
      </c>
      <c r="FL4" t="e">
        <f t="shared" ca="1" si="12"/>
        <v>#REF!</v>
      </c>
      <c r="FM4" t="e">
        <f t="shared" ca="1" si="12"/>
        <v>#REF!</v>
      </c>
      <c r="FN4" t="e">
        <f t="shared" ca="1" si="12"/>
        <v>#REF!</v>
      </c>
      <c r="FO4" t="e">
        <f t="shared" ca="1" si="12"/>
        <v>#REF!</v>
      </c>
      <c r="FP4" t="e">
        <f t="shared" ca="1" si="12"/>
        <v>#REF!</v>
      </c>
      <c r="FQ4" t="e">
        <f t="shared" ca="1" si="12"/>
        <v>#REF!</v>
      </c>
      <c r="FR4" t="e">
        <f t="shared" ca="1" si="12"/>
        <v>#REF!</v>
      </c>
      <c r="FS4" t="e">
        <f t="shared" ca="1" si="12"/>
        <v>#REF!</v>
      </c>
      <c r="FT4" t="e">
        <f t="shared" ca="1" si="12"/>
        <v>#REF!</v>
      </c>
    </row>
    <row r="5" spans="1:176" ht="15" x14ac:dyDescent="0.25">
      <c r="A5" s="240">
        <v>138</v>
      </c>
      <c r="B5" t="e">
        <f t="shared" ca="1" si="0"/>
        <v>#REF!</v>
      </c>
      <c r="C5" t="e">
        <f t="shared" ca="1" si="1"/>
        <v>#REF!</v>
      </c>
      <c r="D5" t="e">
        <f t="shared" ca="1" si="1"/>
        <v>#REF!</v>
      </c>
      <c r="E5" t="e">
        <f t="shared" ca="1" si="1"/>
        <v>#REF!</v>
      </c>
      <c r="F5" t="e">
        <f t="shared" ca="1" si="13"/>
        <v>#REF!</v>
      </c>
      <c r="G5" t="e">
        <f t="shared" ca="1" si="2"/>
        <v>#REF!</v>
      </c>
      <c r="H5" t="e">
        <f t="shared" ca="1" si="2"/>
        <v>#REF!</v>
      </c>
      <c r="I5" t="e">
        <f t="shared" ca="1" si="1"/>
        <v>#REF!</v>
      </c>
      <c r="J5" t="e">
        <f t="shared" ca="1" si="1"/>
        <v>#REF!</v>
      </c>
      <c r="K5" t="e">
        <f t="shared" ca="1" si="1"/>
        <v>#REF!</v>
      </c>
      <c r="L5" t="e">
        <f t="shared" ca="1" si="1"/>
        <v>#REF!</v>
      </c>
      <c r="M5" t="e">
        <f t="shared" ca="1" si="1"/>
        <v>#REF!</v>
      </c>
      <c r="N5" t="e">
        <f t="shared" ca="1" si="1"/>
        <v>#REF!</v>
      </c>
      <c r="O5" t="e">
        <f t="shared" ca="1" si="1"/>
        <v>#REF!</v>
      </c>
      <c r="P5" t="e">
        <f t="shared" ca="1" si="1"/>
        <v>#REF!</v>
      </c>
      <c r="Q5" t="e">
        <f t="shared" ca="1" si="1"/>
        <v>#REF!</v>
      </c>
      <c r="R5" t="e">
        <f t="shared" ca="1" si="1"/>
        <v>#REF!</v>
      </c>
      <c r="S5" t="e">
        <f t="shared" ca="1" si="1"/>
        <v>#REF!</v>
      </c>
      <c r="T5" t="e">
        <f t="shared" ca="1" si="1"/>
        <v>#REF!</v>
      </c>
      <c r="U5" t="e">
        <f t="shared" ca="1" si="3"/>
        <v>#REF!</v>
      </c>
      <c r="V5" t="e">
        <f t="shared" ca="1" si="3"/>
        <v>#REF!</v>
      </c>
      <c r="W5" t="e">
        <f t="shared" ca="1" si="3"/>
        <v>#REF!</v>
      </c>
      <c r="X5" t="e">
        <f t="shared" ca="1" si="3"/>
        <v>#REF!</v>
      </c>
      <c r="Y5" t="e">
        <f t="shared" ca="1" si="3"/>
        <v>#REF!</v>
      </c>
      <c r="Z5" t="e">
        <f t="shared" ca="1" si="3"/>
        <v>#REF!</v>
      </c>
      <c r="AA5" t="e">
        <f t="shared" ca="1" si="3"/>
        <v>#REF!</v>
      </c>
      <c r="AB5" s="44" t="e">
        <f t="shared" ca="1" si="3"/>
        <v>#REF!</v>
      </c>
      <c r="AC5" s="44" t="e">
        <f t="shared" ca="1" si="3"/>
        <v>#REF!</v>
      </c>
      <c r="AD5" s="44" t="e">
        <f t="shared" ca="1" si="3"/>
        <v>#REF!</v>
      </c>
      <c r="AE5" s="44" t="e">
        <f t="shared" ca="1" si="3"/>
        <v>#REF!</v>
      </c>
      <c r="AF5" s="44" t="e">
        <f t="shared" ca="1" si="3"/>
        <v>#REF!</v>
      </c>
      <c r="AG5" s="44" t="e">
        <f t="shared" ca="1" si="3"/>
        <v>#REF!</v>
      </c>
      <c r="AH5" s="44" t="e">
        <f t="shared" ca="1" si="3"/>
        <v>#REF!</v>
      </c>
      <c r="AI5" s="44" t="e">
        <f t="shared" ca="1" si="3"/>
        <v>#REF!</v>
      </c>
      <c r="AJ5" s="44" t="e">
        <f t="shared" ca="1" si="3"/>
        <v>#REF!</v>
      </c>
      <c r="AK5" s="44" t="e">
        <f t="shared" ca="1" si="4"/>
        <v>#REF!</v>
      </c>
      <c r="AL5" s="44" t="e">
        <f t="shared" ca="1" si="4"/>
        <v>#REF!</v>
      </c>
      <c r="AM5" s="44" t="e">
        <f t="shared" ca="1" si="4"/>
        <v>#REF!</v>
      </c>
      <c r="AN5" s="44" t="e">
        <f t="shared" ca="1" si="4"/>
        <v>#REF!</v>
      </c>
      <c r="AO5" s="44" t="e">
        <f t="shared" ca="1" si="4"/>
        <v>#REF!</v>
      </c>
      <c r="AP5" s="44" t="e">
        <f t="shared" ca="1" si="4"/>
        <v>#REF!</v>
      </c>
      <c r="AQ5" s="44" t="e">
        <f t="shared" ca="1" si="4"/>
        <v>#REF!</v>
      </c>
      <c r="AR5" s="44" t="e">
        <f t="shared" ca="1" si="4"/>
        <v>#REF!</v>
      </c>
      <c r="AS5" s="44" t="e">
        <f t="shared" ca="1" si="4"/>
        <v>#REF!</v>
      </c>
      <c r="AT5" s="44" t="e">
        <f t="shared" ca="1" si="4"/>
        <v>#REF!</v>
      </c>
      <c r="AU5" t="e">
        <f t="shared" ca="1" si="4"/>
        <v>#REF!</v>
      </c>
      <c r="AV5" t="e">
        <f t="shared" ca="1" si="4"/>
        <v>#REF!</v>
      </c>
      <c r="AW5" t="e">
        <f t="shared" ca="1" si="4"/>
        <v>#REF!</v>
      </c>
      <c r="AX5" t="e">
        <f t="shared" ca="1" si="4"/>
        <v>#REF!</v>
      </c>
      <c r="AY5" t="e">
        <f t="shared" ca="1" si="4"/>
        <v>#REF!</v>
      </c>
      <c r="AZ5" t="e">
        <f t="shared" ca="1" si="4"/>
        <v>#REF!</v>
      </c>
      <c r="BA5" t="e">
        <f t="shared" ca="1" si="5"/>
        <v>#REF!</v>
      </c>
      <c r="BB5" t="e">
        <f t="shared" ca="1" si="5"/>
        <v>#REF!</v>
      </c>
      <c r="BC5" t="e">
        <f t="shared" ca="1" si="5"/>
        <v>#REF!</v>
      </c>
      <c r="BD5" t="e">
        <f t="shared" ca="1" si="5"/>
        <v>#REF!</v>
      </c>
      <c r="BE5" t="e">
        <f t="shared" ca="1" si="5"/>
        <v>#REF!</v>
      </c>
      <c r="BF5" t="e">
        <f t="shared" ca="1" si="5"/>
        <v>#REF!</v>
      </c>
      <c r="BG5" t="e">
        <f t="shared" ca="1" si="5"/>
        <v>#REF!</v>
      </c>
      <c r="BH5" t="e">
        <f t="shared" ca="1" si="5"/>
        <v>#REF!</v>
      </c>
      <c r="BI5" t="e">
        <f t="shared" ca="1" si="5"/>
        <v>#REF!</v>
      </c>
      <c r="BJ5" t="e">
        <f t="shared" ca="1" si="5"/>
        <v>#REF!</v>
      </c>
      <c r="BK5" t="e">
        <f t="shared" ca="1" si="5"/>
        <v>#REF!</v>
      </c>
      <c r="BL5" t="e">
        <f t="shared" ca="1" si="5"/>
        <v>#REF!</v>
      </c>
      <c r="BM5" t="e">
        <f t="shared" ca="1" si="5"/>
        <v>#REF!</v>
      </c>
      <c r="BN5" s="44" t="e">
        <f t="shared" ca="1" si="5"/>
        <v>#REF!</v>
      </c>
      <c r="BO5" s="44" t="e">
        <f t="shared" ca="1" si="5"/>
        <v>#REF!</v>
      </c>
      <c r="BP5" s="44" t="e">
        <f t="shared" ca="1" si="5"/>
        <v>#REF!</v>
      </c>
      <c r="BQ5" s="44" t="e">
        <f t="shared" ca="1" si="6"/>
        <v>#REF!</v>
      </c>
      <c r="BR5" s="44" t="e">
        <f t="shared" ca="1" si="6"/>
        <v>#REF!</v>
      </c>
      <c r="BS5" s="44" t="e">
        <f t="shared" ca="1" si="6"/>
        <v>#REF!</v>
      </c>
      <c r="BT5" s="44" t="e">
        <f t="shared" ca="1" si="6"/>
        <v>#REF!</v>
      </c>
      <c r="BU5" s="44" t="e">
        <f t="shared" ca="1" si="6"/>
        <v>#REF!</v>
      </c>
      <c r="BV5" s="44" t="e">
        <f t="shared" ca="1" si="6"/>
        <v>#REF!</v>
      </c>
      <c r="BW5" s="44" t="e">
        <f t="shared" ca="1" si="6"/>
        <v>#REF!</v>
      </c>
      <c r="BX5" s="44" t="e">
        <f t="shared" ca="1" si="6"/>
        <v>#REF!</v>
      </c>
      <c r="BY5" s="44" t="e">
        <f t="shared" ca="1" si="6"/>
        <v>#REF!</v>
      </c>
      <c r="BZ5" s="44" t="e">
        <f t="shared" ca="1" si="6"/>
        <v>#REF!</v>
      </c>
      <c r="CA5" s="44" t="e">
        <f t="shared" ca="1" si="6"/>
        <v>#REF!</v>
      </c>
      <c r="CB5" s="44" t="e">
        <f t="shared" ca="1" si="6"/>
        <v>#REF!</v>
      </c>
      <c r="CC5" s="44" t="e">
        <f t="shared" ca="1" si="6"/>
        <v>#REF!</v>
      </c>
      <c r="CD5" s="44" t="e">
        <f t="shared" ca="1" si="6"/>
        <v>#REF!</v>
      </c>
      <c r="CE5" s="44" t="e">
        <f t="shared" ca="1" si="6"/>
        <v>#REF!</v>
      </c>
      <c r="CF5" s="44" t="e">
        <f t="shared" ca="1" si="6"/>
        <v>#REF!</v>
      </c>
      <c r="CG5" t="e">
        <f t="shared" ca="1" si="7"/>
        <v>#REF!</v>
      </c>
      <c r="CH5" t="e">
        <f t="shared" ca="1" si="7"/>
        <v>#REF!</v>
      </c>
      <c r="CI5" t="e">
        <f t="shared" ca="1" si="7"/>
        <v>#REF!</v>
      </c>
      <c r="CJ5" t="e">
        <f t="shared" ca="1" si="7"/>
        <v>#REF!</v>
      </c>
      <c r="CK5" t="e">
        <f t="shared" ca="1" si="7"/>
        <v>#REF!</v>
      </c>
      <c r="CL5" t="e">
        <f t="shared" ca="1" si="7"/>
        <v>#REF!</v>
      </c>
      <c r="CM5" t="e">
        <f t="shared" ca="1" si="7"/>
        <v>#REF!</v>
      </c>
      <c r="CN5" t="e">
        <f t="shared" ca="1" si="7"/>
        <v>#REF!</v>
      </c>
      <c r="CO5" t="e">
        <f t="shared" ca="1" si="7"/>
        <v>#REF!</v>
      </c>
      <c r="CP5" t="e">
        <f t="shared" ca="1" si="7"/>
        <v>#REF!</v>
      </c>
      <c r="CQ5" t="e">
        <f t="shared" ca="1" si="7"/>
        <v>#REF!</v>
      </c>
      <c r="CR5" t="e">
        <f t="shared" ca="1" si="7"/>
        <v>#REF!</v>
      </c>
      <c r="CS5" t="e">
        <f t="shared" ca="1" si="7"/>
        <v>#REF!</v>
      </c>
      <c r="CT5" t="e">
        <f t="shared" ca="1" si="7"/>
        <v>#REF!</v>
      </c>
      <c r="CU5" t="e">
        <f t="shared" ca="1" si="7"/>
        <v>#REF!</v>
      </c>
      <c r="CV5" t="e">
        <f t="shared" ca="1" si="7"/>
        <v>#REF!</v>
      </c>
      <c r="CW5" t="e">
        <f t="shared" ca="1" si="8"/>
        <v>#REF!</v>
      </c>
      <c r="CX5" t="e">
        <f t="shared" ca="1" si="8"/>
        <v>#REF!</v>
      </c>
      <c r="CY5" t="e">
        <f t="shared" ca="1" si="8"/>
        <v>#REF!</v>
      </c>
      <c r="CZ5" s="44" t="e">
        <f t="shared" ca="1" si="8"/>
        <v>#REF!</v>
      </c>
      <c r="DA5" s="44" t="e">
        <f t="shared" ca="1" si="8"/>
        <v>#REF!</v>
      </c>
      <c r="DB5" s="44" t="e">
        <f t="shared" ca="1" si="8"/>
        <v>#REF!</v>
      </c>
      <c r="DC5" s="44" t="e">
        <f t="shared" ca="1" si="8"/>
        <v>#REF!</v>
      </c>
      <c r="DD5" s="44" t="e">
        <f t="shared" ca="1" si="8"/>
        <v>#REF!</v>
      </c>
      <c r="DE5" s="44" t="e">
        <f t="shared" ca="1" si="8"/>
        <v>#REF!</v>
      </c>
      <c r="DF5" s="44" t="e">
        <f t="shared" ca="1" si="8"/>
        <v>#REF!</v>
      </c>
      <c r="DG5" s="44" t="e">
        <f t="shared" ca="1" si="8"/>
        <v>#REF!</v>
      </c>
      <c r="DH5" s="44" t="e">
        <f t="shared" ca="1" si="8"/>
        <v>#REF!</v>
      </c>
      <c r="DI5" s="44" t="e">
        <f t="shared" ca="1" si="8"/>
        <v>#REF!</v>
      </c>
      <c r="DJ5" s="44" t="e">
        <f t="shared" ca="1" si="8"/>
        <v>#REF!</v>
      </c>
      <c r="DK5" s="44" t="e">
        <f t="shared" ca="1" si="8"/>
        <v>#REF!</v>
      </c>
      <c r="DL5" s="44" t="e">
        <f t="shared" ca="1" si="8"/>
        <v>#REF!</v>
      </c>
      <c r="DM5" s="44" t="e">
        <f t="shared" ca="1" si="9"/>
        <v>#REF!</v>
      </c>
      <c r="DN5" s="44" t="e">
        <f t="shared" ca="1" si="9"/>
        <v>#REF!</v>
      </c>
      <c r="DO5" s="44" t="e">
        <f t="shared" ca="1" si="9"/>
        <v>#REF!</v>
      </c>
      <c r="DP5" s="44" t="e">
        <f t="shared" ca="1" si="9"/>
        <v>#REF!</v>
      </c>
      <c r="DQ5" s="44" t="e">
        <f t="shared" ca="1" si="9"/>
        <v>#REF!</v>
      </c>
      <c r="DR5" s="44" t="e">
        <f t="shared" ca="1" si="9"/>
        <v>#REF!</v>
      </c>
      <c r="DS5" t="e">
        <f t="shared" ca="1" si="9"/>
        <v>#REF!</v>
      </c>
      <c r="DT5" t="e">
        <f t="shared" ca="1" si="9"/>
        <v>#REF!</v>
      </c>
      <c r="DU5" t="e">
        <f t="shared" ca="1" si="9"/>
        <v>#REF!</v>
      </c>
      <c r="DV5" t="e">
        <f t="shared" ca="1" si="9"/>
        <v>#REF!</v>
      </c>
      <c r="DW5" t="e">
        <f t="shared" ca="1" si="9"/>
        <v>#REF!</v>
      </c>
      <c r="DX5" t="e">
        <f t="shared" ca="1" si="9"/>
        <v>#REF!</v>
      </c>
      <c r="DY5" t="e">
        <f t="shared" ca="1" si="9"/>
        <v>#REF!</v>
      </c>
      <c r="DZ5" t="e">
        <f t="shared" ca="1" si="9"/>
        <v>#REF!</v>
      </c>
      <c r="EA5" t="e">
        <f t="shared" ca="1" si="9"/>
        <v>#REF!</v>
      </c>
      <c r="EB5" t="e">
        <f t="shared" ca="1" si="9"/>
        <v>#REF!</v>
      </c>
      <c r="EC5" t="e">
        <f t="shared" ca="1" si="10"/>
        <v>#REF!</v>
      </c>
      <c r="ED5" t="e">
        <f t="shared" ca="1" si="10"/>
        <v>#REF!</v>
      </c>
      <c r="EE5" t="e">
        <f t="shared" ca="1" si="10"/>
        <v>#REF!</v>
      </c>
      <c r="EF5" t="e">
        <f t="shared" ca="1" si="10"/>
        <v>#REF!</v>
      </c>
      <c r="EG5" t="e">
        <f t="shared" ca="1" si="10"/>
        <v>#REF!</v>
      </c>
      <c r="EH5" t="e">
        <f t="shared" ca="1" si="10"/>
        <v>#REF!</v>
      </c>
      <c r="EI5" t="e">
        <f t="shared" ca="1" si="10"/>
        <v>#REF!</v>
      </c>
      <c r="EJ5" t="e">
        <f t="shared" ca="1" si="10"/>
        <v>#REF!</v>
      </c>
      <c r="EK5" s="44" t="e">
        <f t="shared" ca="1" si="10"/>
        <v>#REF!</v>
      </c>
      <c r="EL5" s="44" t="e">
        <f t="shared" ca="1" si="10"/>
        <v>#REF!</v>
      </c>
      <c r="EM5" s="44" t="e">
        <f t="shared" ca="1" si="10"/>
        <v>#REF!</v>
      </c>
      <c r="EN5" s="44" t="e">
        <f t="shared" ca="1" si="10"/>
        <v>#REF!</v>
      </c>
      <c r="EO5" s="44" t="e">
        <f t="shared" ca="1" si="10"/>
        <v>#REF!</v>
      </c>
      <c r="EP5" s="44" t="e">
        <f t="shared" ca="1" si="10"/>
        <v>#REF!</v>
      </c>
      <c r="EQ5" s="44" t="e">
        <f t="shared" ca="1" si="10"/>
        <v>#REF!</v>
      </c>
      <c r="ER5" s="44" t="e">
        <f t="shared" ca="1" si="10"/>
        <v>#REF!</v>
      </c>
      <c r="ES5" s="44" t="e">
        <f t="shared" ca="1" si="11"/>
        <v>#REF!</v>
      </c>
      <c r="ET5" s="44" t="e">
        <f t="shared" ca="1" si="11"/>
        <v>#REF!</v>
      </c>
      <c r="EU5" s="44" t="e">
        <f t="shared" ca="1" si="11"/>
        <v>#REF!</v>
      </c>
      <c r="EV5" s="44" t="e">
        <f t="shared" ca="1" si="11"/>
        <v>#REF!</v>
      </c>
      <c r="EW5" s="44" t="e">
        <f t="shared" ca="1" si="11"/>
        <v>#REF!</v>
      </c>
      <c r="EX5" s="44" t="e">
        <f t="shared" ca="1" si="11"/>
        <v>#REF!</v>
      </c>
      <c r="EY5" s="44" t="e">
        <f t="shared" ca="1" si="11"/>
        <v>#REF!</v>
      </c>
      <c r="EZ5" s="44" t="e">
        <f t="shared" ca="1" si="11"/>
        <v>#REF!</v>
      </c>
      <c r="FA5" s="44" t="e">
        <f t="shared" ca="1" si="11"/>
        <v>#REF!</v>
      </c>
      <c r="FB5" s="44" t="e">
        <f t="shared" ca="1" si="11"/>
        <v>#REF!</v>
      </c>
      <c r="FC5" s="56" t="e">
        <f t="shared" ca="1" si="11"/>
        <v>#REF!</v>
      </c>
      <c r="FD5" t="e">
        <f t="shared" ca="1" si="11"/>
        <v>#REF!</v>
      </c>
      <c r="FE5" t="e">
        <f t="shared" ca="1" si="11"/>
        <v>#REF!</v>
      </c>
      <c r="FF5" t="e">
        <f t="shared" ca="1" si="11"/>
        <v>#REF!</v>
      </c>
      <c r="FG5" t="e">
        <f t="shared" ca="1" si="11"/>
        <v>#REF!</v>
      </c>
      <c r="FH5" t="e">
        <f t="shared" ca="1" si="11"/>
        <v>#REF!</v>
      </c>
      <c r="FI5" t="e">
        <f t="shared" ca="1" si="12"/>
        <v>#REF!</v>
      </c>
      <c r="FJ5" t="e">
        <f t="shared" ca="1" si="12"/>
        <v>#REF!</v>
      </c>
      <c r="FK5" t="e">
        <f t="shared" ca="1" si="12"/>
        <v>#REF!</v>
      </c>
      <c r="FL5" t="e">
        <f t="shared" ca="1" si="12"/>
        <v>#REF!</v>
      </c>
      <c r="FM5" t="e">
        <f t="shared" ca="1" si="12"/>
        <v>#REF!</v>
      </c>
      <c r="FN5" t="e">
        <f t="shared" ca="1" si="12"/>
        <v>#REF!</v>
      </c>
      <c r="FO5" t="e">
        <f t="shared" ca="1" si="12"/>
        <v>#REF!</v>
      </c>
      <c r="FP5" t="e">
        <f t="shared" ca="1" si="12"/>
        <v>#REF!</v>
      </c>
      <c r="FQ5" t="e">
        <f t="shared" ca="1" si="12"/>
        <v>#REF!</v>
      </c>
      <c r="FR5" t="e">
        <f t="shared" ca="1" si="12"/>
        <v>#REF!</v>
      </c>
      <c r="FS5" t="e">
        <f t="shared" ca="1" si="12"/>
        <v>#REF!</v>
      </c>
      <c r="FT5" t="e">
        <f t="shared" ca="1" si="12"/>
        <v>#REF!</v>
      </c>
    </row>
    <row r="6" spans="1:176" ht="15" x14ac:dyDescent="0.25">
      <c r="A6" s="240">
        <v>139</v>
      </c>
      <c r="B6" t="e">
        <f t="shared" ca="1" si="0"/>
        <v>#REF!</v>
      </c>
      <c r="C6" t="e">
        <f t="shared" ca="1" si="1"/>
        <v>#REF!</v>
      </c>
      <c r="D6" t="e">
        <f t="shared" ca="1" si="1"/>
        <v>#REF!</v>
      </c>
      <c r="E6" t="e">
        <f t="shared" ca="1" si="1"/>
        <v>#REF!</v>
      </c>
      <c r="F6" t="e">
        <f t="shared" ca="1" si="13"/>
        <v>#REF!</v>
      </c>
      <c r="G6" t="e">
        <f t="shared" ca="1" si="2"/>
        <v>#REF!</v>
      </c>
      <c r="H6" t="e">
        <f t="shared" ca="1" si="2"/>
        <v>#REF!</v>
      </c>
      <c r="I6" t="e">
        <f t="shared" ca="1" si="1"/>
        <v>#REF!</v>
      </c>
      <c r="J6" t="e">
        <f t="shared" ca="1" si="1"/>
        <v>#REF!</v>
      </c>
      <c r="K6" t="e">
        <f t="shared" ca="1" si="1"/>
        <v>#REF!</v>
      </c>
      <c r="L6" t="e">
        <f t="shared" ca="1" si="1"/>
        <v>#REF!</v>
      </c>
      <c r="M6" t="e">
        <f t="shared" ca="1" si="1"/>
        <v>#REF!</v>
      </c>
      <c r="N6" t="e">
        <f t="shared" ca="1" si="1"/>
        <v>#REF!</v>
      </c>
      <c r="O6" t="e">
        <f t="shared" ca="1" si="1"/>
        <v>#REF!</v>
      </c>
      <c r="P6" t="e">
        <f t="shared" ca="1" si="1"/>
        <v>#REF!</v>
      </c>
      <c r="Q6" t="e">
        <f t="shared" ca="1" si="1"/>
        <v>#REF!</v>
      </c>
      <c r="R6" t="e">
        <f t="shared" ca="1" si="1"/>
        <v>#REF!</v>
      </c>
      <c r="S6" t="e">
        <f t="shared" ca="1" si="1"/>
        <v>#REF!</v>
      </c>
      <c r="T6" t="e">
        <f t="shared" ca="1" si="1"/>
        <v>#REF!</v>
      </c>
      <c r="U6" t="e">
        <f t="shared" ca="1" si="3"/>
        <v>#REF!</v>
      </c>
      <c r="V6" t="e">
        <f t="shared" ca="1" si="3"/>
        <v>#REF!</v>
      </c>
      <c r="W6" t="e">
        <f t="shared" ca="1" si="3"/>
        <v>#REF!</v>
      </c>
      <c r="X6" t="e">
        <f t="shared" ca="1" si="3"/>
        <v>#REF!</v>
      </c>
      <c r="Y6" t="e">
        <f t="shared" ca="1" si="3"/>
        <v>#REF!</v>
      </c>
      <c r="Z6" t="e">
        <f t="shared" ca="1" si="3"/>
        <v>#REF!</v>
      </c>
      <c r="AA6" t="e">
        <f t="shared" ca="1" si="3"/>
        <v>#REF!</v>
      </c>
      <c r="AB6" s="44" t="e">
        <f t="shared" ca="1" si="3"/>
        <v>#REF!</v>
      </c>
      <c r="AC6" s="44" t="e">
        <f t="shared" ca="1" si="3"/>
        <v>#REF!</v>
      </c>
      <c r="AD6" s="44" t="e">
        <f t="shared" ca="1" si="3"/>
        <v>#REF!</v>
      </c>
      <c r="AE6" s="44" t="e">
        <f t="shared" ca="1" si="3"/>
        <v>#REF!</v>
      </c>
      <c r="AF6" s="44" t="e">
        <f t="shared" ca="1" si="3"/>
        <v>#REF!</v>
      </c>
      <c r="AG6" s="44" t="e">
        <f t="shared" ca="1" si="3"/>
        <v>#REF!</v>
      </c>
      <c r="AH6" s="44" t="e">
        <f t="shared" ca="1" si="3"/>
        <v>#REF!</v>
      </c>
      <c r="AI6" s="44" t="e">
        <f t="shared" ca="1" si="3"/>
        <v>#REF!</v>
      </c>
      <c r="AJ6" s="44" t="e">
        <f t="shared" ca="1" si="3"/>
        <v>#REF!</v>
      </c>
      <c r="AK6" s="44" t="e">
        <f t="shared" ca="1" si="4"/>
        <v>#REF!</v>
      </c>
      <c r="AL6" s="44" t="e">
        <f t="shared" ca="1" si="4"/>
        <v>#REF!</v>
      </c>
      <c r="AM6" s="44" t="e">
        <f t="shared" ca="1" si="4"/>
        <v>#REF!</v>
      </c>
      <c r="AN6" s="44" t="e">
        <f t="shared" ca="1" si="4"/>
        <v>#REF!</v>
      </c>
      <c r="AO6" s="44" t="e">
        <f t="shared" ca="1" si="4"/>
        <v>#REF!</v>
      </c>
      <c r="AP6" s="44" t="e">
        <f t="shared" ca="1" si="4"/>
        <v>#REF!</v>
      </c>
      <c r="AQ6" s="44" t="e">
        <f t="shared" ca="1" si="4"/>
        <v>#REF!</v>
      </c>
      <c r="AR6" s="44" t="e">
        <f t="shared" ca="1" si="4"/>
        <v>#REF!</v>
      </c>
      <c r="AS6" s="44" t="e">
        <f t="shared" ca="1" si="4"/>
        <v>#REF!</v>
      </c>
      <c r="AT6" s="44" t="e">
        <f t="shared" ca="1" si="4"/>
        <v>#REF!</v>
      </c>
      <c r="AU6" t="e">
        <f t="shared" ca="1" si="4"/>
        <v>#REF!</v>
      </c>
      <c r="AV6" t="e">
        <f t="shared" ca="1" si="4"/>
        <v>#REF!</v>
      </c>
      <c r="AW6" t="e">
        <f t="shared" ca="1" si="4"/>
        <v>#REF!</v>
      </c>
      <c r="AX6" t="e">
        <f t="shared" ca="1" si="4"/>
        <v>#REF!</v>
      </c>
      <c r="AY6" t="e">
        <f t="shared" ca="1" si="4"/>
        <v>#REF!</v>
      </c>
      <c r="AZ6" t="e">
        <f t="shared" ca="1" si="4"/>
        <v>#REF!</v>
      </c>
      <c r="BA6" t="e">
        <f t="shared" ca="1" si="5"/>
        <v>#REF!</v>
      </c>
      <c r="BB6" t="e">
        <f t="shared" ca="1" si="5"/>
        <v>#REF!</v>
      </c>
      <c r="BC6" t="e">
        <f t="shared" ca="1" si="5"/>
        <v>#REF!</v>
      </c>
      <c r="BD6" t="e">
        <f t="shared" ca="1" si="5"/>
        <v>#REF!</v>
      </c>
      <c r="BE6" t="e">
        <f t="shared" ca="1" si="5"/>
        <v>#REF!</v>
      </c>
      <c r="BF6" t="e">
        <f t="shared" ca="1" si="5"/>
        <v>#REF!</v>
      </c>
      <c r="BG6" t="e">
        <f t="shared" ca="1" si="5"/>
        <v>#REF!</v>
      </c>
      <c r="BH6" t="e">
        <f t="shared" ca="1" si="5"/>
        <v>#REF!</v>
      </c>
      <c r="BI6" t="e">
        <f t="shared" ca="1" si="5"/>
        <v>#REF!</v>
      </c>
      <c r="BJ6" t="e">
        <f t="shared" ca="1" si="5"/>
        <v>#REF!</v>
      </c>
      <c r="BK6" t="e">
        <f t="shared" ca="1" si="5"/>
        <v>#REF!</v>
      </c>
      <c r="BL6" t="e">
        <f t="shared" ca="1" si="5"/>
        <v>#REF!</v>
      </c>
      <c r="BM6" t="e">
        <f t="shared" ca="1" si="5"/>
        <v>#REF!</v>
      </c>
      <c r="BN6" s="44" t="e">
        <f t="shared" ca="1" si="5"/>
        <v>#REF!</v>
      </c>
      <c r="BO6" s="44" t="e">
        <f t="shared" ca="1" si="5"/>
        <v>#REF!</v>
      </c>
      <c r="BP6" s="44" t="e">
        <f t="shared" ca="1" si="5"/>
        <v>#REF!</v>
      </c>
      <c r="BQ6" s="44" t="e">
        <f t="shared" ca="1" si="6"/>
        <v>#REF!</v>
      </c>
      <c r="BR6" s="44" t="e">
        <f t="shared" ca="1" si="6"/>
        <v>#REF!</v>
      </c>
      <c r="BS6" s="44" t="e">
        <f t="shared" ca="1" si="6"/>
        <v>#REF!</v>
      </c>
      <c r="BT6" s="44" t="e">
        <f t="shared" ca="1" si="6"/>
        <v>#REF!</v>
      </c>
      <c r="BU6" s="44" t="e">
        <f t="shared" ca="1" si="6"/>
        <v>#REF!</v>
      </c>
      <c r="BV6" s="44" t="e">
        <f t="shared" ca="1" si="6"/>
        <v>#REF!</v>
      </c>
      <c r="BW6" s="44" t="e">
        <f t="shared" ca="1" si="6"/>
        <v>#REF!</v>
      </c>
      <c r="BX6" s="44" t="e">
        <f t="shared" ca="1" si="6"/>
        <v>#REF!</v>
      </c>
      <c r="BY6" s="44" t="e">
        <f t="shared" ca="1" si="6"/>
        <v>#REF!</v>
      </c>
      <c r="BZ6" s="44" t="e">
        <f t="shared" ca="1" si="6"/>
        <v>#REF!</v>
      </c>
      <c r="CA6" s="44" t="e">
        <f t="shared" ca="1" si="6"/>
        <v>#REF!</v>
      </c>
      <c r="CB6" s="44" t="e">
        <f t="shared" ca="1" si="6"/>
        <v>#REF!</v>
      </c>
      <c r="CC6" s="44" t="e">
        <f t="shared" ca="1" si="6"/>
        <v>#REF!</v>
      </c>
      <c r="CD6" s="44" t="e">
        <f t="shared" ca="1" si="6"/>
        <v>#REF!</v>
      </c>
      <c r="CE6" s="44" t="e">
        <f t="shared" ca="1" si="6"/>
        <v>#REF!</v>
      </c>
      <c r="CF6" s="44" t="e">
        <f t="shared" ca="1" si="6"/>
        <v>#REF!</v>
      </c>
      <c r="CG6" t="e">
        <f t="shared" ca="1" si="7"/>
        <v>#REF!</v>
      </c>
      <c r="CH6" t="e">
        <f t="shared" ca="1" si="7"/>
        <v>#REF!</v>
      </c>
      <c r="CI6" t="e">
        <f t="shared" ca="1" si="7"/>
        <v>#REF!</v>
      </c>
      <c r="CJ6" t="e">
        <f t="shared" ca="1" si="7"/>
        <v>#REF!</v>
      </c>
      <c r="CK6" t="e">
        <f t="shared" ca="1" si="7"/>
        <v>#REF!</v>
      </c>
      <c r="CL6" t="e">
        <f t="shared" ca="1" si="7"/>
        <v>#REF!</v>
      </c>
      <c r="CM6" t="e">
        <f t="shared" ca="1" si="7"/>
        <v>#REF!</v>
      </c>
      <c r="CN6" t="e">
        <f t="shared" ca="1" si="7"/>
        <v>#REF!</v>
      </c>
      <c r="CO6" t="e">
        <f t="shared" ca="1" si="7"/>
        <v>#REF!</v>
      </c>
      <c r="CP6" t="e">
        <f t="shared" ca="1" si="7"/>
        <v>#REF!</v>
      </c>
      <c r="CQ6" t="e">
        <f t="shared" ca="1" si="7"/>
        <v>#REF!</v>
      </c>
      <c r="CR6" t="e">
        <f t="shared" ca="1" si="7"/>
        <v>#REF!</v>
      </c>
      <c r="CS6" t="e">
        <f t="shared" ca="1" si="7"/>
        <v>#REF!</v>
      </c>
      <c r="CT6" t="e">
        <f t="shared" ca="1" si="7"/>
        <v>#REF!</v>
      </c>
      <c r="CU6" t="e">
        <f t="shared" ca="1" si="7"/>
        <v>#REF!</v>
      </c>
      <c r="CV6" t="e">
        <f t="shared" ca="1" si="7"/>
        <v>#REF!</v>
      </c>
      <c r="CW6" t="e">
        <f t="shared" ca="1" si="8"/>
        <v>#REF!</v>
      </c>
      <c r="CX6" t="e">
        <f t="shared" ca="1" si="8"/>
        <v>#REF!</v>
      </c>
      <c r="CY6" t="e">
        <f t="shared" ca="1" si="8"/>
        <v>#REF!</v>
      </c>
      <c r="CZ6" s="44" t="e">
        <f t="shared" ca="1" si="8"/>
        <v>#REF!</v>
      </c>
      <c r="DA6" s="44" t="e">
        <f t="shared" ca="1" si="8"/>
        <v>#REF!</v>
      </c>
      <c r="DB6" s="44" t="e">
        <f t="shared" ca="1" si="8"/>
        <v>#REF!</v>
      </c>
      <c r="DC6" s="44" t="e">
        <f t="shared" ca="1" si="8"/>
        <v>#REF!</v>
      </c>
      <c r="DD6" s="44" t="e">
        <f t="shared" ca="1" si="8"/>
        <v>#REF!</v>
      </c>
      <c r="DE6" s="44" t="e">
        <f t="shared" ca="1" si="8"/>
        <v>#REF!</v>
      </c>
      <c r="DF6" s="44" t="e">
        <f t="shared" ca="1" si="8"/>
        <v>#REF!</v>
      </c>
      <c r="DG6" s="44" t="e">
        <f t="shared" ca="1" si="8"/>
        <v>#REF!</v>
      </c>
      <c r="DH6" s="44" t="e">
        <f t="shared" ca="1" si="8"/>
        <v>#REF!</v>
      </c>
      <c r="DI6" s="44" t="e">
        <f t="shared" ca="1" si="8"/>
        <v>#REF!</v>
      </c>
      <c r="DJ6" s="44" t="e">
        <f t="shared" ca="1" si="8"/>
        <v>#REF!</v>
      </c>
      <c r="DK6" s="44" t="e">
        <f t="shared" ca="1" si="8"/>
        <v>#REF!</v>
      </c>
      <c r="DL6" s="44" t="e">
        <f t="shared" ca="1" si="8"/>
        <v>#REF!</v>
      </c>
      <c r="DM6" s="44" t="e">
        <f t="shared" ca="1" si="9"/>
        <v>#REF!</v>
      </c>
      <c r="DN6" s="44" t="e">
        <f t="shared" ca="1" si="9"/>
        <v>#REF!</v>
      </c>
      <c r="DO6" s="44" t="e">
        <f t="shared" ca="1" si="9"/>
        <v>#REF!</v>
      </c>
      <c r="DP6" s="44" t="e">
        <f t="shared" ca="1" si="9"/>
        <v>#REF!</v>
      </c>
      <c r="DQ6" s="44" t="e">
        <f t="shared" ca="1" si="9"/>
        <v>#REF!</v>
      </c>
      <c r="DR6" s="44" t="e">
        <f t="shared" ca="1" si="9"/>
        <v>#REF!</v>
      </c>
      <c r="DS6" t="e">
        <f t="shared" ca="1" si="9"/>
        <v>#REF!</v>
      </c>
      <c r="DT6" t="e">
        <f t="shared" ca="1" si="9"/>
        <v>#REF!</v>
      </c>
      <c r="DU6" t="e">
        <f t="shared" ca="1" si="9"/>
        <v>#REF!</v>
      </c>
      <c r="DV6" t="e">
        <f t="shared" ca="1" si="9"/>
        <v>#REF!</v>
      </c>
      <c r="DW6" t="e">
        <f t="shared" ca="1" si="9"/>
        <v>#REF!</v>
      </c>
      <c r="DX6" t="e">
        <f t="shared" ca="1" si="9"/>
        <v>#REF!</v>
      </c>
      <c r="DY6" t="e">
        <f t="shared" ca="1" si="9"/>
        <v>#REF!</v>
      </c>
      <c r="DZ6" t="e">
        <f t="shared" ca="1" si="9"/>
        <v>#REF!</v>
      </c>
      <c r="EA6" t="e">
        <f t="shared" ca="1" si="9"/>
        <v>#REF!</v>
      </c>
      <c r="EB6" t="e">
        <f t="shared" ca="1" si="9"/>
        <v>#REF!</v>
      </c>
      <c r="EC6" t="e">
        <f t="shared" ca="1" si="10"/>
        <v>#REF!</v>
      </c>
      <c r="ED6" t="e">
        <f t="shared" ca="1" si="10"/>
        <v>#REF!</v>
      </c>
      <c r="EE6" t="e">
        <f t="shared" ca="1" si="10"/>
        <v>#REF!</v>
      </c>
      <c r="EF6" t="e">
        <f t="shared" ca="1" si="10"/>
        <v>#REF!</v>
      </c>
      <c r="EG6" t="e">
        <f t="shared" ca="1" si="10"/>
        <v>#REF!</v>
      </c>
      <c r="EH6" t="e">
        <f t="shared" ca="1" si="10"/>
        <v>#REF!</v>
      </c>
      <c r="EI6" t="e">
        <f t="shared" ca="1" si="10"/>
        <v>#REF!</v>
      </c>
      <c r="EJ6" t="e">
        <f t="shared" ca="1" si="10"/>
        <v>#REF!</v>
      </c>
      <c r="EK6" s="44" t="e">
        <f t="shared" ca="1" si="10"/>
        <v>#REF!</v>
      </c>
      <c r="EL6" s="44" t="e">
        <f t="shared" ca="1" si="10"/>
        <v>#REF!</v>
      </c>
      <c r="EM6" s="44" t="e">
        <f t="shared" ca="1" si="10"/>
        <v>#REF!</v>
      </c>
      <c r="EN6" s="44" t="e">
        <f t="shared" ca="1" si="10"/>
        <v>#REF!</v>
      </c>
      <c r="EO6" s="44" t="e">
        <f t="shared" ca="1" si="10"/>
        <v>#REF!</v>
      </c>
      <c r="EP6" s="44" t="e">
        <f t="shared" ca="1" si="10"/>
        <v>#REF!</v>
      </c>
      <c r="EQ6" s="44" t="e">
        <f t="shared" ca="1" si="10"/>
        <v>#REF!</v>
      </c>
      <c r="ER6" s="44" t="e">
        <f t="shared" ca="1" si="10"/>
        <v>#REF!</v>
      </c>
      <c r="ES6" s="44" t="e">
        <f t="shared" ca="1" si="11"/>
        <v>#REF!</v>
      </c>
      <c r="ET6" s="44" t="e">
        <f t="shared" ca="1" si="11"/>
        <v>#REF!</v>
      </c>
      <c r="EU6" s="44" t="e">
        <f t="shared" ca="1" si="11"/>
        <v>#REF!</v>
      </c>
      <c r="EV6" s="44" t="e">
        <f t="shared" ca="1" si="11"/>
        <v>#REF!</v>
      </c>
      <c r="EW6" s="44" t="e">
        <f t="shared" ca="1" si="11"/>
        <v>#REF!</v>
      </c>
      <c r="EX6" s="44" t="e">
        <f t="shared" ca="1" si="11"/>
        <v>#REF!</v>
      </c>
      <c r="EY6" s="44" t="e">
        <f t="shared" ca="1" si="11"/>
        <v>#REF!</v>
      </c>
      <c r="EZ6" s="44" t="e">
        <f t="shared" ca="1" si="11"/>
        <v>#REF!</v>
      </c>
      <c r="FA6" s="44" t="e">
        <f t="shared" ca="1" si="11"/>
        <v>#REF!</v>
      </c>
      <c r="FB6" s="44" t="e">
        <f t="shared" ca="1" si="11"/>
        <v>#REF!</v>
      </c>
      <c r="FC6" s="56" t="e">
        <f t="shared" ca="1" si="11"/>
        <v>#REF!</v>
      </c>
      <c r="FD6" t="e">
        <f t="shared" ca="1" si="11"/>
        <v>#REF!</v>
      </c>
      <c r="FE6" t="e">
        <f t="shared" ca="1" si="11"/>
        <v>#REF!</v>
      </c>
      <c r="FF6" t="e">
        <f t="shared" ca="1" si="11"/>
        <v>#REF!</v>
      </c>
      <c r="FG6" t="e">
        <f t="shared" ca="1" si="11"/>
        <v>#REF!</v>
      </c>
      <c r="FH6" t="e">
        <f t="shared" ca="1" si="11"/>
        <v>#REF!</v>
      </c>
      <c r="FI6" t="e">
        <f t="shared" ca="1" si="12"/>
        <v>#REF!</v>
      </c>
      <c r="FJ6" t="e">
        <f t="shared" ca="1" si="12"/>
        <v>#REF!</v>
      </c>
      <c r="FK6" t="e">
        <f t="shared" ca="1" si="12"/>
        <v>#REF!</v>
      </c>
      <c r="FL6" t="e">
        <f t="shared" ca="1" si="12"/>
        <v>#REF!</v>
      </c>
      <c r="FM6" t="e">
        <f t="shared" ca="1" si="12"/>
        <v>#REF!</v>
      </c>
      <c r="FN6" t="e">
        <f t="shared" ca="1" si="12"/>
        <v>#REF!</v>
      </c>
      <c r="FO6" t="e">
        <f t="shared" ca="1" si="12"/>
        <v>#REF!</v>
      </c>
      <c r="FP6" t="e">
        <f t="shared" ca="1" si="12"/>
        <v>#REF!</v>
      </c>
      <c r="FQ6" t="e">
        <f t="shared" ca="1" si="12"/>
        <v>#REF!</v>
      </c>
      <c r="FR6" t="e">
        <f t="shared" ca="1" si="12"/>
        <v>#REF!</v>
      </c>
      <c r="FS6" t="e">
        <f t="shared" ca="1" si="12"/>
        <v>#REF!</v>
      </c>
      <c r="FT6" t="e">
        <f t="shared" ca="1" si="12"/>
        <v>#REF!</v>
      </c>
    </row>
    <row r="7" spans="1:176" ht="15" x14ac:dyDescent="0.25">
      <c r="A7" s="240">
        <v>140</v>
      </c>
      <c r="B7" t="e">
        <f t="shared" ca="1" si="0"/>
        <v>#REF!</v>
      </c>
      <c r="C7" t="e">
        <f t="shared" ca="1" si="1"/>
        <v>#REF!</v>
      </c>
      <c r="D7" t="e">
        <f t="shared" ca="1" si="1"/>
        <v>#REF!</v>
      </c>
      <c r="E7" t="e">
        <f t="shared" ca="1" si="1"/>
        <v>#REF!</v>
      </c>
      <c r="F7" t="e">
        <f t="shared" ca="1" si="13"/>
        <v>#REF!</v>
      </c>
      <c r="G7" t="e">
        <f t="shared" ca="1" si="2"/>
        <v>#REF!</v>
      </c>
      <c r="H7" t="e">
        <f t="shared" ca="1" si="2"/>
        <v>#REF!</v>
      </c>
      <c r="I7" t="e">
        <f t="shared" ca="1" si="1"/>
        <v>#REF!</v>
      </c>
      <c r="J7" t="e">
        <f t="shared" ca="1" si="1"/>
        <v>#REF!</v>
      </c>
      <c r="K7" t="e">
        <f t="shared" ca="1" si="1"/>
        <v>#REF!</v>
      </c>
      <c r="L7" t="e">
        <f t="shared" ca="1" si="1"/>
        <v>#REF!</v>
      </c>
      <c r="M7" t="e">
        <f t="shared" ca="1" si="1"/>
        <v>#REF!</v>
      </c>
      <c r="N7" t="e">
        <f t="shared" ca="1" si="1"/>
        <v>#REF!</v>
      </c>
      <c r="O7" t="e">
        <f t="shared" ca="1" si="1"/>
        <v>#REF!</v>
      </c>
      <c r="P7" t="e">
        <f t="shared" ca="1" si="1"/>
        <v>#REF!</v>
      </c>
      <c r="Q7" t="e">
        <f t="shared" ca="1" si="1"/>
        <v>#REF!</v>
      </c>
      <c r="R7" t="e">
        <f t="shared" ca="1" si="1"/>
        <v>#REF!</v>
      </c>
      <c r="S7" t="e">
        <f t="shared" ca="1" si="1"/>
        <v>#REF!</v>
      </c>
      <c r="T7" t="e">
        <f t="shared" ca="1" si="1"/>
        <v>#REF!</v>
      </c>
      <c r="U7" t="e">
        <f t="shared" ca="1" si="3"/>
        <v>#REF!</v>
      </c>
      <c r="V7" t="e">
        <f t="shared" ca="1" si="3"/>
        <v>#REF!</v>
      </c>
      <c r="W7" t="e">
        <f t="shared" ca="1" si="3"/>
        <v>#REF!</v>
      </c>
      <c r="X7" t="e">
        <f t="shared" ca="1" si="3"/>
        <v>#REF!</v>
      </c>
      <c r="Y7" t="e">
        <f t="shared" ca="1" si="3"/>
        <v>#REF!</v>
      </c>
      <c r="Z7" t="e">
        <f t="shared" ca="1" si="3"/>
        <v>#REF!</v>
      </c>
      <c r="AA7" t="e">
        <f t="shared" ca="1" si="3"/>
        <v>#REF!</v>
      </c>
      <c r="AB7" s="44" t="e">
        <f t="shared" ca="1" si="3"/>
        <v>#REF!</v>
      </c>
      <c r="AC7" s="44" t="e">
        <f t="shared" ca="1" si="3"/>
        <v>#REF!</v>
      </c>
      <c r="AD7" s="44" t="e">
        <f t="shared" ca="1" si="3"/>
        <v>#REF!</v>
      </c>
      <c r="AE7" s="44" t="e">
        <f t="shared" ca="1" si="3"/>
        <v>#REF!</v>
      </c>
      <c r="AF7" s="44" t="e">
        <f t="shared" ca="1" si="3"/>
        <v>#REF!</v>
      </c>
      <c r="AG7" s="44" t="e">
        <f t="shared" ca="1" si="3"/>
        <v>#REF!</v>
      </c>
      <c r="AH7" s="44" t="e">
        <f t="shared" ca="1" si="3"/>
        <v>#REF!</v>
      </c>
      <c r="AI7" s="44" t="e">
        <f t="shared" ca="1" si="3"/>
        <v>#REF!</v>
      </c>
      <c r="AJ7" s="44" t="e">
        <f t="shared" ca="1" si="3"/>
        <v>#REF!</v>
      </c>
      <c r="AK7" s="44" t="e">
        <f t="shared" ca="1" si="4"/>
        <v>#REF!</v>
      </c>
      <c r="AL7" s="44" t="e">
        <f t="shared" ca="1" si="4"/>
        <v>#REF!</v>
      </c>
      <c r="AM7" s="44" t="e">
        <f t="shared" ca="1" si="4"/>
        <v>#REF!</v>
      </c>
      <c r="AN7" s="44" t="e">
        <f t="shared" ca="1" si="4"/>
        <v>#REF!</v>
      </c>
      <c r="AO7" s="44" t="e">
        <f t="shared" ca="1" si="4"/>
        <v>#REF!</v>
      </c>
      <c r="AP7" s="44" t="e">
        <f t="shared" ca="1" si="4"/>
        <v>#REF!</v>
      </c>
      <c r="AQ7" s="44" t="e">
        <f t="shared" ca="1" si="4"/>
        <v>#REF!</v>
      </c>
      <c r="AR7" s="44" t="e">
        <f t="shared" ca="1" si="4"/>
        <v>#REF!</v>
      </c>
      <c r="AS7" s="44" t="e">
        <f t="shared" ca="1" si="4"/>
        <v>#REF!</v>
      </c>
      <c r="AT7" s="44" t="e">
        <f t="shared" ca="1" si="4"/>
        <v>#REF!</v>
      </c>
      <c r="AU7" t="e">
        <f t="shared" ca="1" si="4"/>
        <v>#REF!</v>
      </c>
      <c r="AV7" t="e">
        <f t="shared" ca="1" si="4"/>
        <v>#REF!</v>
      </c>
      <c r="AW7" t="e">
        <f t="shared" ca="1" si="4"/>
        <v>#REF!</v>
      </c>
      <c r="AX7" t="e">
        <f t="shared" ca="1" si="4"/>
        <v>#REF!</v>
      </c>
      <c r="AY7" t="e">
        <f t="shared" ca="1" si="4"/>
        <v>#REF!</v>
      </c>
      <c r="AZ7" t="e">
        <f t="shared" ca="1" si="4"/>
        <v>#REF!</v>
      </c>
      <c r="BA7" t="e">
        <f t="shared" ca="1" si="5"/>
        <v>#REF!</v>
      </c>
      <c r="BB7" t="e">
        <f t="shared" ca="1" si="5"/>
        <v>#REF!</v>
      </c>
      <c r="BC7" t="e">
        <f t="shared" ca="1" si="5"/>
        <v>#REF!</v>
      </c>
      <c r="BD7" t="e">
        <f t="shared" ca="1" si="5"/>
        <v>#REF!</v>
      </c>
      <c r="BE7" t="e">
        <f t="shared" ca="1" si="5"/>
        <v>#REF!</v>
      </c>
      <c r="BF7" t="e">
        <f t="shared" ca="1" si="5"/>
        <v>#REF!</v>
      </c>
      <c r="BG7" t="e">
        <f t="shared" ca="1" si="5"/>
        <v>#REF!</v>
      </c>
      <c r="BH7" t="e">
        <f t="shared" ca="1" si="5"/>
        <v>#REF!</v>
      </c>
      <c r="BI7" t="e">
        <f t="shared" ca="1" si="5"/>
        <v>#REF!</v>
      </c>
      <c r="BJ7" t="e">
        <f t="shared" ca="1" si="5"/>
        <v>#REF!</v>
      </c>
      <c r="BK7" t="e">
        <f t="shared" ca="1" si="5"/>
        <v>#REF!</v>
      </c>
      <c r="BL7" t="e">
        <f t="shared" ca="1" si="5"/>
        <v>#REF!</v>
      </c>
      <c r="BM7" t="e">
        <f t="shared" ca="1" si="5"/>
        <v>#REF!</v>
      </c>
      <c r="BN7" s="44" t="e">
        <f t="shared" ca="1" si="5"/>
        <v>#REF!</v>
      </c>
      <c r="BO7" s="44" t="e">
        <f t="shared" ca="1" si="5"/>
        <v>#REF!</v>
      </c>
      <c r="BP7" s="44" t="e">
        <f t="shared" ca="1" si="5"/>
        <v>#REF!</v>
      </c>
      <c r="BQ7" s="44" t="e">
        <f t="shared" ca="1" si="6"/>
        <v>#REF!</v>
      </c>
      <c r="BR7" s="44" t="e">
        <f t="shared" ca="1" si="6"/>
        <v>#REF!</v>
      </c>
      <c r="BS7" s="44" t="e">
        <f t="shared" ca="1" si="6"/>
        <v>#REF!</v>
      </c>
      <c r="BT7" s="44" t="e">
        <f t="shared" ca="1" si="6"/>
        <v>#REF!</v>
      </c>
      <c r="BU7" s="44" t="e">
        <f t="shared" ca="1" si="6"/>
        <v>#REF!</v>
      </c>
      <c r="BV7" s="44" t="e">
        <f t="shared" ca="1" si="6"/>
        <v>#REF!</v>
      </c>
      <c r="BW7" s="44" t="e">
        <f t="shared" ca="1" si="6"/>
        <v>#REF!</v>
      </c>
      <c r="BX7" s="44" t="e">
        <f t="shared" ca="1" si="6"/>
        <v>#REF!</v>
      </c>
      <c r="BY7" s="44" t="e">
        <f t="shared" ca="1" si="6"/>
        <v>#REF!</v>
      </c>
      <c r="BZ7" s="44" t="e">
        <f t="shared" ca="1" si="6"/>
        <v>#REF!</v>
      </c>
      <c r="CA7" s="44" t="e">
        <f t="shared" ca="1" si="6"/>
        <v>#REF!</v>
      </c>
      <c r="CB7" s="44" t="e">
        <f t="shared" ca="1" si="6"/>
        <v>#REF!</v>
      </c>
      <c r="CC7" s="44" t="e">
        <f t="shared" ca="1" si="6"/>
        <v>#REF!</v>
      </c>
      <c r="CD7" s="44" t="e">
        <f t="shared" ca="1" si="6"/>
        <v>#REF!</v>
      </c>
      <c r="CE7" s="44" t="e">
        <f t="shared" ca="1" si="6"/>
        <v>#REF!</v>
      </c>
      <c r="CF7" s="44" t="e">
        <f t="shared" ca="1" si="6"/>
        <v>#REF!</v>
      </c>
      <c r="CG7" t="e">
        <f t="shared" ca="1" si="7"/>
        <v>#REF!</v>
      </c>
      <c r="CH7" t="e">
        <f t="shared" ca="1" si="7"/>
        <v>#REF!</v>
      </c>
      <c r="CI7" t="e">
        <f t="shared" ca="1" si="7"/>
        <v>#REF!</v>
      </c>
      <c r="CJ7" t="e">
        <f t="shared" ca="1" si="7"/>
        <v>#REF!</v>
      </c>
      <c r="CK7" t="e">
        <f t="shared" ca="1" si="7"/>
        <v>#REF!</v>
      </c>
      <c r="CL7" t="e">
        <f t="shared" ca="1" si="7"/>
        <v>#REF!</v>
      </c>
      <c r="CM7" t="e">
        <f t="shared" ca="1" si="7"/>
        <v>#REF!</v>
      </c>
      <c r="CN7" t="e">
        <f t="shared" ca="1" si="7"/>
        <v>#REF!</v>
      </c>
      <c r="CO7" t="e">
        <f t="shared" ca="1" si="7"/>
        <v>#REF!</v>
      </c>
      <c r="CP7" t="e">
        <f t="shared" ca="1" si="7"/>
        <v>#REF!</v>
      </c>
      <c r="CQ7" t="e">
        <f t="shared" ca="1" si="7"/>
        <v>#REF!</v>
      </c>
      <c r="CR7" t="e">
        <f t="shared" ca="1" si="7"/>
        <v>#REF!</v>
      </c>
      <c r="CS7" t="e">
        <f t="shared" ca="1" si="7"/>
        <v>#REF!</v>
      </c>
      <c r="CT7" t="e">
        <f t="shared" ca="1" si="7"/>
        <v>#REF!</v>
      </c>
      <c r="CU7" t="e">
        <f t="shared" ca="1" si="7"/>
        <v>#REF!</v>
      </c>
      <c r="CV7" t="e">
        <f t="shared" ca="1" si="7"/>
        <v>#REF!</v>
      </c>
      <c r="CW7" t="e">
        <f t="shared" ca="1" si="8"/>
        <v>#REF!</v>
      </c>
      <c r="CX7" t="e">
        <f t="shared" ca="1" si="8"/>
        <v>#REF!</v>
      </c>
      <c r="CY7" t="e">
        <f t="shared" ca="1" si="8"/>
        <v>#REF!</v>
      </c>
      <c r="CZ7" s="44" t="e">
        <f t="shared" ca="1" si="8"/>
        <v>#REF!</v>
      </c>
      <c r="DA7" s="44" t="e">
        <f t="shared" ca="1" si="8"/>
        <v>#REF!</v>
      </c>
      <c r="DB7" s="44" t="e">
        <f t="shared" ca="1" si="8"/>
        <v>#REF!</v>
      </c>
      <c r="DC7" s="44" t="e">
        <f t="shared" ca="1" si="8"/>
        <v>#REF!</v>
      </c>
      <c r="DD7" s="44" t="e">
        <f t="shared" ca="1" si="8"/>
        <v>#REF!</v>
      </c>
      <c r="DE7" s="44" t="e">
        <f t="shared" ca="1" si="8"/>
        <v>#REF!</v>
      </c>
      <c r="DF7" s="44" t="e">
        <f t="shared" ca="1" si="8"/>
        <v>#REF!</v>
      </c>
      <c r="DG7" s="44" t="e">
        <f t="shared" ca="1" si="8"/>
        <v>#REF!</v>
      </c>
      <c r="DH7" s="44" t="e">
        <f t="shared" ca="1" si="8"/>
        <v>#REF!</v>
      </c>
      <c r="DI7" s="44" t="e">
        <f t="shared" ca="1" si="8"/>
        <v>#REF!</v>
      </c>
      <c r="DJ7" s="44" t="e">
        <f t="shared" ca="1" si="8"/>
        <v>#REF!</v>
      </c>
      <c r="DK7" s="44" t="e">
        <f t="shared" ca="1" si="8"/>
        <v>#REF!</v>
      </c>
      <c r="DL7" s="44" t="e">
        <f t="shared" ca="1" si="8"/>
        <v>#REF!</v>
      </c>
      <c r="DM7" s="44" t="e">
        <f t="shared" ca="1" si="9"/>
        <v>#REF!</v>
      </c>
      <c r="DN7" s="44" t="e">
        <f t="shared" ca="1" si="9"/>
        <v>#REF!</v>
      </c>
      <c r="DO7" s="44" t="e">
        <f t="shared" ca="1" si="9"/>
        <v>#REF!</v>
      </c>
      <c r="DP7" s="44" t="e">
        <f t="shared" ca="1" si="9"/>
        <v>#REF!</v>
      </c>
      <c r="DQ7" s="44" t="e">
        <f t="shared" ca="1" si="9"/>
        <v>#REF!</v>
      </c>
      <c r="DR7" s="44" t="e">
        <f t="shared" ca="1" si="9"/>
        <v>#REF!</v>
      </c>
      <c r="DS7" t="e">
        <f t="shared" ca="1" si="9"/>
        <v>#REF!</v>
      </c>
      <c r="DT7" t="e">
        <f t="shared" ca="1" si="9"/>
        <v>#REF!</v>
      </c>
      <c r="DU7" t="e">
        <f t="shared" ca="1" si="9"/>
        <v>#REF!</v>
      </c>
      <c r="DV7" t="e">
        <f t="shared" ca="1" si="9"/>
        <v>#REF!</v>
      </c>
      <c r="DW7" t="e">
        <f t="shared" ca="1" si="9"/>
        <v>#REF!</v>
      </c>
      <c r="DX7" t="e">
        <f t="shared" ca="1" si="9"/>
        <v>#REF!</v>
      </c>
      <c r="DY7" t="e">
        <f t="shared" ca="1" si="9"/>
        <v>#REF!</v>
      </c>
      <c r="DZ7" t="e">
        <f t="shared" ca="1" si="9"/>
        <v>#REF!</v>
      </c>
      <c r="EA7" t="e">
        <f t="shared" ca="1" si="9"/>
        <v>#REF!</v>
      </c>
      <c r="EB7" t="e">
        <f t="shared" ca="1" si="9"/>
        <v>#REF!</v>
      </c>
      <c r="EC7" t="e">
        <f t="shared" ca="1" si="10"/>
        <v>#REF!</v>
      </c>
      <c r="ED7" t="e">
        <f t="shared" ca="1" si="10"/>
        <v>#REF!</v>
      </c>
      <c r="EE7" t="e">
        <f t="shared" ca="1" si="10"/>
        <v>#REF!</v>
      </c>
      <c r="EF7" t="e">
        <f t="shared" ca="1" si="10"/>
        <v>#REF!</v>
      </c>
      <c r="EG7" t="e">
        <f t="shared" ca="1" si="10"/>
        <v>#REF!</v>
      </c>
      <c r="EH7" t="e">
        <f t="shared" ca="1" si="10"/>
        <v>#REF!</v>
      </c>
      <c r="EI7" t="e">
        <f t="shared" ca="1" si="10"/>
        <v>#REF!</v>
      </c>
      <c r="EJ7" t="e">
        <f t="shared" ca="1" si="10"/>
        <v>#REF!</v>
      </c>
      <c r="EK7" s="44" t="e">
        <f t="shared" ca="1" si="10"/>
        <v>#REF!</v>
      </c>
      <c r="EL7" s="44" t="e">
        <f t="shared" ca="1" si="10"/>
        <v>#REF!</v>
      </c>
      <c r="EM7" s="44" t="e">
        <f t="shared" ca="1" si="10"/>
        <v>#REF!</v>
      </c>
      <c r="EN7" s="44" t="e">
        <f t="shared" ca="1" si="10"/>
        <v>#REF!</v>
      </c>
      <c r="EO7" s="44" t="e">
        <f t="shared" ca="1" si="10"/>
        <v>#REF!</v>
      </c>
      <c r="EP7" s="44" t="e">
        <f t="shared" ca="1" si="10"/>
        <v>#REF!</v>
      </c>
      <c r="EQ7" s="44" t="e">
        <f t="shared" ca="1" si="10"/>
        <v>#REF!</v>
      </c>
      <c r="ER7" s="44" t="e">
        <f t="shared" ca="1" si="10"/>
        <v>#REF!</v>
      </c>
      <c r="ES7" s="44" t="e">
        <f t="shared" ca="1" si="11"/>
        <v>#REF!</v>
      </c>
      <c r="ET7" s="44" t="e">
        <f t="shared" ca="1" si="11"/>
        <v>#REF!</v>
      </c>
      <c r="EU7" s="44" t="e">
        <f t="shared" ca="1" si="11"/>
        <v>#REF!</v>
      </c>
      <c r="EV7" s="44" t="e">
        <f t="shared" ca="1" si="11"/>
        <v>#REF!</v>
      </c>
      <c r="EW7" s="44" t="e">
        <f t="shared" ca="1" si="11"/>
        <v>#REF!</v>
      </c>
      <c r="EX7" s="44" t="e">
        <f t="shared" ca="1" si="11"/>
        <v>#REF!</v>
      </c>
      <c r="EY7" s="44" t="e">
        <f t="shared" ca="1" si="11"/>
        <v>#REF!</v>
      </c>
      <c r="EZ7" s="44" t="e">
        <f t="shared" ca="1" si="11"/>
        <v>#REF!</v>
      </c>
      <c r="FA7" s="44" t="e">
        <f t="shared" ca="1" si="11"/>
        <v>#REF!</v>
      </c>
      <c r="FB7" s="44" t="e">
        <f t="shared" ca="1" si="11"/>
        <v>#REF!</v>
      </c>
      <c r="FC7" s="56" t="e">
        <f t="shared" ca="1" si="11"/>
        <v>#REF!</v>
      </c>
      <c r="FD7" t="e">
        <f t="shared" ca="1" si="11"/>
        <v>#REF!</v>
      </c>
      <c r="FE7" t="e">
        <f t="shared" ca="1" si="11"/>
        <v>#REF!</v>
      </c>
      <c r="FF7" t="e">
        <f t="shared" ca="1" si="11"/>
        <v>#REF!</v>
      </c>
      <c r="FG7" t="e">
        <f t="shared" ca="1" si="11"/>
        <v>#REF!</v>
      </c>
      <c r="FH7" t="e">
        <f t="shared" ca="1" si="11"/>
        <v>#REF!</v>
      </c>
      <c r="FI7" t="e">
        <f t="shared" ca="1" si="12"/>
        <v>#REF!</v>
      </c>
      <c r="FJ7" t="e">
        <f t="shared" ca="1" si="12"/>
        <v>#REF!</v>
      </c>
      <c r="FK7" t="e">
        <f t="shared" ca="1" si="12"/>
        <v>#REF!</v>
      </c>
      <c r="FL7" t="e">
        <f t="shared" ca="1" si="12"/>
        <v>#REF!</v>
      </c>
      <c r="FM7" t="e">
        <f t="shared" ca="1" si="12"/>
        <v>#REF!</v>
      </c>
      <c r="FN7" t="e">
        <f t="shared" ca="1" si="12"/>
        <v>#REF!</v>
      </c>
      <c r="FO7" t="e">
        <f t="shared" ca="1" si="12"/>
        <v>#REF!</v>
      </c>
      <c r="FP7" t="e">
        <f t="shared" ca="1" si="12"/>
        <v>#REF!</v>
      </c>
      <c r="FQ7" t="e">
        <f t="shared" ca="1" si="12"/>
        <v>#REF!</v>
      </c>
      <c r="FR7" t="e">
        <f t="shared" ca="1" si="12"/>
        <v>#REF!</v>
      </c>
      <c r="FS7" t="e">
        <f t="shared" ca="1" si="12"/>
        <v>#REF!</v>
      </c>
      <c r="FT7" t="e">
        <f t="shared" ca="1" si="12"/>
        <v>#REF!</v>
      </c>
    </row>
    <row r="8" spans="1:176" ht="15" x14ac:dyDescent="0.25">
      <c r="A8" s="240">
        <v>131</v>
      </c>
      <c r="B8" t="e">
        <f t="shared" ca="1" si="0"/>
        <v>#REF!</v>
      </c>
      <c r="C8" t="e">
        <f t="shared" ca="1" si="1"/>
        <v>#REF!</v>
      </c>
      <c r="D8" t="e">
        <f t="shared" ca="1" si="1"/>
        <v>#REF!</v>
      </c>
      <c r="E8" t="e">
        <f t="shared" ca="1" si="1"/>
        <v>#REF!</v>
      </c>
      <c r="F8" t="e">
        <f t="shared" ca="1" si="13"/>
        <v>#REF!</v>
      </c>
      <c r="G8" t="e">
        <f t="shared" ca="1" si="2"/>
        <v>#REF!</v>
      </c>
      <c r="H8" t="e">
        <f t="shared" ca="1" si="2"/>
        <v>#REF!</v>
      </c>
      <c r="I8" t="e">
        <f t="shared" ca="1" si="1"/>
        <v>#REF!</v>
      </c>
      <c r="J8" t="e">
        <f t="shared" ca="1" si="1"/>
        <v>#REF!</v>
      </c>
      <c r="K8" t="e">
        <f t="shared" ca="1" si="1"/>
        <v>#REF!</v>
      </c>
      <c r="L8" t="e">
        <f t="shared" ca="1" si="1"/>
        <v>#REF!</v>
      </c>
      <c r="M8" t="e">
        <f t="shared" ca="1" si="1"/>
        <v>#REF!</v>
      </c>
      <c r="N8" t="e">
        <f t="shared" ca="1" si="1"/>
        <v>#REF!</v>
      </c>
      <c r="O8" t="e">
        <f t="shared" ca="1" si="1"/>
        <v>#REF!</v>
      </c>
      <c r="P8" t="e">
        <f t="shared" ca="1" si="1"/>
        <v>#REF!</v>
      </c>
      <c r="Q8" t="e">
        <f t="shared" ca="1" si="1"/>
        <v>#REF!</v>
      </c>
      <c r="R8" t="e">
        <f t="shared" ca="1" si="1"/>
        <v>#REF!</v>
      </c>
      <c r="S8" t="e">
        <f t="shared" ca="1" si="1"/>
        <v>#REF!</v>
      </c>
      <c r="T8" t="e">
        <f t="shared" ca="1" si="1"/>
        <v>#REF!</v>
      </c>
      <c r="U8" t="e">
        <f t="shared" ca="1" si="3"/>
        <v>#REF!</v>
      </c>
      <c r="V8" t="e">
        <f t="shared" ca="1" si="3"/>
        <v>#REF!</v>
      </c>
      <c r="W8" t="e">
        <f t="shared" ca="1" si="3"/>
        <v>#REF!</v>
      </c>
      <c r="X8" t="e">
        <f t="shared" ca="1" si="3"/>
        <v>#REF!</v>
      </c>
      <c r="Y8" t="e">
        <f t="shared" ca="1" si="3"/>
        <v>#REF!</v>
      </c>
      <c r="Z8" t="e">
        <f t="shared" ca="1" si="3"/>
        <v>#REF!</v>
      </c>
      <c r="AA8" t="e">
        <f t="shared" ca="1" si="3"/>
        <v>#REF!</v>
      </c>
      <c r="AB8" s="44" t="e">
        <f t="shared" ca="1" si="3"/>
        <v>#REF!</v>
      </c>
      <c r="AC8" s="44" t="e">
        <f t="shared" ca="1" si="3"/>
        <v>#REF!</v>
      </c>
      <c r="AD8" s="44" t="e">
        <f t="shared" ca="1" si="3"/>
        <v>#REF!</v>
      </c>
      <c r="AE8" s="44" t="e">
        <f t="shared" ca="1" si="3"/>
        <v>#REF!</v>
      </c>
      <c r="AF8" s="44" t="e">
        <f t="shared" ca="1" si="3"/>
        <v>#REF!</v>
      </c>
      <c r="AG8" s="44" t="e">
        <f t="shared" ca="1" si="3"/>
        <v>#REF!</v>
      </c>
      <c r="AH8" s="44" t="e">
        <f t="shared" ca="1" si="3"/>
        <v>#REF!</v>
      </c>
      <c r="AI8" s="44" t="e">
        <f t="shared" ca="1" si="3"/>
        <v>#REF!</v>
      </c>
      <c r="AJ8" s="44" t="e">
        <f t="shared" ca="1" si="3"/>
        <v>#REF!</v>
      </c>
      <c r="AK8" s="44" t="e">
        <f t="shared" ca="1" si="4"/>
        <v>#REF!</v>
      </c>
      <c r="AL8" s="44" t="e">
        <f t="shared" ca="1" si="4"/>
        <v>#REF!</v>
      </c>
      <c r="AM8" s="44" t="e">
        <f t="shared" ca="1" si="4"/>
        <v>#REF!</v>
      </c>
      <c r="AN8" s="44" t="e">
        <f t="shared" ca="1" si="4"/>
        <v>#REF!</v>
      </c>
      <c r="AO8" s="44" t="e">
        <f t="shared" ca="1" si="4"/>
        <v>#REF!</v>
      </c>
      <c r="AP8" s="44" t="e">
        <f t="shared" ca="1" si="4"/>
        <v>#REF!</v>
      </c>
      <c r="AQ8" s="44" t="e">
        <f t="shared" ca="1" si="4"/>
        <v>#REF!</v>
      </c>
      <c r="AR8" s="44" t="e">
        <f t="shared" ca="1" si="4"/>
        <v>#REF!</v>
      </c>
      <c r="AS8" s="44" t="e">
        <f t="shared" ca="1" si="4"/>
        <v>#REF!</v>
      </c>
      <c r="AT8" s="44" t="e">
        <f t="shared" ca="1" si="4"/>
        <v>#REF!</v>
      </c>
      <c r="AU8" t="e">
        <f t="shared" ca="1" si="4"/>
        <v>#REF!</v>
      </c>
      <c r="AV8" t="e">
        <f t="shared" ca="1" si="4"/>
        <v>#REF!</v>
      </c>
      <c r="AW8" t="e">
        <f t="shared" ca="1" si="4"/>
        <v>#REF!</v>
      </c>
      <c r="AX8" t="e">
        <f t="shared" ca="1" si="4"/>
        <v>#REF!</v>
      </c>
      <c r="AY8" t="e">
        <f t="shared" ca="1" si="4"/>
        <v>#REF!</v>
      </c>
      <c r="AZ8" t="e">
        <f t="shared" ca="1" si="4"/>
        <v>#REF!</v>
      </c>
      <c r="BA8" t="e">
        <f t="shared" ca="1" si="5"/>
        <v>#REF!</v>
      </c>
      <c r="BB8" t="e">
        <f t="shared" ca="1" si="5"/>
        <v>#REF!</v>
      </c>
      <c r="BC8" t="e">
        <f t="shared" ca="1" si="5"/>
        <v>#REF!</v>
      </c>
      <c r="BD8" t="e">
        <f t="shared" ca="1" si="5"/>
        <v>#REF!</v>
      </c>
      <c r="BE8" t="e">
        <f t="shared" ca="1" si="5"/>
        <v>#REF!</v>
      </c>
      <c r="BF8" t="e">
        <f t="shared" ca="1" si="5"/>
        <v>#REF!</v>
      </c>
      <c r="BG8" t="e">
        <f t="shared" ca="1" si="5"/>
        <v>#REF!</v>
      </c>
      <c r="BH8" t="e">
        <f t="shared" ca="1" si="5"/>
        <v>#REF!</v>
      </c>
      <c r="BI8" t="e">
        <f t="shared" ca="1" si="5"/>
        <v>#REF!</v>
      </c>
      <c r="BJ8" t="e">
        <f t="shared" ca="1" si="5"/>
        <v>#REF!</v>
      </c>
      <c r="BK8" t="e">
        <f t="shared" ca="1" si="5"/>
        <v>#REF!</v>
      </c>
      <c r="BL8" t="e">
        <f t="shared" ca="1" si="5"/>
        <v>#REF!</v>
      </c>
      <c r="BM8" t="e">
        <f t="shared" ca="1" si="5"/>
        <v>#REF!</v>
      </c>
      <c r="BN8" s="44" t="e">
        <f t="shared" ca="1" si="5"/>
        <v>#REF!</v>
      </c>
      <c r="BO8" s="44" t="e">
        <f t="shared" ca="1" si="5"/>
        <v>#REF!</v>
      </c>
      <c r="BP8" s="44" t="e">
        <f t="shared" ca="1" si="5"/>
        <v>#REF!</v>
      </c>
      <c r="BQ8" s="44" t="e">
        <f t="shared" ca="1" si="6"/>
        <v>#REF!</v>
      </c>
      <c r="BR8" s="44" t="e">
        <f t="shared" ca="1" si="6"/>
        <v>#REF!</v>
      </c>
      <c r="BS8" s="44" t="e">
        <f t="shared" ca="1" si="6"/>
        <v>#REF!</v>
      </c>
      <c r="BT8" s="44" t="e">
        <f t="shared" ca="1" si="6"/>
        <v>#REF!</v>
      </c>
      <c r="BU8" s="44" t="e">
        <f t="shared" ca="1" si="6"/>
        <v>#REF!</v>
      </c>
      <c r="BV8" s="44" t="e">
        <f t="shared" ca="1" si="6"/>
        <v>#REF!</v>
      </c>
      <c r="BW8" s="44" t="e">
        <f t="shared" ca="1" si="6"/>
        <v>#REF!</v>
      </c>
      <c r="BX8" s="44" t="e">
        <f t="shared" ca="1" si="6"/>
        <v>#REF!</v>
      </c>
      <c r="BY8" s="44" t="e">
        <f t="shared" ca="1" si="6"/>
        <v>#REF!</v>
      </c>
      <c r="BZ8" s="44" t="e">
        <f t="shared" ca="1" si="6"/>
        <v>#REF!</v>
      </c>
      <c r="CA8" s="44" t="e">
        <f t="shared" ca="1" si="6"/>
        <v>#REF!</v>
      </c>
      <c r="CB8" s="44" t="e">
        <f t="shared" ca="1" si="6"/>
        <v>#REF!</v>
      </c>
      <c r="CC8" s="44" t="e">
        <f t="shared" ca="1" si="6"/>
        <v>#REF!</v>
      </c>
      <c r="CD8" s="44" t="e">
        <f t="shared" ca="1" si="6"/>
        <v>#REF!</v>
      </c>
      <c r="CE8" s="44" t="e">
        <f t="shared" ca="1" si="6"/>
        <v>#REF!</v>
      </c>
      <c r="CF8" s="44" t="e">
        <f t="shared" ca="1" si="6"/>
        <v>#REF!</v>
      </c>
      <c r="CG8" t="e">
        <f t="shared" ca="1" si="7"/>
        <v>#REF!</v>
      </c>
      <c r="CH8" t="e">
        <f t="shared" ca="1" si="7"/>
        <v>#REF!</v>
      </c>
      <c r="CI8" t="e">
        <f t="shared" ca="1" si="7"/>
        <v>#REF!</v>
      </c>
      <c r="CJ8" t="e">
        <f t="shared" ca="1" si="7"/>
        <v>#REF!</v>
      </c>
      <c r="CK8" t="e">
        <f t="shared" ca="1" si="7"/>
        <v>#REF!</v>
      </c>
      <c r="CL8" t="e">
        <f t="shared" ca="1" si="7"/>
        <v>#REF!</v>
      </c>
      <c r="CM8" t="e">
        <f t="shared" ca="1" si="7"/>
        <v>#REF!</v>
      </c>
      <c r="CN8" t="e">
        <f t="shared" ca="1" si="7"/>
        <v>#REF!</v>
      </c>
      <c r="CO8" t="e">
        <f t="shared" ca="1" si="7"/>
        <v>#REF!</v>
      </c>
      <c r="CP8" t="e">
        <f t="shared" ca="1" si="7"/>
        <v>#REF!</v>
      </c>
      <c r="CQ8" t="e">
        <f t="shared" ca="1" si="7"/>
        <v>#REF!</v>
      </c>
      <c r="CR8" t="e">
        <f t="shared" ca="1" si="7"/>
        <v>#REF!</v>
      </c>
      <c r="CS8" t="e">
        <f t="shared" ca="1" si="7"/>
        <v>#REF!</v>
      </c>
      <c r="CT8" t="e">
        <f t="shared" ca="1" si="7"/>
        <v>#REF!</v>
      </c>
      <c r="CU8" t="e">
        <f t="shared" ca="1" si="7"/>
        <v>#REF!</v>
      </c>
      <c r="CV8" t="e">
        <f t="shared" ca="1" si="7"/>
        <v>#REF!</v>
      </c>
      <c r="CW8" t="e">
        <f t="shared" ca="1" si="8"/>
        <v>#REF!</v>
      </c>
      <c r="CX8" t="e">
        <f t="shared" ca="1" si="8"/>
        <v>#REF!</v>
      </c>
      <c r="CY8" t="e">
        <f t="shared" ca="1" si="8"/>
        <v>#REF!</v>
      </c>
      <c r="CZ8" s="44" t="e">
        <f t="shared" ca="1" si="8"/>
        <v>#REF!</v>
      </c>
      <c r="DA8" s="44" t="e">
        <f t="shared" ca="1" si="8"/>
        <v>#REF!</v>
      </c>
      <c r="DB8" s="44" t="e">
        <f t="shared" ca="1" si="8"/>
        <v>#REF!</v>
      </c>
      <c r="DC8" s="44" t="e">
        <f t="shared" ca="1" si="8"/>
        <v>#REF!</v>
      </c>
      <c r="DD8" s="44" t="e">
        <f t="shared" ca="1" si="8"/>
        <v>#REF!</v>
      </c>
      <c r="DE8" s="44" t="e">
        <f t="shared" ca="1" si="8"/>
        <v>#REF!</v>
      </c>
      <c r="DF8" s="44" t="e">
        <f t="shared" ca="1" si="8"/>
        <v>#REF!</v>
      </c>
      <c r="DG8" s="44" t="e">
        <f t="shared" ca="1" si="8"/>
        <v>#REF!</v>
      </c>
      <c r="DH8" s="44" t="e">
        <f t="shared" ca="1" si="8"/>
        <v>#REF!</v>
      </c>
      <c r="DI8" s="44" t="e">
        <f t="shared" ca="1" si="8"/>
        <v>#REF!</v>
      </c>
      <c r="DJ8" s="44" t="e">
        <f t="shared" ca="1" si="8"/>
        <v>#REF!</v>
      </c>
      <c r="DK8" s="44" t="e">
        <f t="shared" ca="1" si="8"/>
        <v>#REF!</v>
      </c>
      <c r="DL8" s="44" t="e">
        <f t="shared" ca="1" si="8"/>
        <v>#REF!</v>
      </c>
      <c r="DM8" s="44" t="e">
        <f t="shared" ca="1" si="9"/>
        <v>#REF!</v>
      </c>
      <c r="DN8" s="44" t="e">
        <f t="shared" ca="1" si="9"/>
        <v>#REF!</v>
      </c>
      <c r="DO8" s="44" t="e">
        <f t="shared" ca="1" si="9"/>
        <v>#REF!</v>
      </c>
      <c r="DP8" s="44" t="e">
        <f t="shared" ca="1" si="9"/>
        <v>#REF!</v>
      </c>
      <c r="DQ8" s="44" t="e">
        <f t="shared" ca="1" si="9"/>
        <v>#REF!</v>
      </c>
      <c r="DR8" s="44" t="e">
        <f t="shared" ca="1" si="9"/>
        <v>#REF!</v>
      </c>
      <c r="DS8" t="e">
        <f t="shared" ca="1" si="9"/>
        <v>#REF!</v>
      </c>
      <c r="DT8" t="e">
        <f t="shared" ca="1" si="9"/>
        <v>#REF!</v>
      </c>
      <c r="DU8" t="e">
        <f t="shared" ca="1" si="9"/>
        <v>#REF!</v>
      </c>
      <c r="DV8" t="e">
        <f t="shared" ca="1" si="9"/>
        <v>#REF!</v>
      </c>
      <c r="DW8" t="e">
        <f t="shared" ca="1" si="9"/>
        <v>#REF!</v>
      </c>
      <c r="DX8" t="e">
        <f t="shared" ca="1" si="9"/>
        <v>#REF!</v>
      </c>
      <c r="DY8" t="e">
        <f t="shared" ca="1" si="9"/>
        <v>#REF!</v>
      </c>
      <c r="DZ8" t="e">
        <f t="shared" ca="1" si="9"/>
        <v>#REF!</v>
      </c>
      <c r="EA8" t="e">
        <f t="shared" ca="1" si="9"/>
        <v>#REF!</v>
      </c>
      <c r="EB8" t="e">
        <f t="shared" ca="1" si="9"/>
        <v>#REF!</v>
      </c>
      <c r="EC8" t="e">
        <f t="shared" ca="1" si="10"/>
        <v>#REF!</v>
      </c>
      <c r="ED8" t="e">
        <f t="shared" ca="1" si="10"/>
        <v>#REF!</v>
      </c>
      <c r="EE8" t="e">
        <f t="shared" ca="1" si="10"/>
        <v>#REF!</v>
      </c>
      <c r="EF8" t="e">
        <f t="shared" ca="1" si="10"/>
        <v>#REF!</v>
      </c>
      <c r="EG8" t="e">
        <f t="shared" ca="1" si="10"/>
        <v>#REF!</v>
      </c>
      <c r="EH8" t="e">
        <f t="shared" ca="1" si="10"/>
        <v>#REF!</v>
      </c>
      <c r="EI8" t="e">
        <f t="shared" ca="1" si="10"/>
        <v>#REF!</v>
      </c>
      <c r="EJ8" t="e">
        <f t="shared" ca="1" si="10"/>
        <v>#REF!</v>
      </c>
      <c r="EK8" s="44" t="e">
        <f t="shared" ca="1" si="10"/>
        <v>#REF!</v>
      </c>
      <c r="EL8" s="44" t="e">
        <f t="shared" ca="1" si="10"/>
        <v>#REF!</v>
      </c>
      <c r="EM8" s="44" t="e">
        <f t="shared" ca="1" si="10"/>
        <v>#REF!</v>
      </c>
      <c r="EN8" s="44" t="e">
        <f t="shared" ca="1" si="10"/>
        <v>#REF!</v>
      </c>
      <c r="EO8" s="44" t="e">
        <f t="shared" ca="1" si="10"/>
        <v>#REF!</v>
      </c>
      <c r="EP8" s="44" t="e">
        <f t="shared" ca="1" si="10"/>
        <v>#REF!</v>
      </c>
      <c r="EQ8" s="44" t="e">
        <f t="shared" ca="1" si="10"/>
        <v>#REF!</v>
      </c>
      <c r="ER8" s="44" t="e">
        <f t="shared" ca="1" si="10"/>
        <v>#REF!</v>
      </c>
      <c r="ES8" s="44" t="e">
        <f t="shared" ca="1" si="11"/>
        <v>#REF!</v>
      </c>
      <c r="ET8" s="44" t="e">
        <f t="shared" ca="1" si="11"/>
        <v>#REF!</v>
      </c>
      <c r="EU8" s="44" t="e">
        <f t="shared" ca="1" si="11"/>
        <v>#REF!</v>
      </c>
      <c r="EV8" s="44" t="e">
        <f t="shared" ca="1" si="11"/>
        <v>#REF!</v>
      </c>
      <c r="EW8" s="44" t="e">
        <f t="shared" ca="1" si="11"/>
        <v>#REF!</v>
      </c>
      <c r="EX8" s="44" t="e">
        <f t="shared" ca="1" si="11"/>
        <v>#REF!</v>
      </c>
      <c r="EY8" s="44" t="e">
        <f t="shared" ca="1" si="11"/>
        <v>#REF!</v>
      </c>
      <c r="EZ8" s="44" t="e">
        <f t="shared" ca="1" si="11"/>
        <v>#REF!</v>
      </c>
      <c r="FA8" s="44" t="e">
        <f t="shared" ca="1" si="11"/>
        <v>#REF!</v>
      </c>
      <c r="FB8" s="44" t="e">
        <f t="shared" ca="1" si="11"/>
        <v>#REF!</v>
      </c>
      <c r="FC8" s="56" t="e">
        <f t="shared" ca="1" si="11"/>
        <v>#REF!</v>
      </c>
      <c r="FD8" t="e">
        <f t="shared" ca="1" si="11"/>
        <v>#REF!</v>
      </c>
      <c r="FE8" t="e">
        <f t="shared" ca="1" si="11"/>
        <v>#REF!</v>
      </c>
      <c r="FF8" t="e">
        <f t="shared" ca="1" si="11"/>
        <v>#REF!</v>
      </c>
      <c r="FG8" t="e">
        <f t="shared" ca="1" si="11"/>
        <v>#REF!</v>
      </c>
      <c r="FH8" t="e">
        <f t="shared" ca="1" si="11"/>
        <v>#REF!</v>
      </c>
      <c r="FI8" t="e">
        <f t="shared" ca="1" si="12"/>
        <v>#REF!</v>
      </c>
      <c r="FJ8" t="e">
        <f t="shared" ca="1" si="12"/>
        <v>#REF!</v>
      </c>
      <c r="FK8" t="e">
        <f t="shared" ca="1" si="12"/>
        <v>#REF!</v>
      </c>
      <c r="FL8" t="e">
        <f t="shared" ca="1" si="12"/>
        <v>#REF!</v>
      </c>
      <c r="FM8" t="e">
        <f t="shared" ca="1" si="12"/>
        <v>#REF!</v>
      </c>
      <c r="FN8" t="e">
        <f t="shared" ca="1" si="12"/>
        <v>#REF!</v>
      </c>
      <c r="FO8" t="e">
        <f t="shared" ca="1" si="12"/>
        <v>#REF!</v>
      </c>
      <c r="FP8" t="e">
        <f t="shared" ca="1" si="12"/>
        <v>#REF!</v>
      </c>
      <c r="FQ8" t="e">
        <f t="shared" ca="1" si="12"/>
        <v>#REF!</v>
      </c>
      <c r="FR8" t="e">
        <f t="shared" ca="1" si="12"/>
        <v>#REF!</v>
      </c>
      <c r="FS8" t="e">
        <f t="shared" ca="1" si="12"/>
        <v>#REF!</v>
      </c>
      <c r="FT8" t="e">
        <f t="shared" ca="1" si="12"/>
        <v>#REF!</v>
      </c>
    </row>
    <row r="9" spans="1:176" ht="15" x14ac:dyDescent="0.25">
      <c r="A9" s="240">
        <v>144</v>
      </c>
      <c r="B9" t="e">
        <f t="shared" ca="1" si="0"/>
        <v>#REF!</v>
      </c>
      <c r="C9" t="e">
        <f t="shared" ca="1" si="1"/>
        <v>#REF!</v>
      </c>
      <c r="D9" t="e">
        <f t="shared" ca="1" si="1"/>
        <v>#REF!</v>
      </c>
      <c r="E9" t="e">
        <f t="shared" ca="1" si="1"/>
        <v>#REF!</v>
      </c>
      <c r="F9" t="e">
        <f t="shared" ca="1" si="13"/>
        <v>#REF!</v>
      </c>
      <c r="G9" t="e">
        <f t="shared" ca="1" si="2"/>
        <v>#REF!</v>
      </c>
      <c r="H9" t="e">
        <f t="shared" ca="1" si="2"/>
        <v>#REF!</v>
      </c>
      <c r="I9" t="e">
        <f t="shared" ca="1" si="1"/>
        <v>#REF!</v>
      </c>
      <c r="J9" t="e">
        <f t="shared" ca="1" si="1"/>
        <v>#REF!</v>
      </c>
      <c r="K9" t="e">
        <f t="shared" ca="1" si="1"/>
        <v>#REF!</v>
      </c>
      <c r="L9" t="e">
        <f t="shared" ca="1" si="1"/>
        <v>#REF!</v>
      </c>
      <c r="M9" t="e">
        <f t="shared" ca="1" si="1"/>
        <v>#REF!</v>
      </c>
      <c r="N9" t="e">
        <f t="shared" ca="1" si="1"/>
        <v>#REF!</v>
      </c>
      <c r="O9" t="e">
        <f t="shared" ca="1" si="1"/>
        <v>#REF!</v>
      </c>
      <c r="P9" t="e">
        <f t="shared" ca="1" si="1"/>
        <v>#REF!</v>
      </c>
      <c r="Q9" t="e">
        <f t="shared" ca="1" si="1"/>
        <v>#REF!</v>
      </c>
      <c r="R9" t="e">
        <f t="shared" ca="1" si="1"/>
        <v>#REF!</v>
      </c>
      <c r="S9" t="e">
        <f t="shared" ca="1" si="1"/>
        <v>#REF!</v>
      </c>
      <c r="T9" t="e">
        <f t="shared" ca="1" si="1"/>
        <v>#REF!</v>
      </c>
      <c r="U9" t="e">
        <f t="shared" ca="1" si="3"/>
        <v>#REF!</v>
      </c>
      <c r="V9" t="e">
        <f t="shared" ca="1" si="3"/>
        <v>#REF!</v>
      </c>
      <c r="W9" t="e">
        <f t="shared" ca="1" si="3"/>
        <v>#REF!</v>
      </c>
      <c r="X9" t="e">
        <f t="shared" ca="1" si="3"/>
        <v>#REF!</v>
      </c>
      <c r="Y9" t="e">
        <f t="shared" ca="1" si="3"/>
        <v>#REF!</v>
      </c>
      <c r="Z9" t="e">
        <f t="shared" ca="1" si="3"/>
        <v>#REF!</v>
      </c>
      <c r="AA9" t="e">
        <f t="shared" ca="1" si="3"/>
        <v>#REF!</v>
      </c>
      <c r="AB9" s="44" t="e">
        <f t="shared" ca="1" si="3"/>
        <v>#REF!</v>
      </c>
      <c r="AC9" s="44" t="e">
        <f t="shared" ca="1" si="3"/>
        <v>#REF!</v>
      </c>
      <c r="AD9" s="44" t="e">
        <f t="shared" ca="1" si="3"/>
        <v>#REF!</v>
      </c>
      <c r="AE9" s="44" t="e">
        <f t="shared" ca="1" si="3"/>
        <v>#REF!</v>
      </c>
      <c r="AF9" s="44" t="e">
        <f t="shared" ca="1" si="3"/>
        <v>#REF!</v>
      </c>
      <c r="AG9" s="44" t="e">
        <f t="shared" ca="1" si="3"/>
        <v>#REF!</v>
      </c>
      <c r="AH9" s="44" t="e">
        <f t="shared" ca="1" si="3"/>
        <v>#REF!</v>
      </c>
      <c r="AI9" s="44" t="e">
        <f t="shared" ca="1" si="3"/>
        <v>#REF!</v>
      </c>
      <c r="AJ9" s="44" t="e">
        <f t="shared" ca="1" si="3"/>
        <v>#REF!</v>
      </c>
      <c r="AK9" s="44" t="e">
        <f t="shared" ca="1" si="4"/>
        <v>#REF!</v>
      </c>
      <c r="AL9" s="44" t="e">
        <f t="shared" ca="1" si="4"/>
        <v>#REF!</v>
      </c>
      <c r="AM9" s="44" t="e">
        <f t="shared" ca="1" si="4"/>
        <v>#REF!</v>
      </c>
      <c r="AN9" s="44" t="e">
        <f t="shared" ca="1" si="4"/>
        <v>#REF!</v>
      </c>
      <c r="AO9" s="44" t="e">
        <f t="shared" ca="1" si="4"/>
        <v>#REF!</v>
      </c>
      <c r="AP9" s="44" t="e">
        <f t="shared" ca="1" si="4"/>
        <v>#REF!</v>
      </c>
      <c r="AQ9" s="44" t="e">
        <f t="shared" ca="1" si="4"/>
        <v>#REF!</v>
      </c>
      <c r="AR9" s="44" t="e">
        <f t="shared" ca="1" si="4"/>
        <v>#REF!</v>
      </c>
      <c r="AS9" s="44" t="e">
        <f t="shared" ca="1" si="4"/>
        <v>#REF!</v>
      </c>
      <c r="AT9" s="44" t="e">
        <f t="shared" ca="1" si="4"/>
        <v>#REF!</v>
      </c>
      <c r="AU9" t="e">
        <f t="shared" ca="1" si="4"/>
        <v>#REF!</v>
      </c>
      <c r="AV9" t="e">
        <f t="shared" ca="1" si="4"/>
        <v>#REF!</v>
      </c>
      <c r="AW9" t="e">
        <f t="shared" ca="1" si="4"/>
        <v>#REF!</v>
      </c>
      <c r="AX9" t="e">
        <f t="shared" ca="1" si="4"/>
        <v>#REF!</v>
      </c>
      <c r="AY9" t="e">
        <f t="shared" ca="1" si="4"/>
        <v>#REF!</v>
      </c>
      <c r="AZ9" t="e">
        <f t="shared" ca="1" si="4"/>
        <v>#REF!</v>
      </c>
      <c r="BA9" t="e">
        <f t="shared" ca="1" si="5"/>
        <v>#REF!</v>
      </c>
      <c r="BB9" t="e">
        <f t="shared" ca="1" si="5"/>
        <v>#REF!</v>
      </c>
      <c r="BC9" t="e">
        <f t="shared" ca="1" si="5"/>
        <v>#REF!</v>
      </c>
      <c r="BD9" t="e">
        <f t="shared" ca="1" si="5"/>
        <v>#REF!</v>
      </c>
      <c r="BE9" t="e">
        <f t="shared" ca="1" si="5"/>
        <v>#REF!</v>
      </c>
      <c r="BF9" t="e">
        <f t="shared" ca="1" si="5"/>
        <v>#REF!</v>
      </c>
      <c r="BG9" t="e">
        <f t="shared" ca="1" si="5"/>
        <v>#REF!</v>
      </c>
      <c r="BH9" t="e">
        <f t="shared" ca="1" si="5"/>
        <v>#REF!</v>
      </c>
      <c r="BI9" t="e">
        <f t="shared" ca="1" si="5"/>
        <v>#REF!</v>
      </c>
      <c r="BJ9" t="e">
        <f t="shared" ca="1" si="5"/>
        <v>#REF!</v>
      </c>
      <c r="BK9" t="e">
        <f t="shared" ca="1" si="5"/>
        <v>#REF!</v>
      </c>
      <c r="BL9" t="e">
        <f t="shared" ca="1" si="5"/>
        <v>#REF!</v>
      </c>
      <c r="BM9" t="e">
        <f t="shared" ca="1" si="5"/>
        <v>#REF!</v>
      </c>
      <c r="BN9" s="44" t="e">
        <f t="shared" ca="1" si="5"/>
        <v>#REF!</v>
      </c>
      <c r="BO9" s="44" t="e">
        <f t="shared" ca="1" si="5"/>
        <v>#REF!</v>
      </c>
      <c r="BP9" s="44" t="e">
        <f t="shared" ca="1" si="5"/>
        <v>#REF!</v>
      </c>
      <c r="BQ9" s="44" t="e">
        <f t="shared" ca="1" si="6"/>
        <v>#REF!</v>
      </c>
      <c r="BR9" s="44" t="e">
        <f t="shared" ca="1" si="6"/>
        <v>#REF!</v>
      </c>
      <c r="BS9" s="44" t="e">
        <f t="shared" ca="1" si="6"/>
        <v>#REF!</v>
      </c>
      <c r="BT9" s="44" t="e">
        <f t="shared" ca="1" si="6"/>
        <v>#REF!</v>
      </c>
      <c r="BU9" s="44" t="e">
        <f t="shared" ca="1" si="6"/>
        <v>#REF!</v>
      </c>
      <c r="BV9" s="44" t="e">
        <f t="shared" ca="1" si="6"/>
        <v>#REF!</v>
      </c>
      <c r="BW9" s="44" t="e">
        <f t="shared" ca="1" si="6"/>
        <v>#REF!</v>
      </c>
      <c r="BX9" s="44" t="e">
        <f t="shared" ca="1" si="6"/>
        <v>#REF!</v>
      </c>
      <c r="BY9" s="44" t="e">
        <f t="shared" ca="1" si="6"/>
        <v>#REF!</v>
      </c>
      <c r="BZ9" s="44" t="e">
        <f t="shared" ca="1" si="6"/>
        <v>#REF!</v>
      </c>
      <c r="CA9" s="44" t="e">
        <f t="shared" ca="1" si="6"/>
        <v>#REF!</v>
      </c>
      <c r="CB9" s="44" t="e">
        <f t="shared" ca="1" si="6"/>
        <v>#REF!</v>
      </c>
      <c r="CC9" s="44" t="e">
        <f t="shared" ca="1" si="6"/>
        <v>#REF!</v>
      </c>
      <c r="CD9" s="44" t="e">
        <f t="shared" ca="1" si="6"/>
        <v>#REF!</v>
      </c>
      <c r="CE9" s="44" t="e">
        <f t="shared" ca="1" si="6"/>
        <v>#REF!</v>
      </c>
      <c r="CF9" s="44" t="e">
        <f t="shared" ca="1" si="6"/>
        <v>#REF!</v>
      </c>
      <c r="CG9" t="e">
        <f t="shared" ca="1" si="7"/>
        <v>#REF!</v>
      </c>
      <c r="CH9" t="e">
        <f t="shared" ca="1" si="7"/>
        <v>#REF!</v>
      </c>
      <c r="CI9" t="e">
        <f t="shared" ca="1" si="7"/>
        <v>#REF!</v>
      </c>
      <c r="CJ9" t="e">
        <f t="shared" ca="1" si="7"/>
        <v>#REF!</v>
      </c>
      <c r="CK9" t="e">
        <f t="shared" ca="1" si="7"/>
        <v>#REF!</v>
      </c>
      <c r="CL9" t="e">
        <f t="shared" ca="1" si="7"/>
        <v>#REF!</v>
      </c>
      <c r="CM9" t="e">
        <f t="shared" ca="1" si="7"/>
        <v>#REF!</v>
      </c>
      <c r="CN9" t="e">
        <f t="shared" ca="1" si="7"/>
        <v>#REF!</v>
      </c>
      <c r="CO9" t="e">
        <f t="shared" ca="1" si="7"/>
        <v>#REF!</v>
      </c>
      <c r="CP9" t="e">
        <f t="shared" ca="1" si="7"/>
        <v>#REF!</v>
      </c>
      <c r="CQ9" t="e">
        <f t="shared" ca="1" si="7"/>
        <v>#REF!</v>
      </c>
      <c r="CR9" t="e">
        <f t="shared" ca="1" si="7"/>
        <v>#REF!</v>
      </c>
      <c r="CS9" t="e">
        <f t="shared" ca="1" si="7"/>
        <v>#REF!</v>
      </c>
      <c r="CT9" t="e">
        <f t="shared" ca="1" si="7"/>
        <v>#REF!</v>
      </c>
      <c r="CU9" t="e">
        <f t="shared" ca="1" si="7"/>
        <v>#REF!</v>
      </c>
      <c r="CV9" t="e">
        <f t="shared" ca="1" si="7"/>
        <v>#REF!</v>
      </c>
      <c r="CW9" t="e">
        <f t="shared" ca="1" si="8"/>
        <v>#REF!</v>
      </c>
      <c r="CX9" t="e">
        <f t="shared" ca="1" si="8"/>
        <v>#REF!</v>
      </c>
      <c r="CY9" t="e">
        <f t="shared" ca="1" si="8"/>
        <v>#REF!</v>
      </c>
      <c r="CZ9" s="44" t="e">
        <f t="shared" ca="1" si="8"/>
        <v>#REF!</v>
      </c>
      <c r="DA9" s="44" t="e">
        <f t="shared" ca="1" si="8"/>
        <v>#REF!</v>
      </c>
      <c r="DB9" s="44" t="e">
        <f t="shared" ca="1" si="8"/>
        <v>#REF!</v>
      </c>
      <c r="DC9" s="44" t="e">
        <f t="shared" ca="1" si="8"/>
        <v>#REF!</v>
      </c>
      <c r="DD9" s="44" t="e">
        <f t="shared" ca="1" si="8"/>
        <v>#REF!</v>
      </c>
      <c r="DE9" s="44" t="e">
        <f t="shared" ca="1" si="8"/>
        <v>#REF!</v>
      </c>
      <c r="DF9" s="44" t="e">
        <f t="shared" ca="1" si="8"/>
        <v>#REF!</v>
      </c>
      <c r="DG9" s="44" t="e">
        <f t="shared" ca="1" si="8"/>
        <v>#REF!</v>
      </c>
      <c r="DH9" s="44" t="e">
        <f t="shared" ca="1" si="8"/>
        <v>#REF!</v>
      </c>
      <c r="DI9" s="44" t="e">
        <f t="shared" ca="1" si="8"/>
        <v>#REF!</v>
      </c>
      <c r="DJ9" s="44" t="e">
        <f t="shared" ca="1" si="8"/>
        <v>#REF!</v>
      </c>
      <c r="DK9" s="44" t="e">
        <f t="shared" ca="1" si="8"/>
        <v>#REF!</v>
      </c>
      <c r="DL9" s="44" t="e">
        <f t="shared" ca="1" si="8"/>
        <v>#REF!</v>
      </c>
      <c r="DM9" s="44" t="e">
        <f t="shared" ca="1" si="9"/>
        <v>#REF!</v>
      </c>
      <c r="DN9" s="44" t="e">
        <f t="shared" ca="1" si="9"/>
        <v>#REF!</v>
      </c>
      <c r="DO9" s="44" t="e">
        <f t="shared" ca="1" si="9"/>
        <v>#REF!</v>
      </c>
      <c r="DP9" s="44" t="e">
        <f t="shared" ca="1" si="9"/>
        <v>#REF!</v>
      </c>
      <c r="DQ9" s="44" t="e">
        <f t="shared" ca="1" si="9"/>
        <v>#REF!</v>
      </c>
      <c r="DR9" s="44" t="e">
        <f t="shared" ca="1" si="9"/>
        <v>#REF!</v>
      </c>
      <c r="DS9" t="e">
        <f t="shared" ca="1" si="9"/>
        <v>#REF!</v>
      </c>
      <c r="DT9" t="e">
        <f t="shared" ca="1" si="9"/>
        <v>#REF!</v>
      </c>
      <c r="DU9" t="e">
        <f t="shared" ca="1" si="9"/>
        <v>#REF!</v>
      </c>
      <c r="DV9" t="e">
        <f t="shared" ca="1" si="9"/>
        <v>#REF!</v>
      </c>
      <c r="DW9" t="e">
        <f t="shared" ca="1" si="9"/>
        <v>#REF!</v>
      </c>
      <c r="DX9" t="e">
        <f t="shared" ca="1" si="9"/>
        <v>#REF!</v>
      </c>
      <c r="DY9" t="e">
        <f t="shared" ca="1" si="9"/>
        <v>#REF!</v>
      </c>
      <c r="DZ9" t="e">
        <f t="shared" ca="1" si="9"/>
        <v>#REF!</v>
      </c>
      <c r="EA9" t="e">
        <f t="shared" ca="1" si="9"/>
        <v>#REF!</v>
      </c>
      <c r="EB9" t="e">
        <f t="shared" ca="1" si="9"/>
        <v>#REF!</v>
      </c>
      <c r="EC9" t="e">
        <f t="shared" ca="1" si="10"/>
        <v>#REF!</v>
      </c>
      <c r="ED9" t="e">
        <f t="shared" ca="1" si="10"/>
        <v>#REF!</v>
      </c>
      <c r="EE9" t="e">
        <f t="shared" ca="1" si="10"/>
        <v>#REF!</v>
      </c>
      <c r="EF9" t="e">
        <f t="shared" ca="1" si="10"/>
        <v>#REF!</v>
      </c>
      <c r="EG9" t="e">
        <f t="shared" ca="1" si="10"/>
        <v>#REF!</v>
      </c>
      <c r="EH9" t="e">
        <f t="shared" ca="1" si="10"/>
        <v>#REF!</v>
      </c>
      <c r="EI9" t="e">
        <f t="shared" ca="1" si="10"/>
        <v>#REF!</v>
      </c>
      <c r="EJ9" t="e">
        <f t="shared" ca="1" si="10"/>
        <v>#REF!</v>
      </c>
      <c r="EK9" s="44" t="e">
        <f t="shared" ca="1" si="10"/>
        <v>#REF!</v>
      </c>
      <c r="EL9" s="44" t="e">
        <f t="shared" ca="1" si="10"/>
        <v>#REF!</v>
      </c>
      <c r="EM9" s="44" t="e">
        <f t="shared" ca="1" si="10"/>
        <v>#REF!</v>
      </c>
      <c r="EN9" s="44" t="e">
        <f t="shared" ca="1" si="10"/>
        <v>#REF!</v>
      </c>
      <c r="EO9" s="44" t="e">
        <f t="shared" ca="1" si="10"/>
        <v>#REF!</v>
      </c>
      <c r="EP9" s="44" t="e">
        <f t="shared" ca="1" si="10"/>
        <v>#REF!</v>
      </c>
      <c r="EQ9" s="44" t="e">
        <f t="shared" ca="1" si="10"/>
        <v>#REF!</v>
      </c>
      <c r="ER9" s="44" t="e">
        <f t="shared" ca="1" si="10"/>
        <v>#REF!</v>
      </c>
      <c r="ES9" s="44" t="e">
        <f t="shared" ca="1" si="11"/>
        <v>#REF!</v>
      </c>
      <c r="ET9" s="44" t="e">
        <f t="shared" ca="1" si="11"/>
        <v>#REF!</v>
      </c>
      <c r="EU9" s="44" t="e">
        <f t="shared" ca="1" si="11"/>
        <v>#REF!</v>
      </c>
      <c r="EV9" s="44" t="e">
        <f t="shared" ca="1" si="11"/>
        <v>#REF!</v>
      </c>
      <c r="EW9" s="44" t="e">
        <f t="shared" ca="1" si="11"/>
        <v>#REF!</v>
      </c>
      <c r="EX9" s="44" t="e">
        <f t="shared" ca="1" si="11"/>
        <v>#REF!</v>
      </c>
      <c r="EY9" s="44" t="e">
        <f t="shared" ca="1" si="11"/>
        <v>#REF!</v>
      </c>
      <c r="EZ9" s="44" t="e">
        <f t="shared" ca="1" si="11"/>
        <v>#REF!</v>
      </c>
      <c r="FA9" s="44" t="e">
        <f t="shared" ca="1" si="11"/>
        <v>#REF!</v>
      </c>
      <c r="FB9" s="44" t="e">
        <f t="shared" ca="1" si="11"/>
        <v>#REF!</v>
      </c>
      <c r="FC9" s="56" t="e">
        <f t="shared" ca="1" si="11"/>
        <v>#REF!</v>
      </c>
      <c r="FD9" t="e">
        <f t="shared" ca="1" si="11"/>
        <v>#REF!</v>
      </c>
      <c r="FE9" t="e">
        <f t="shared" ca="1" si="11"/>
        <v>#REF!</v>
      </c>
      <c r="FF9" t="e">
        <f t="shared" ca="1" si="11"/>
        <v>#REF!</v>
      </c>
      <c r="FG9" t="e">
        <f t="shared" ca="1" si="11"/>
        <v>#REF!</v>
      </c>
      <c r="FH9" t="e">
        <f t="shared" ca="1" si="11"/>
        <v>#REF!</v>
      </c>
      <c r="FI9" t="e">
        <f t="shared" ca="1" si="12"/>
        <v>#REF!</v>
      </c>
      <c r="FJ9" t="e">
        <f t="shared" ca="1" si="12"/>
        <v>#REF!</v>
      </c>
      <c r="FK9" t="e">
        <f t="shared" ca="1" si="12"/>
        <v>#REF!</v>
      </c>
      <c r="FL9" t="e">
        <f t="shared" ca="1" si="12"/>
        <v>#REF!</v>
      </c>
      <c r="FM9" t="e">
        <f t="shared" ca="1" si="12"/>
        <v>#REF!</v>
      </c>
      <c r="FN9" t="e">
        <f t="shared" ca="1" si="12"/>
        <v>#REF!</v>
      </c>
      <c r="FO9" t="e">
        <f t="shared" ca="1" si="12"/>
        <v>#REF!</v>
      </c>
      <c r="FP9" t="e">
        <f t="shared" ca="1" si="12"/>
        <v>#REF!</v>
      </c>
      <c r="FQ9" t="e">
        <f t="shared" ca="1" si="12"/>
        <v>#REF!</v>
      </c>
      <c r="FR9" t="e">
        <f t="shared" ca="1" si="12"/>
        <v>#REF!</v>
      </c>
      <c r="FS9" t="e">
        <f t="shared" ca="1" si="12"/>
        <v>#REF!</v>
      </c>
      <c r="FT9" t="e">
        <f t="shared" ca="1" si="12"/>
        <v>#REF!</v>
      </c>
    </row>
    <row r="10" spans="1:176" ht="15" x14ac:dyDescent="0.25">
      <c r="A10" s="240">
        <v>124</v>
      </c>
      <c r="B10" t="e">
        <f t="shared" ca="1" si="0"/>
        <v>#REF!</v>
      </c>
      <c r="C10" t="e">
        <f t="shared" ca="1" si="1"/>
        <v>#REF!</v>
      </c>
      <c r="D10" t="e">
        <f t="shared" ca="1" si="1"/>
        <v>#REF!</v>
      </c>
      <c r="E10" t="e">
        <f t="shared" ca="1" si="1"/>
        <v>#REF!</v>
      </c>
      <c r="F10" t="e">
        <f t="shared" ca="1" si="13"/>
        <v>#REF!</v>
      </c>
      <c r="G10" t="e">
        <f t="shared" ca="1" si="2"/>
        <v>#REF!</v>
      </c>
      <c r="H10" t="e">
        <f t="shared" ca="1" si="2"/>
        <v>#REF!</v>
      </c>
      <c r="I10" t="e">
        <f t="shared" ca="1" si="1"/>
        <v>#REF!</v>
      </c>
      <c r="J10" t="e">
        <f t="shared" ca="1" si="1"/>
        <v>#REF!</v>
      </c>
      <c r="K10" t="e">
        <f t="shared" ca="1" si="1"/>
        <v>#REF!</v>
      </c>
      <c r="L10" t="e">
        <f t="shared" ca="1" si="1"/>
        <v>#REF!</v>
      </c>
      <c r="M10" t="e">
        <f t="shared" ca="1" si="1"/>
        <v>#REF!</v>
      </c>
      <c r="N10" t="e">
        <f t="shared" ca="1" si="1"/>
        <v>#REF!</v>
      </c>
      <c r="O10" t="e">
        <f t="shared" ca="1" si="1"/>
        <v>#REF!</v>
      </c>
      <c r="P10" t="e">
        <f t="shared" ca="1" si="1"/>
        <v>#REF!</v>
      </c>
      <c r="Q10" t="e">
        <f t="shared" ca="1" si="1"/>
        <v>#REF!</v>
      </c>
      <c r="R10" t="e">
        <f t="shared" ca="1" si="1"/>
        <v>#REF!</v>
      </c>
      <c r="S10" t="e">
        <f t="shared" ca="1" si="1"/>
        <v>#REF!</v>
      </c>
      <c r="T10" t="e">
        <f t="shared" ca="1" si="1"/>
        <v>#REF!</v>
      </c>
      <c r="U10" t="e">
        <f t="shared" ca="1" si="3"/>
        <v>#REF!</v>
      </c>
      <c r="V10" t="e">
        <f t="shared" ca="1" si="3"/>
        <v>#REF!</v>
      </c>
      <c r="W10" t="e">
        <f t="shared" ca="1" si="3"/>
        <v>#REF!</v>
      </c>
      <c r="X10" t="e">
        <f t="shared" ca="1" si="3"/>
        <v>#REF!</v>
      </c>
      <c r="Y10" t="e">
        <f t="shared" ca="1" si="3"/>
        <v>#REF!</v>
      </c>
      <c r="Z10" t="e">
        <f t="shared" ca="1" si="3"/>
        <v>#REF!</v>
      </c>
      <c r="AA10" t="e">
        <f t="shared" ca="1" si="3"/>
        <v>#REF!</v>
      </c>
      <c r="AB10" s="44" t="e">
        <f t="shared" ca="1" si="3"/>
        <v>#REF!</v>
      </c>
      <c r="AC10" s="44" t="e">
        <f t="shared" ca="1" si="3"/>
        <v>#REF!</v>
      </c>
      <c r="AD10" s="44" t="e">
        <f t="shared" ca="1" si="3"/>
        <v>#REF!</v>
      </c>
      <c r="AE10" s="44" t="e">
        <f t="shared" ca="1" si="3"/>
        <v>#REF!</v>
      </c>
      <c r="AF10" s="44" t="e">
        <f t="shared" ca="1" si="3"/>
        <v>#REF!</v>
      </c>
      <c r="AG10" s="44" t="e">
        <f t="shared" ca="1" si="3"/>
        <v>#REF!</v>
      </c>
      <c r="AH10" s="44" t="e">
        <f t="shared" ca="1" si="3"/>
        <v>#REF!</v>
      </c>
      <c r="AI10" s="44" t="e">
        <f t="shared" ca="1" si="3"/>
        <v>#REF!</v>
      </c>
      <c r="AJ10" s="44" t="e">
        <f t="shared" ca="1" si="3"/>
        <v>#REF!</v>
      </c>
      <c r="AK10" s="44" t="e">
        <f t="shared" ca="1" si="4"/>
        <v>#REF!</v>
      </c>
      <c r="AL10" s="44" t="e">
        <f t="shared" ca="1" si="4"/>
        <v>#REF!</v>
      </c>
      <c r="AM10" s="44" t="e">
        <f t="shared" ca="1" si="4"/>
        <v>#REF!</v>
      </c>
      <c r="AN10" s="44" t="e">
        <f t="shared" ca="1" si="4"/>
        <v>#REF!</v>
      </c>
      <c r="AO10" s="44" t="e">
        <f t="shared" ca="1" si="4"/>
        <v>#REF!</v>
      </c>
      <c r="AP10" s="44" t="e">
        <f t="shared" ca="1" si="4"/>
        <v>#REF!</v>
      </c>
      <c r="AQ10" s="44" t="e">
        <f t="shared" ca="1" si="4"/>
        <v>#REF!</v>
      </c>
      <c r="AR10" s="44" t="e">
        <f t="shared" ca="1" si="4"/>
        <v>#REF!</v>
      </c>
      <c r="AS10" s="44" t="e">
        <f t="shared" ca="1" si="4"/>
        <v>#REF!</v>
      </c>
      <c r="AT10" s="44" t="e">
        <f t="shared" ca="1" si="4"/>
        <v>#REF!</v>
      </c>
      <c r="AU10" t="e">
        <f t="shared" ca="1" si="4"/>
        <v>#REF!</v>
      </c>
      <c r="AV10" t="e">
        <f t="shared" ca="1" si="4"/>
        <v>#REF!</v>
      </c>
      <c r="AW10" t="e">
        <f t="shared" ca="1" si="4"/>
        <v>#REF!</v>
      </c>
      <c r="AX10" t="e">
        <f t="shared" ca="1" si="4"/>
        <v>#REF!</v>
      </c>
      <c r="AY10" t="e">
        <f t="shared" ca="1" si="4"/>
        <v>#REF!</v>
      </c>
      <c r="AZ10" t="e">
        <f t="shared" ca="1" si="4"/>
        <v>#REF!</v>
      </c>
      <c r="BA10" t="e">
        <f t="shared" ca="1" si="5"/>
        <v>#REF!</v>
      </c>
      <c r="BB10" t="e">
        <f t="shared" ca="1" si="5"/>
        <v>#REF!</v>
      </c>
      <c r="BC10" t="e">
        <f t="shared" ca="1" si="5"/>
        <v>#REF!</v>
      </c>
      <c r="BD10" t="e">
        <f t="shared" ca="1" si="5"/>
        <v>#REF!</v>
      </c>
      <c r="BE10" t="e">
        <f t="shared" ca="1" si="5"/>
        <v>#REF!</v>
      </c>
      <c r="BF10" t="e">
        <f t="shared" ca="1" si="5"/>
        <v>#REF!</v>
      </c>
      <c r="BG10" t="e">
        <f t="shared" ca="1" si="5"/>
        <v>#REF!</v>
      </c>
      <c r="BH10" t="e">
        <f t="shared" ca="1" si="5"/>
        <v>#REF!</v>
      </c>
      <c r="BI10" t="e">
        <f t="shared" ca="1" si="5"/>
        <v>#REF!</v>
      </c>
      <c r="BJ10" t="e">
        <f t="shared" ca="1" si="5"/>
        <v>#REF!</v>
      </c>
      <c r="BK10" t="e">
        <f t="shared" ca="1" si="5"/>
        <v>#REF!</v>
      </c>
      <c r="BL10" t="e">
        <f t="shared" ca="1" si="5"/>
        <v>#REF!</v>
      </c>
      <c r="BM10" t="e">
        <f t="shared" ca="1" si="5"/>
        <v>#REF!</v>
      </c>
      <c r="BN10" s="44" t="e">
        <f t="shared" ca="1" si="5"/>
        <v>#REF!</v>
      </c>
      <c r="BO10" s="44" t="e">
        <f t="shared" ca="1" si="5"/>
        <v>#REF!</v>
      </c>
      <c r="BP10" s="44" t="e">
        <f t="shared" ca="1" si="5"/>
        <v>#REF!</v>
      </c>
      <c r="BQ10" s="44" t="e">
        <f t="shared" ca="1" si="6"/>
        <v>#REF!</v>
      </c>
      <c r="BR10" s="44" t="e">
        <f t="shared" ca="1" si="6"/>
        <v>#REF!</v>
      </c>
      <c r="BS10" s="44" t="e">
        <f t="shared" ca="1" si="6"/>
        <v>#REF!</v>
      </c>
      <c r="BT10" s="44" t="e">
        <f t="shared" ca="1" si="6"/>
        <v>#REF!</v>
      </c>
      <c r="BU10" s="44" t="e">
        <f t="shared" ca="1" si="6"/>
        <v>#REF!</v>
      </c>
      <c r="BV10" s="44" t="e">
        <f t="shared" ca="1" si="6"/>
        <v>#REF!</v>
      </c>
      <c r="BW10" s="44" t="e">
        <f t="shared" ca="1" si="6"/>
        <v>#REF!</v>
      </c>
      <c r="BX10" s="44" t="e">
        <f t="shared" ca="1" si="6"/>
        <v>#REF!</v>
      </c>
      <c r="BY10" s="44" t="e">
        <f t="shared" ca="1" si="6"/>
        <v>#REF!</v>
      </c>
      <c r="BZ10" s="44" t="e">
        <f t="shared" ca="1" si="6"/>
        <v>#REF!</v>
      </c>
      <c r="CA10" s="44" t="e">
        <f t="shared" ca="1" si="6"/>
        <v>#REF!</v>
      </c>
      <c r="CB10" s="44" t="e">
        <f t="shared" ca="1" si="6"/>
        <v>#REF!</v>
      </c>
      <c r="CC10" s="44" t="e">
        <f t="shared" ca="1" si="6"/>
        <v>#REF!</v>
      </c>
      <c r="CD10" s="44" t="e">
        <f t="shared" ca="1" si="6"/>
        <v>#REF!</v>
      </c>
      <c r="CE10" s="44" t="e">
        <f t="shared" ca="1" si="6"/>
        <v>#REF!</v>
      </c>
      <c r="CF10" s="44" t="e">
        <f t="shared" ca="1" si="6"/>
        <v>#REF!</v>
      </c>
      <c r="CG10" t="e">
        <f t="shared" ca="1" si="7"/>
        <v>#REF!</v>
      </c>
      <c r="CH10" t="e">
        <f t="shared" ca="1" si="7"/>
        <v>#REF!</v>
      </c>
      <c r="CI10" t="e">
        <f t="shared" ca="1" si="7"/>
        <v>#REF!</v>
      </c>
      <c r="CJ10" t="e">
        <f t="shared" ca="1" si="7"/>
        <v>#REF!</v>
      </c>
      <c r="CK10" t="e">
        <f t="shared" ca="1" si="7"/>
        <v>#REF!</v>
      </c>
      <c r="CL10" t="e">
        <f t="shared" ca="1" si="7"/>
        <v>#REF!</v>
      </c>
      <c r="CM10" t="e">
        <f t="shared" ca="1" si="7"/>
        <v>#REF!</v>
      </c>
      <c r="CN10" t="e">
        <f t="shared" ca="1" si="7"/>
        <v>#REF!</v>
      </c>
      <c r="CO10" t="e">
        <f t="shared" ca="1" si="7"/>
        <v>#REF!</v>
      </c>
      <c r="CP10" t="e">
        <f t="shared" ca="1" si="7"/>
        <v>#REF!</v>
      </c>
      <c r="CQ10" t="e">
        <f t="shared" ca="1" si="7"/>
        <v>#REF!</v>
      </c>
      <c r="CR10" t="e">
        <f t="shared" ca="1" si="7"/>
        <v>#REF!</v>
      </c>
      <c r="CS10" t="e">
        <f t="shared" ca="1" si="7"/>
        <v>#REF!</v>
      </c>
      <c r="CT10" t="e">
        <f t="shared" ca="1" si="7"/>
        <v>#REF!</v>
      </c>
      <c r="CU10" t="e">
        <f t="shared" ca="1" si="7"/>
        <v>#REF!</v>
      </c>
      <c r="CV10" t="e">
        <f t="shared" ca="1" si="7"/>
        <v>#REF!</v>
      </c>
      <c r="CW10" t="e">
        <f t="shared" ca="1" si="8"/>
        <v>#REF!</v>
      </c>
      <c r="CX10" t="e">
        <f t="shared" ca="1" si="8"/>
        <v>#REF!</v>
      </c>
      <c r="CY10" t="e">
        <f t="shared" ca="1" si="8"/>
        <v>#REF!</v>
      </c>
      <c r="CZ10" s="44" t="e">
        <f t="shared" ca="1" si="8"/>
        <v>#REF!</v>
      </c>
      <c r="DA10" s="44" t="e">
        <f t="shared" ca="1" si="8"/>
        <v>#REF!</v>
      </c>
      <c r="DB10" s="44" t="e">
        <f t="shared" ca="1" si="8"/>
        <v>#REF!</v>
      </c>
      <c r="DC10" s="44" t="e">
        <f t="shared" ca="1" si="8"/>
        <v>#REF!</v>
      </c>
      <c r="DD10" s="44" t="e">
        <f t="shared" ca="1" si="8"/>
        <v>#REF!</v>
      </c>
      <c r="DE10" s="44" t="e">
        <f t="shared" ca="1" si="8"/>
        <v>#REF!</v>
      </c>
      <c r="DF10" s="44" t="e">
        <f t="shared" ca="1" si="8"/>
        <v>#REF!</v>
      </c>
      <c r="DG10" s="44" t="e">
        <f t="shared" ca="1" si="8"/>
        <v>#REF!</v>
      </c>
      <c r="DH10" s="44" t="e">
        <f t="shared" ca="1" si="8"/>
        <v>#REF!</v>
      </c>
      <c r="DI10" s="44" t="e">
        <f t="shared" ca="1" si="8"/>
        <v>#REF!</v>
      </c>
      <c r="DJ10" s="44" t="e">
        <f t="shared" ca="1" si="8"/>
        <v>#REF!</v>
      </c>
      <c r="DK10" s="44" t="e">
        <f t="shared" ca="1" si="8"/>
        <v>#REF!</v>
      </c>
      <c r="DL10" s="44" t="e">
        <f t="shared" ca="1" si="8"/>
        <v>#REF!</v>
      </c>
      <c r="DM10" s="44" t="e">
        <f t="shared" ca="1" si="9"/>
        <v>#REF!</v>
      </c>
      <c r="DN10" s="44" t="e">
        <f t="shared" ca="1" si="9"/>
        <v>#REF!</v>
      </c>
      <c r="DO10" s="44" t="e">
        <f t="shared" ca="1" si="9"/>
        <v>#REF!</v>
      </c>
      <c r="DP10" s="44" t="e">
        <f t="shared" ca="1" si="9"/>
        <v>#REF!</v>
      </c>
      <c r="DQ10" s="44" t="e">
        <f t="shared" ca="1" si="9"/>
        <v>#REF!</v>
      </c>
      <c r="DR10" s="44" t="e">
        <f t="shared" ca="1" si="9"/>
        <v>#REF!</v>
      </c>
      <c r="DS10" t="e">
        <f t="shared" ca="1" si="9"/>
        <v>#REF!</v>
      </c>
      <c r="DT10" t="e">
        <f t="shared" ca="1" si="9"/>
        <v>#REF!</v>
      </c>
      <c r="DU10" t="e">
        <f t="shared" ca="1" si="9"/>
        <v>#REF!</v>
      </c>
      <c r="DV10" t="e">
        <f t="shared" ca="1" si="9"/>
        <v>#REF!</v>
      </c>
      <c r="DW10" t="e">
        <f t="shared" ca="1" si="9"/>
        <v>#REF!</v>
      </c>
      <c r="DX10" t="e">
        <f t="shared" ca="1" si="9"/>
        <v>#REF!</v>
      </c>
      <c r="DY10" t="e">
        <f t="shared" ca="1" si="9"/>
        <v>#REF!</v>
      </c>
      <c r="DZ10" t="e">
        <f t="shared" ca="1" si="9"/>
        <v>#REF!</v>
      </c>
      <c r="EA10" t="e">
        <f t="shared" ca="1" si="9"/>
        <v>#REF!</v>
      </c>
      <c r="EB10" t="e">
        <f t="shared" ca="1" si="9"/>
        <v>#REF!</v>
      </c>
      <c r="EC10" t="e">
        <f t="shared" ca="1" si="10"/>
        <v>#REF!</v>
      </c>
      <c r="ED10" t="e">
        <f t="shared" ca="1" si="10"/>
        <v>#REF!</v>
      </c>
      <c r="EE10" t="e">
        <f t="shared" ca="1" si="10"/>
        <v>#REF!</v>
      </c>
      <c r="EF10" t="e">
        <f t="shared" ca="1" si="10"/>
        <v>#REF!</v>
      </c>
      <c r="EG10" t="e">
        <f t="shared" ca="1" si="10"/>
        <v>#REF!</v>
      </c>
      <c r="EH10" t="e">
        <f t="shared" ca="1" si="10"/>
        <v>#REF!</v>
      </c>
      <c r="EI10" t="e">
        <f t="shared" ca="1" si="10"/>
        <v>#REF!</v>
      </c>
      <c r="EJ10" t="e">
        <f t="shared" ca="1" si="10"/>
        <v>#REF!</v>
      </c>
      <c r="EK10" s="44" t="e">
        <f t="shared" ca="1" si="10"/>
        <v>#REF!</v>
      </c>
      <c r="EL10" s="44" t="e">
        <f t="shared" ca="1" si="10"/>
        <v>#REF!</v>
      </c>
      <c r="EM10" s="44" t="e">
        <f t="shared" ca="1" si="10"/>
        <v>#REF!</v>
      </c>
      <c r="EN10" s="44" t="e">
        <f t="shared" ca="1" si="10"/>
        <v>#REF!</v>
      </c>
      <c r="EO10" s="44" t="e">
        <f t="shared" ca="1" si="10"/>
        <v>#REF!</v>
      </c>
      <c r="EP10" s="44" t="e">
        <f t="shared" ca="1" si="10"/>
        <v>#REF!</v>
      </c>
      <c r="EQ10" s="44" t="e">
        <f t="shared" ca="1" si="10"/>
        <v>#REF!</v>
      </c>
      <c r="ER10" s="44" t="e">
        <f t="shared" ca="1" si="10"/>
        <v>#REF!</v>
      </c>
      <c r="ES10" s="44" t="e">
        <f t="shared" ca="1" si="11"/>
        <v>#REF!</v>
      </c>
      <c r="ET10" s="44" t="e">
        <f t="shared" ca="1" si="11"/>
        <v>#REF!</v>
      </c>
      <c r="EU10" s="44" t="e">
        <f t="shared" ca="1" si="11"/>
        <v>#REF!</v>
      </c>
      <c r="EV10" s="44" t="e">
        <f t="shared" ca="1" si="11"/>
        <v>#REF!</v>
      </c>
      <c r="EW10" s="44" t="e">
        <f t="shared" ca="1" si="11"/>
        <v>#REF!</v>
      </c>
      <c r="EX10" s="44" t="e">
        <f t="shared" ca="1" si="11"/>
        <v>#REF!</v>
      </c>
      <c r="EY10" s="44" t="e">
        <f t="shared" ca="1" si="11"/>
        <v>#REF!</v>
      </c>
      <c r="EZ10" s="44" t="e">
        <f t="shared" ca="1" si="11"/>
        <v>#REF!</v>
      </c>
      <c r="FA10" s="44" t="e">
        <f t="shared" ca="1" si="11"/>
        <v>#REF!</v>
      </c>
      <c r="FB10" s="44" t="e">
        <f t="shared" ca="1" si="11"/>
        <v>#REF!</v>
      </c>
      <c r="FC10" s="56" t="e">
        <f t="shared" ca="1" si="11"/>
        <v>#REF!</v>
      </c>
      <c r="FD10" t="e">
        <f t="shared" ca="1" si="11"/>
        <v>#REF!</v>
      </c>
      <c r="FE10" t="e">
        <f t="shared" ca="1" si="11"/>
        <v>#REF!</v>
      </c>
      <c r="FF10" t="e">
        <f t="shared" ca="1" si="11"/>
        <v>#REF!</v>
      </c>
      <c r="FG10" t="e">
        <f t="shared" ca="1" si="11"/>
        <v>#REF!</v>
      </c>
      <c r="FH10" t="e">
        <f t="shared" ca="1" si="11"/>
        <v>#REF!</v>
      </c>
      <c r="FI10" t="e">
        <f t="shared" ca="1" si="12"/>
        <v>#REF!</v>
      </c>
      <c r="FJ10" t="e">
        <f t="shared" ca="1" si="12"/>
        <v>#REF!</v>
      </c>
      <c r="FK10" t="e">
        <f t="shared" ca="1" si="12"/>
        <v>#REF!</v>
      </c>
      <c r="FL10" t="e">
        <f t="shared" ca="1" si="12"/>
        <v>#REF!</v>
      </c>
      <c r="FM10" t="e">
        <f t="shared" ca="1" si="12"/>
        <v>#REF!</v>
      </c>
      <c r="FN10" t="e">
        <f t="shared" ca="1" si="12"/>
        <v>#REF!</v>
      </c>
      <c r="FO10" t="e">
        <f t="shared" ca="1" si="12"/>
        <v>#REF!</v>
      </c>
      <c r="FP10" t="e">
        <f t="shared" ca="1" si="12"/>
        <v>#REF!</v>
      </c>
      <c r="FQ10" t="e">
        <f t="shared" ca="1" si="12"/>
        <v>#REF!</v>
      </c>
      <c r="FR10" t="e">
        <f t="shared" ca="1" si="12"/>
        <v>#REF!</v>
      </c>
      <c r="FS10" t="e">
        <f t="shared" ca="1" si="12"/>
        <v>#REF!</v>
      </c>
      <c r="FT10" t="e">
        <f t="shared" ca="1" si="12"/>
        <v>#REF!</v>
      </c>
    </row>
    <row r="11" spans="1:176" ht="15" x14ac:dyDescent="0.25">
      <c r="A11" s="240">
        <v>133</v>
      </c>
      <c r="B11" t="e">
        <f t="shared" ca="1" si="0"/>
        <v>#REF!</v>
      </c>
      <c r="C11" t="e">
        <f t="shared" ca="1" si="1"/>
        <v>#REF!</v>
      </c>
      <c r="D11" t="e">
        <f t="shared" ca="1" si="1"/>
        <v>#REF!</v>
      </c>
      <c r="E11" t="e">
        <f t="shared" ca="1" si="1"/>
        <v>#REF!</v>
      </c>
      <c r="F11" t="e">
        <f t="shared" ca="1" si="13"/>
        <v>#REF!</v>
      </c>
      <c r="G11" t="e">
        <f t="shared" ca="1" si="2"/>
        <v>#REF!</v>
      </c>
      <c r="H11" t="e">
        <f t="shared" ca="1" si="2"/>
        <v>#REF!</v>
      </c>
      <c r="I11" t="e">
        <f t="shared" ca="1" si="1"/>
        <v>#REF!</v>
      </c>
      <c r="J11" t="e">
        <f t="shared" ca="1" si="1"/>
        <v>#REF!</v>
      </c>
      <c r="K11" t="e">
        <f t="shared" ca="1" si="1"/>
        <v>#REF!</v>
      </c>
      <c r="L11" t="e">
        <f t="shared" ca="1" si="1"/>
        <v>#REF!</v>
      </c>
      <c r="M11" t="e">
        <f t="shared" ca="1" si="1"/>
        <v>#REF!</v>
      </c>
      <c r="N11" t="e">
        <f t="shared" ca="1" si="1"/>
        <v>#REF!</v>
      </c>
      <c r="O11" t="e">
        <f t="shared" ca="1" si="1"/>
        <v>#REF!</v>
      </c>
      <c r="P11" t="e">
        <f t="shared" ca="1" si="1"/>
        <v>#REF!</v>
      </c>
      <c r="Q11" t="e">
        <f t="shared" ca="1" si="1"/>
        <v>#REF!</v>
      </c>
      <c r="R11" t="e">
        <f t="shared" ca="1" si="1"/>
        <v>#REF!</v>
      </c>
      <c r="S11" t="e">
        <f t="shared" ca="1" si="1"/>
        <v>#REF!</v>
      </c>
      <c r="T11" t="e">
        <f t="shared" ca="1" si="1"/>
        <v>#REF!</v>
      </c>
      <c r="U11" t="e">
        <f t="shared" ca="1" si="3"/>
        <v>#REF!</v>
      </c>
      <c r="V11" t="e">
        <f t="shared" ca="1" si="3"/>
        <v>#REF!</v>
      </c>
      <c r="W11" t="e">
        <f t="shared" ca="1" si="3"/>
        <v>#REF!</v>
      </c>
      <c r="X11" t="e">
        <f t="shared" ca="1" si="3"/>
        <v>#REF!</v>
      </c>
      <c r="Y11" t="e">
        <f t="shared" ca="1" si="3"/>
        <v>#REF!</v>
      </c>
      <c r="Z11" t="e">
        <f t="shared" ca="1" si="3"/>
        <v>#REF!</v>
      </c>
      <c r="AA11" t="e">
        <f t="shared" ca="1" si="3"/>
        <v>#REF!</v>
      </c>
      <c r="AB11" s="44" t="e">
        <f t="shared" ca="1" si="3"/>
        <v>#REF!</v>
      </c>
      <c r="AC11" s="44" t="e">
        <f t="shared" ca="1" si="3"/>
        <v>#REF!</v>
      </c>
      <c r="AD11" s="44" t="e">
        <f t="shared" ca="1" si="3"/>
        <v>#REF!</v>
      </c>
      <c r="AE11" s="44" t="e">
        <f t="shared" ca="1" si="3"/>
        <v>#REF!</v>
      </c>
      <c r="AF11" s="44" t="e">
        <f t="shared" ca="1" si="3"/>
        <v>#REF!</v>
      </c>
      <c r="AG11" s="44" t="e">
        <f t="shared" ca="1" si="3"/>
        <v>#REF!</v>
      </c>
      <c r="AH11" s="44" t="e">
        <f t="shared" ca="1" si="3"/>
        <v>#REF!</v>
      </c>
      <c r="AI11" s="44" t="e">
        <f t="shared" ca="1" si="3"/>
        <v>#REF!</v>
      </c>
      <c r="AJ11" s="44" t="e">
        <f t="shared" ca="1" si="3"/>
        <v>#REF!</v>
      </c>
      <c r="AK11" s="44" t="e">
        <f t="shared" ca="1" si="4"/>
        <v>#REF!</v>
      </c>
      <c r="AL11" s="44" t="e">
        <f t="shared" ca="1" si="4"/>
        <v>#REF!</v>
      </c>
      <c r="AM11" s="44" t="e">
        <f t="shared" ca="1" si="4"/>
        <v>#REF!</v>
      </c>
      <c r="AN11" s="44" t="e">
        <f t="shared" ca="1" si="4"/>
        <v>#REF!</v>
      </c>
      <c r="AO11" s="44" t="e">
        <f t="shared" ca="1" si="4"/>
        <v>#REF!</v>
      </c>
      <c r="AP11" s="44" t="e">
        <f t="shared" ca="1" si="4"/>
        <v>#REF!</v>
      </c>
      <c r="AQ11" s="44" t="e">
        <f t="shared" ca="1" si="4"/>
        <v>#REF!</v>
      </c>
      <c r="AR11" s="44" t="e">
        <f t="shared" ca="1" si="4"/>
        <v>#REF!</v>
      </c>
      <c r="AS11" s="44" t="e">
        <f t="shared" ca="1" si="4"/>
        <v>#REF!</v>
      </c>
      <c r="AT11" s="44" t="e">
        <f t="shared" ca="1" si="4"/>
        <v>#REF!</v>
      </c>
      <c r="AU11" t="e">
        <f t="shared" ca="1" si="4"/>
        <v>#REF!</v>
      </c>
      <c r="AV11" t="e">
        <f t="shared" ca="1" si="4"/>
        <v>#REF!</v>
      </c>
      <c r="AW11" t="e">
        <f t="shared" ca="1" si="4"/>
        <v>#REF!</v>
      </c>
      <c r="AX11" t="e">
        <f t="shared" ca="1" si="4"/>
        <v>#REF!</v>
      </c>
      <c r="AY11" t="e">
        <f t="shared" ca="1" si="4"/>
        <v>#REF!</v>
      </c>
      <c r="AZ11" t="e">
        <f t="shared" ca="1" si="4"/>
        <v>#REF!</v>
      </c>
      <c r="BA11" t="e">
        <f t="shared" ca="1" si="5"/>
        <v>#REF!</v>
      </c>
      <c r="BB11" t="e">
        <f t="shared" ca="1" si="5"/>
        <v>#REF!</v>
      </c>
      <c r="BC11" t="e">
        <f t="shared" ca="1" si="5"/>
        <v>#REF!</v>
      </c>
      <c r="BD11" t="e">
        <f t="shared" ca="1" si="5"/>
        <v>#REF!</v>
      </c>
      <c r="BE11" t="e">
        <f t="shared" ca="1" si="5"/>
        <v>#REF!</v>
      </c>
      <c r="BF11" t="e">
        <f t="shared" ca="1" si="5"/>
        <v>#REF!</v>
      </c>
      <c r="BG11" t="e">
        <f t="shared" ca="1" si="5"/>
        <v>#REF!</v>
      </c>
      <c r="BH11" t="e">
        <f t="shared" ca="1" si="5"/>
        <v>#REF!</v>
      </c>
      <c r="BI11" t="e">
        <f t="shared" ca="1" si="5"/>
        <v>#REF!</v>
      </c>
      <c r="BJ11" t="e">
        <f t="shared" ca="1" si="5"/>
        <v>#REF!</v>
      </c>
      <c r="BK11" t="e">
        <f t="shared" ca="1" si="5"/>
        <v>#REF!</v>
      </c>
      <c r="BL11" t="e">
        <f t="shared" ca="1" si="5"/>
        <v>#REF!</v>
      </c>
      <c r="BM11" t="e">
        <f t="shared" ca="1" si="5"/>
        <v>#REF!</v>
      </c>
      <c r="BN11" s="44" t="e">
        <f t="shared" ca="1" si="5"/>
        <v>#REF!</v>
      </c>
      <c r="BO11" s="44" t="e">
        <f t="shared" ca="1" si="5"/>
        <v>#REF!</v>
      </c>
      <c r="BP11" s="44" t="e">
        <f t="shared" ca="1" si="5"/>
        <v>#REF!</v>
      </c>
      <c r="BQ11" s="44" t="e">
        <f t="shared" ca="1" si="6"/>
        <v>#REF!</v>
      </c>
      <c r="BR11" s="44" t="e">
        <f t="shared" ca="1" si="6"/>
        <v>#REF!</v>
      </c>
      <c r="BS11" s="44" t="e">
        <f t="shared" ca="1" si="6"/>
        <v>#REF!</v>
      </c>
      <c r="BT11" s="44" t="e">
        <f t="shared" ca="1" si="6"/>
        <v>#REF!</v>
      </c>
      <c r="BU11" s="44" t="e">
        <f t="shared" ca="1" si="6"/>
        <v>#REF!</v>
      </c>
      <c r="BV11" s="44" t="e">
        <f t="shared" ca="1" si="6"/>
        <v>#REF!</v>
      </c>
      <c r="BW11" s="44" t="e">
        <f t="shared" ca="1" si="6"/>
        <v>#REF!</v>
      </c>
      <c r="BX11" s="44" t="e">
        <f t="shared" ca="1" si="6"/>
        <v>#REF!</v>
      </c>
      <c r="BY11" s="44" t="e">
        <f t="shared" ca="1" si="6"/>
        <v>#REF!</v>
      </c>
      <c r="BZ11" s="44" t="e">
        <f t="shared" ca="1" si="6"/>
        <v>#REF!</v>
      </c>
      <c r="CA11" s="44" t="e">
        <f t="shared" ca="1" si="6"/>
        <v>#REF!</v>
      </c>
      <c r="CB11" s="44" t="e">
        <f t="shared" ca="1" si="6"/>
        <v>#REF!</v>
      </c>
      <c r="CC11" s="44" t="e">
        <f t="shared" ca="1" si="6"/>
        <v>#REF!</v>
      </c>
      <c r="CD11" s="44" t="e">
        <f t="shared" ca="1" si="6"/>
        <v>#REF!</v>
      </c>
      <c r="CE11" s="44" t="e">
        <f t="shared" ca="1" si="6"/>
        <v>#REF!</v>
      </c>
      <c r="CF11" s="44" t="e">
        <f t="shared" ca="1" si="6"/>
        <v>#REF!</v>
      </c>
      <c r="CG11" t="e">
        <f t="shared" ca="1" si="7"/>
        <v>#REF!</v>
      </c>
      <c r="CH11" t="e">
        <f t="shared" ca="1" si="7"/>
        <v>#REF!</v>
      </c>
      <c r="CI11" t="e">
        <f t="shared" ca="1" si="7"/>
        <v>#REF!</v>
      </c>
      <c r="CJ11" t="e">
        <f t="shared" ca="1" si="7"/>
        <v>#REF!</v>
      </c>
      <c r="CK11" t="e">
        <f t="shared" ca="1" si="7"/>
        <v>#REF!</v>
      </c>
      <c r="CL11" t="e">
        <f t="shared" ca="1" si="7"/>
        <v>#REF!</v>
      </c>
      <c r="CM11" t="e">
        <f t="shared" ca="1" si="7"/>
        <v>#REF!</v>
      </c>
      <c r="CN11" t="e">
        <f t="shared" ca="1" si="7"/>
        <v>#REF!</v>
      </c>
      <c r="CO11" t="e">
        <f t="shared" ca="1" si="7"/>
        <v>#REF!</v>
      </c>
      <c r="CP11" t="e">
        <f t="shared" ca="1" si="7"/>
        <v>#REF!</v>
      </c>
      <c r="CQ11" t="e">
        <f t="shared" ca="1" si="7"/>
        <v>#REF!</v>
      </c>
      <c r="CR11" t="e">
        <f t="shared" ca="1" si="7"/>
        <v>#REF!</v>
      </c>
      <c r="CS11" t="e">
        <f t="shared" ca="1" si="7"/>
        <v>#REF!</v>
      </c>
      <c r="CT11" t="e">
        <f t="shared" ca="1" si="7"/>
        <v>#REF!</v>
      </c>
      <c r="CU11" t="e">
        <f t="shared" ca="1" si="7"/>
        <v>#REF!</v>
      </c>
      <c r="CV11" t="e">
        <f t="shared" ca="1" si="7"/>
        <v>#REF!</v>
      </c>
      <c r="CW11" t="e">
        <f t="shared" ca="1" si="8"/>
        <v>#REF!</v>
      </c>
      <c r="CX11" t="e">
        <f t="shared" ca="1" si="8"/>
        <v>#REF!</v>
      </c>
      <c r="CY11" t="e">
        <f t="shared" ca="1" si="8"/>
        <v>#REF!</v>
      </c>
      <c r="CZ11" s="44" t="e">
        <f t="shared" ca="1" si="8"/>
        <v>#REF!</v>
      </c>
      <c r="DA11" s="44" t="e">
        <f t="shared" ca="1" si="8"/>
        <v>#REF!</v>
      </c>
      <c r="DB11" s="44" t="e">
        <f t="shared" ca="1" si="8"/>
        <v>#REF!</v>
      </c>
      <c r="DC11" s="44" t="e">
        <f t="shared" ca="1" si="8"/>
        <v>#REF!</v>
      </c>
      <c r="DD11" s="44" t="e">
        <f t="shared" ca="1" si="8"/>
        <v>#REF!</v>
      </c>
      <c r="DE11" s="44" t="e">
        <f t="shared" ca="1" si="8"/>
        <v>#REF!</v>
      </c>
      <c r="DF11" s="44" t="e">
        <f t="shared" ca="1" si="8"/>
        <v>#REF!</v>
      </c>
      <c r="DG11" s="44" t="e">
        <f t="shared" ca="1" si="8"/>
        <v>#REF!</v>
      </c>
      <c r="DH11" s="44" t="e">
        <f t="shared" ca="1" si="8"/>
        <v>#REF!</v>
      </c>
      <c r="DI11" s="44" t="e">
        <f t="shared" ca="1" si="8"/>
        <v>#REF!</v>
      </c>
      <c r="DJ11" s="44" t="e">
        <f t="shared" ca="1" si="8"/>
        <v>#REF!</v>
      </c>
      <c r="DK11" s="44" t="e">
        <f t="shared" ca="1" si="8"/>
        <v>#REF!</v>
      </c>
      <c r="DL11" s="44" t="e">
        <f t="shared" ca="1" si="8"/>
        <v>#REF!</v>
      </c>
      <c r="DM11" s="44" t="e">
        <f t="shared" ca="1" si="9"/>
        <v>#REF!</v>
      </c>
      <c r="DN11" s="44" t="e">
        <f t="shared" ca="1" si="9"/>
        <v>#REF!</v>
      </c>
      <c r="DO11" s="44" t="e">
        <f t="shared" ca="1" si="9"/>
        <v>#REF!</v>
      </c>
      <c r="DP11" s="44" t="e">
        <f t="shared" ca="1" si="9"/>
        <v>#REF!</v>
      </c>
      <c r="DQ11" s="44" t="e">
        <f t="shared" ca="1" si="9"/>
        <v>#REF!</v>
      </c>
      <c r="DR11" s="44" t="e">
        <f t="shared" ca="1" si="9"/>
        <v>#REF!</v>
      </c>
      <c r="DS11" t="e">
        <f t="shared" ca="1" si="9"/>
        <v>#REF!</v>
      </c>
      <c r="DT11" t="e">
        <f t="shared" ca="1" si="9"/>
        <v>#REF!</v>
      </c>
      <c r="DU11" t="e">
        <f t="shared" ca="1" si="9"/>
        <v>#REF!</v>
      </c>
      <c r="DV11" t="e">
        <f t="shared" ca="1" si="9"/>
        <v>#REF!</v>
      </c>
      <c r="DW11" t="e">
        <f t="shared" ca="1" si="9"/>
        <v>#REF!</v>
      </c>
      <c r="DX11" t="e">
        <f t="shared" ca="1" si="9"/>
        <v>#REF!</v>
      </c>
      <c r="DY11" t="e">
        <f t="shared" ca="1" si="9"/>
        <v>#REF!</v>
      </c>
      <c r="DZ11" t="e">
        <f t="shared" ca="1" si="9"/>
        <v>#REF!</v>
      </c>
      <c r="EA11" t="e">
        <f t="shared" ca="1" si="9"/>
        <v>#REF!</v>
      </c>
      <c r="EB11" t="e">
        <f t="shared" ca="1" si="9"/>
        <v>#REF!</v>
      </c>
      <c r="EC11" t="e">
        <f t="shared" ca="1" si="10"/>
        <v>#REF!</v>
      </c>
      <c r="ED11" t="e">
        <f t="shared" ca="1" si="10"/>
        <v>#REF!</v>
      </c>
      <c r="EE11" t="e">
        <f t="shared" ca="1" si="10"/>
        <v>#REF!</v>
      </c>
      <c r="EF11" t="e">
        <f t="shared" ca="1" si="10"/>
        <v>#REF!</v>
      </c>
      <c r="EG11" t="e">
        <f t="shared" ca="1" si="10"/>
        <v>#REF!</v>
      </c>
      <c r="EH11" t="e">
        <f t="shared" ca="1" si="10"/>
        <v>#REF!</v>
      </c>
      <c r="EI11" t="e">
        <f t="shared" ca="1" si="10"/>
        <v>#REF!</v>
      </c>
      <c r="EJ11" t="e">
        <f t="shared" ca="1" si="10"/>
        <v>#REF!</v>
      </c>
      <c r="EK11" s="44" t="e">
        <f t="shared" ca="1" si="10"/>
        <v>#REF!</v>
      </c>
      <c r="EL11" s="44" t="e">
        <f t="shared" ca="1" si="10"/>
        <v>#REF!</v>
      </c>
      <c r="EM11" s="44" t="e">
        <f t="shared" ca="1" si="10"/>
        <v>#REF!</v>
      </c>
      <c r="EN11" s="44" t="e">
        <f t="shared" ca="1" si="10"/>
        <v>#REF!</v>
      </c>
      <c r="EO11" s="44" t="e">
        <f t="shared" ca="1" si="10"/>
        <v>#REF!</v>
      </c>
      <c r="EP11" s="44" t="e">
        <f t="shared" ca="1" si="10"/>
        <v>#REF!</v>
      </c>
      <c r="EQ11" s="44" t="e">
        <f t="shared" ca="1" si="10"/>
        <v>#REF!</v>
      </c>
      <c r="ER11" s="44" t="e">
        <f t="shared" ca="1" si="10"/>
        <v>#REF!</v>
      </c>
      <c r="ES11" s="44" t="e">
        <f t="shared" ca="1" si="11"/>
        <v>#REF!</v>
      </c>
      <c r="ET11" s="44" t="e">
        <f t="shared" ca="1" si="11"/>
        <v>#REF!</v>
      </c>
      <c r="EU11" s="44" t="e">
        <f t="shared" ca="1" si="11"/>
        <v>#REF!</v>
      </c>
      <c r="EV11" s="44" t="e">
        <f t="shared" ca="1" si="11"/>
        <v>#REF!</v>
      </c>
      <c r="EW11" s="44" t="e">
        <f t="shared" ca="1" si="11"/>
        <v>#REF!</v>
      </c>
      <c r="EX11" s="44" t="e">
        <f t="shared" ca="1" si="11"/>
        <v>#REF!</v>
      </c>
      <c r="EY11" s="44" t="e">
        <f t="shared" ca="1" si="11"/>
        <v>#REF!</v>
      </c>
      <c r="EZ11" s="44" t="e">
        <f t="shared" ca="1" si="11"/>
        <v>#REF!</v>
      </c>
      <c r="FA11" s="44" t="e">
        <f t="shared" ca="1" si="11"/>
        <v>#REF!</v>
      </c>
      <c r="FB11" s="44" t="e">
        <f t="shared" ca="1" si="11"/>
        <v>#REF!</v>
      </c>
      <c r="FC11" s="56" t="e">
        <f t="shared" ca="1" si="11"/>
        <v>#REF!</v>
      </c>
      <c r="FD11" t="e">
        <f t="shared" ca="1" si="11"/>
        <v>#REF!</v>
      </c>
      <c r="FE11" t="e">
        <f t="shared" ca="1" si="11"/>
        <v>#REF!</v>
      </c>
      <c r="FF11" t="e">
        <f t="shared" ca="1" si="11"/>
        <v>#REF!</v>
      </c>
      <c r="FG11" t="e">
        <f t="shared" ca="1" si="11"/>
        <v>#REF!</v>
      </c>
      <c r="FH11" t="e">
        <f t="shared" ca="1" si="11"/>
        <v>#REF!</v>
      </c>
      <c r="FI11" t="e">
        <f t="shared" ca="1" si="12"/>
        <v>#REF!</v>
      </c>
      <c r="FJ11" t="e">
        <f t="shared" ca="1" si="12"/>
        <v>#REF!</v>
      </c>
      <c r="FK11" t="e">
        <f t="shared" ca="1" si="12"/>
        <v>#REF!</v>
      </c>
      <c r="FL11" t="e">
        <f t="shared" ca="1" si="12"/>
        <v>#REF!</v>
      </c>
      <c r="FM11" t="e">
        <f t="shared" ca="1" si="12"/>
        <v>#REF!</v>
      </c>
      <c r="FN11" t="e">
        <f t="shared" ca="1" si="12"/>
        <v>#REF!</v>
      </c>
      <c r="FO11" t="e">
        <f t="shared" ca="1" si="12"/>
        <v>#REF!</v>
      </c>
      <c r="FP11" t="e">
        <f t="shared" ca="1" si="12"/>
        <v>#REF!</v>
      </c>
      <c r="FQ11" t="e">
        <f t="shared" ca="1" si="12"/>
        <v>#REF!</v>
      </c>
      <c r="FR11" t="e">
        <f t="shared" ca="1" si="12"/>
        <v>#REF!</v>
      </c>
      <c r="FS11" t="e">
        <f t="shared" ca="1" si="12"/>
        <v>#REF!</v>
      </c>
      <c r="FT11" t="e">
        <f t="shared" ca="1" si="12"/>
        <v>#REF!</v>
      </c>
    </row>
    <row r="12" spans="1:176" ht="15" x14ac:dyDescent="0.25">
      <c r="A12" s="240">
        <v>132</v>
      </c>
      <c r="B12" t="e">
        <f t="shared" ca="1" si="0"/>
        <v>#REF!</v>
      </c>
      <c r="C12" t="e">
        <f t="shared" ca="1" si="1"/>
        <v>#REF!</v>
      </c>
      <c r="D12" t="e">
        <f t="shared" ca="1" si="1"/>
        <v>#REF!</v>
      </c>
      <c r="E12" t="e">
        <f t="shared" ca="1" si="1"/>
        <v>#REF!</v>
      </c>
      <c r="F12" t="e">
        <f t="shared" ca="1" si="13"/>
        <v>#REF!</v>
      </c>
      <c r="G12" t="e">
        <f t="shared" ca="1" si="2"/>
        <v>#REF!</v>
      </c>
      <c r="H12" t="e">
        <f t="shared" ca="1" si="2"/>
        <v>#REF!</v>
      </c>
      <c r="I12" t="e">
        <f t="shared" ca="1" si="1"/>
        <v>#REF!</v>
      </c>
      <c r="J12" t="e">
        <f t="shared" ca="1" si="1"/>
        <v>#REF!</v>
      </c>
      <c r="K12" t="e">
        <f t="shared" ca="1" si="1"/>
        <v>#REF!</v>
      </c>
      <c r="L12" t="e">
        <f t="shared" ca="1" si="1"/>
        <v>#REF!</v>
      </c>
      <c r="M12" t="e">
        <f t="shared" ca="1" si="1"/>
        <v>#REF!</v>
      </c>
      <c r="N12" t="e">
        <f t="shared" ca="1" si="1"/>
        <v>#REF!</v>
      </c>
      <c r="O12" t="e">
        <f t="shared" ca="1" si="1"/>
        <v>#REF!</v>
      </c>
      <c r="P12" t="e">
        <f t="shared" ca="1" si="1"/>
        <v>#REF!</v>
      </c>
      <c r="Q12" t="e">
        <f t="shared" ca="1" si="1"/>
        <v>#REF!</v>
      </c>
      <c r="R12" t="e">
        <f t="shared" ca="1" si="1"/>
        <v>#REF!</v>
      </c>
      <c r="S12" t="e">
        <f t="shared" ca="1" si="1"/>
        <v>#REF!</v>
      </c>
      <c r="T12" t="e">
        <f t="shared" ca="1" si="1"/>
        <v>#REF!</v>
      </c>
      <c r="U12" t="e">
        <f t="shared" ca="1" si="3"/>
        <v>#REF!</v>
      </c>
      <c r="V12" t="e">
        <f t="shared" ca="1" si="3"/>
        <v>#REF!</v>
      </c>
      <c r="W12" t="e">
        <f t="shared" ca="1" si="3"/>
        <v>#REF!</v>
      </c>
      <c r="X12" t="e">
        <f t="shared" ca="1" si="3"/>
        <v>#REF!</v>
      </c>
      <c r="Y12" t="e">
        <f t="shared" ca="1" si="3"/>
        <v>#REF!</v>
      </c>
      <c r="Z12" t="e">
        <f t="shared" ca="1" si="3"/>
        <v>#REF!</v>
      </c>
      <c r="AA12" t="e">
        <f t="shared" ca="1" si="3"/>
        <v>#REF!</v>
      </c>
      <c r="AB12" s="44" t="e">
        <f t="shared" ca="1" si="3"/>
        <v>#REF!</v>
      </c>
      <c r="AC12" s="44" t="e">
        <f t="shared" ca="1" si="3"/>
        <v>#REF!</v>
      </c>
      <c r="AD12" s="44" t="e">
        <f t="shared" ca="1" si="3"/>
        <v>#REF!</v>
      </c>
      <c r="AE12" s="44" t="e">
        <f t="shared" ca="1" si="3"/>
        <v>#REF!</v>
      </c>
      <c r="AF12" s="44" t="e">
        <f t="shared" ca="1" si="3"/>
        <v>#REF!</v>
      </c>
      <c r="AG12" s="44" t="e">
        <f t="shared" ca="1" si="3"/>
        <v>#REF!</v>
      </c>
      <c r="AH12" s="44" t="e">
        <f t="shared" ca="1" si="3"/>
        <v>#REF!</v>
      </c>
      <c r="AI12" s="44" t="e">
        <f t="shared" ca="1" si="3"/>
        <v>#REF!</v>
      </c>
      <c r="AJ12" s="44" t="e">
        <f t="shared" ca="1" si="3"/>
        <v>#REF!</v>
      </c>
      <c r="AK12" s="44" t="e">
        <f t="shared" ca="1" si="4"/>
        <v>#REF!</v>
      </c>
      <c r="AL12" s="44" t="e">
        <f t="shared" ca="1" si="4"/>
        <v>#REF!</v>
      </c>
      <c r="AM12" s="44" t="e">
        <f t="shared" ca="1" si="4"/>
        <v>#REF!</v>
      </c>
      <c r="AN12" s="44" t="e">
        <f t="shared" ca="1" si="4"/>
        <v>#REF!</v>
      </c>
      <c r="AO12" s="44" t="e">
        <f t="shared" ca="1" si="4"/>
        <v>#REF!</v>
      </c>
      <c r="AP12" s="44" t="e">
        <f t="shared" ca="1" si="4"/>
        <v>#REF!</v>
      </c>
      <c r="AQ12" s="44" t="e">
        <f t="shared" ca="1" si="4"/>
        <v>#REF!</v>
      </c>
      <c r="AR12" s="44" t="e">
        <f t="shared" ca="1" si="4"/>
        <v>#REF!</v>
      </c>
      <c r="AS12" s="44" t="e">
        <f t="shared" ca="1" si="4"/>
        <v>#REF!</v>
      </c>
      <c r="AT12" s="44" t="e">
        <f t="shared" ca="1" si="4"/>
        <v>#REF!</v>
      </c>
      <c r="AU12" t="e">
        <f t="shared" ca="1" si="4"/>
        <v>#REF!</v>
      </c>
      <c r="AV12" t="e">
        <f t="shared" ca="1" si="4"/>
        <v>#REF!</v>
      </c>
      <c r="AW12" t="e">
        <f t="shared" ca="1" si="4"/>
        <v>#REF!</v>
      </c>
      <c r="AX12" t="e">
        <f t="shared" ca="1" si="4"/>
        <v>#REF!</v>
      </c>
      <c r="AY12" t="e">
        <f t="shared" ca="1" si="4"/>
        <v>#REF!</v>
      </c>
      <c r="AZ12" t="e">
        <f t="shared" ca="1" si="4"/>
        <v>#REF!</v>
      </c>
      <c r="BA12" t="e">
        <f t="shared" ca="1" si="5"/>
        <v>#REF!</v>
      </c>
      <c r="BB12" t="e">
        <f t="shared" ca="1" si="5"/>
        <v>#REF!</v>
      </c>
      <c r="BC12" t="e">
        <f t="shared" ca="1" si="5"/>
        <v>#REF!</v>
      </c>
      <c r="BD12" t="e">
        <f t="shared" ca="1" si="5"/>
        <v>#REF!</v>
      </c>
      <c r="BE12" t="e">
        <f t="shared" ca="1" si="5"/>
        <v>#REF!</v>
      </c>
      <c r="BF12" t="e">
        <f t="shared" ca="1" si="5"/>
        <v>#REF!</v>
      </c>
      <c r="BG12" t="e">
        <f t="shared" ca="1" si="5"/>
        <v>#REF!</v>
      </c>
      <c r="BH12" t="e">
        <f t="shared" ca="1" si="5"/>
        <v>#REF!</v>
      </c>
      <c r="BI12" t="e">
        <f t="shared" ca="1" si="5"/>
        <v>#REF!</v>
      </c>
      <c r="BJ12" t="e">
        <f t="shared" ca="1" si="5"/>
        <v>#REF!</v>
      </c>
      <c r="BK12" t="e">
        <f t="shared" ca="1" si="5"/>
        <v>#REF!</v>
      </c>
      <c r="BL12" t="e">
        <f t="shared" ca="1" si="5"/>
        <v>#REF!</v>
      </c>
      <c r="BM12" t="e">
        <f t="shared" ca="1" si="5"/>
        <v>#REF!</v>
      </c>
      <c r="BN12" s="44" t="e">
        <f t="shared" ca="1" si="5"/>
        <v>#REF!</v>
      </c>
      <c r="BO12" s="44" t="e">
        <f t="shared" ca="1" si="5"/>
        <v>#REF!</v>
      </c>
      <c r="BP12" s="44" t="e">
        <f t="shared" ca="1" si="5"/>
        <v>#REF!</v>
      </c>
      <c r="BQ12" s="44" t="e">
        <f t="shared" ca="1" si="6"/>
        <v>#REF!</v>
      </c>
      <c r="BR12" s="44" t="e">
        <f t="shared" ca="1" si="6"/>
        <v>#REF!</v>
      </c>
      <c r="BS12" s="44" t="e">
        <f t="shared" ca="1" si="6"/>
        <v>#REF!</v>
      </c>
      <c r="BT12" s="44" t="e">
        <f t="shared" ca="1" si="6"/>
        <v>#REF!</v>
      </c>
      <c r="BU12" s="44" t="e">
        <f t="shared" ca="1" si="6"/>
        <v>#REF!</v>
      </c>
      <c r="BV12" s="44" t="e">
        <f t="shared" ca="1" si="6"/>
        <v>#REF!</v>
      </c>
      <c r="BW12" s="44" t="e">
        <f t="shared" ca="1" si="6"/>
        <v>#REF!</v>
      </c>
      <c r="BX12" s="44" t="e">
        <f t="shared" ca="1" si="6"/>
        <v>#REF!</v>
      </c>
      <c r="BY12" s="44" t="e">
        <f t="shared" ca="1" si="6"/>
        <v>#REF!</v>
      </c>
      <c r="BZ12" s="44" t="e">
        <f t="shared" ca="1" si="6"/>
        <v>#REF!</v>
      </c>
      <c r="CA12" s="44" t="e">
        <f t="shared" ca="1" si="6"/>
        <v>#REF!</v>
      </c>
      <c r="CB12" s="44" t="e">
        <f t="shared" ca="1" si="6"/>
        <v>#REF!</v>
      </c>
      <c r="CC12" s="44" t="e">
        <f t="shared" ca="1" si="6"/>
        <v>#REF!</v>
      </c>
      <c r="CD12" s="44" t="e">
        <f t="shared" ca="1" si="6"/>
        <v>#REF!</v>
      </c>
      <c r="CE12" s="44" t="e">
        <f t="shared" ca="1" si="6"/>
        <v>#REF!</v>
      </c>
      <c r="CF12" s="44" t="e">
        <f t="shared" ca="1" si="6"/>
        <v>#REF!</v>
      </c>
      <c r="CG12" t="e">
        <f t="shared" ca="1" si="7"/>
        <v>#REF!</v>
      </c>
      <c r="CH12" t="e">
        <f t="shared" ca="1" si="7"/>
        <v>#REF!</v>
      </c>
      <c r="CI12" t="e">
        <f t="shared" ca="1" si="7"/>
        <v>#REF!</v>
      </c>
      <c r="CJ12" t="e">
        <f t="shared" ca="1" si="7"/>
        <v>#REF!</v>
      </c>
      <c r="CK12" t="e">
        <f t="shared" ca="1" si="7"/>
        <v>#REF!</v>
      </c>
      <c r="CL12" t="e">
        <f t="shared" ca="1" si="7"/>
        <v>#REF!</v>
      </c>
      <c r="CM12" t="e">
        <f t="shared" ca="1" si="7"/>
        <v>#REF!</v>
      </c>
      <c r="CN12" t="e">
        <f t="shared" ca="1" si="7"/>
        <v>#REF!</v>
      </c>
      <c r="CO12" t="e">
        <f t="shared" ca="1" si="7"/>
        <v>#REF!</v>
      </c>
      <c r="CP12" t="e">
        <f t="shared" ca="1" si="7"/>
        <v>#REF!</v>
      </c>
      <c r="CQ12" t="e">
        <f t="shared" ca="1" si="7"/>
        <v>#REF!</v>
      </c>
      <c r="CR12" t="e">
        <f t="shared" ca="1" si="7"/>
        <v>#REF!</v>
      </c>
      <c r="CS12" t="e">
        <f t="shared" ca="1" si="7"/>
        <v>#REF!</v>
      </c>
      <c r="CT12" t="e">
        <f t="shared" ca="1" si="7"/>
        <v>#REF!</v>
      </c>
      <c r="CU12" t="e">
        <f t="shared" ca="1" si="7"/>
        <v>#REF!</v>
      </c>
      <c r="CV12" t="e">
        <f t="shared" ca="1" si="7"/>
        <v>#REF!</v>
      </c>
      <c r="CW12" t="e">
        <f t="shared" ca="1" si="8"/>
        <v>#REF!</v>
      </c>
      <c r="CX12" t="e">
        <f t="shared" ca="1" si="8"/>
        <v>#REF!</v>
      </c>
      <c r="CY12" t="e">
        <f t="shared" ca="1" si="8"/>
        <v>#REF!</v>
      </c>
      <c r="CZ12" s="44" t="e">
        <f t="shared" ca="1" si="8"/>
        <v>#REF!</v>
      </c>
      <c r="DA12" s="44" t="e">
        <f t="shared" ca="1" si="8"/>
        <v>#REF!</v>
      </c>
      <c r="DB12" s="44" t="e">
        <f t="shared" ca="1" si="8"/>
        <v>#REF!</v>
      </c>
      <c r="DC12" s="44" t="e">
        <f t="shared" ca="1" si="8"/>
        <v>#REF!</v>
      </c>
      <c r="DD12" s="44" t="e">
        <f t="shared" ca="1" si="8"/>
        <v>#REF!</v>
      </c>
      <c r="DE12" s="44" t="e">
        <f t="shared" ca="1" si="8"/>
        <v>#REF!</v>
      </c>
      <c r="DF12" s="44" t="e">
        <f t="shared" ca="1" si="8"/>
        <v>#REF!</v>
      </c>
      <c r="DG12" s="44" t="e">
        <f t="shared" ca="1" si="8"/>
        <v>#REF!</v>
      </c>
      <c r="DH12" s="44" t="e">
        <f t="shared" ca="1" si="8"/>
        <v>#REF!</v>
      </c>
      <c r="DI12" s="44" t="e">
        <f t="shared" ca="1" si="8"/>
        <v>#REF!</v>
      </c>
      <c r="DJ12" s="44" t="e">
        <f t="shared" ca="1" si="8"/>
        <v>#REF!</v>
      </c>
      <c r="DK12" s="44" t="e">
        <f t="shared" ca="1" si="8"/>
        <v>#REF!</v>
      </c>
      <c r="DL12" s="44" t="e">
        <f t="shared" ca="1" si="8"/>
        <v>#REF!</v>
      </c>
      <c r="DM12" s="44" t="e">
        <f t="shared" ca="1" si="9"/>
        <v>#REF!</v>
      </c>
      <c r="DN12" s="44" t="e">
        <f t="shared" ca="1" si="9"/>
        <v>#REF!</v>
      </c>
      <c r="DO12" s="44" t="e">
        <f t="shared" ca="1" si="9"/>
        <v>#REF!</v>
      </c>
      <c r="DP12" s="44" t="e">
        <f t="shared" ca="1" si="9"/>
        <v>#REF!</v>
      </c>
      <c r="DQ12" s="44" t="e">
        <f t="shared" ca="1" si="9"/>
        <v>#REF!</v>
      </c>
      <c r="DR12" s="44" t="e">
        <f t="shared" ca="1" si="9"/>
        <v>#REF!</v>
      </c>
      <c r="DS12" t="e">
        <f t="shared" ca="1" si="9"/>
        <v>#REF!</v>
      </c>
      <c r="DT12" t="e">
        <f t="shared" ca="1" si="9"/>
        <v>#REF!</v>
      </c>
      <c r="DU12" t="e">
        <f t="shared" ca="1" si="9"/>
        <v>#REF!</v>
      </c>
      <c r="DV12" t="e">
        <f t="shared" ca="1" si="9"/>
        <v>#REF!</v>
      </c>
      <c r="DW12" t="e">
        <f t="shared" ca="1" si="9"/>
        <v>#REF!</v>
      </c>
      <c r="DX12" t="e">
        <f t="shared" ca="1" si="9"/>
        <v>#REF!</v>
      </c>
      <c r="DY12" t="e">
        <f t="shared" ca="1" si="9"/>
        <v>#REF!</v>
      </c>
      <c r="DZ12" t="e">
        <f t="shared" ca="1" si="9"/>
        <v>#REF!</v>
      </c>
      <c r="EA12" t="e">
        <f t="shared" ca="1" si="9"/>
        <v>#REF!</v>
      </c>
      <c r="EB12" t="e">
        <f t="shared" ca="1" si="9"/>
        <v>#REF!</v>
      </c>
      <c r="EC12" t="e">
        <f t="shared" ca="1" si="10"/>
        <v>#REF!</v>
      </c>
      <c r="ED12" t="e">
        <f t="shared" ca="1" si="10"/>
        <v>#REF!</v>
      </c>
      <c r="EE12" t="e">
        <f t="shared" ca="1" si="10"/>
        <v>#REF!</v>
      </c>
      <c r="EF12" t="e">
        <f t="shared" ca="1" si="10"/>
        <v>#REF!</v>
      </c>
      <c r="EG12" t="e">
        <f t="shared" ca="1" si="10"/>
        <v>#REF!</v>
      </c>
      <c r="EH12" t="e">
        <f t="shared" ca="1" si="10"/>
        <v>#REF!</v>
      </c>
      <c r="EI12" t="e">
        <f t="shared" ca="1" si="10"/>
        <v>#REF!</v>
      </c>
      <c r="EJ12" t="e">
        <f t="shared" ca="1" si="10"/>
        <v>#REF!</v>
      </c>
      <c r="EK12" s="44" t="e">
        <f t="shared" ca="1" si="10"/>
        <v>#REF!</v>
      </c>
      <c r="EL12" s="44" t="e">
        <f t="shared" ca="1" si="10"/>
        <v>#REF!</v>
      </c>
      <c r="EM12" s="44" t="e">
        <f t="shared" ca="1" si="10"/>
        <v>#REF!</v>
      </c>
      <c r="EN12" s="44" t="e">
        <f t="shared" ca="1" si="10"/>
        <v>#REF!</v>
      </c>
      <c r="EO12" s="44" t="e">
        <f t="shared" ca="1" si="10"/>
        <v>#REF!</v>
      </c>
      <c r="EP12" s="44" t="e">
        <f t="shared" ca="1" si="10"/>
        <v>#REF!</v>
      </c>
      <c r="EQ12" s="44" t="e">
        <f t="shared" ca="1" si="10"/>
        <v>#REF!</v>
      </c>
      <c r="ER12" s="44" t="e">
        <f t="shared" ca="1" si="10"/>
        <v>#REF!</v>
      </c>
      <c r="ES12" s="44" t="e">
        <f t="shared" ca="1" si="11"/>
        <v>#REF!</v>
      </c>
      <c r="ET12" s="44" t="e">
        <f t="shared" ca="1" si="11"/>
        <v>#REF!</v>
      </c>
      <c r="EU12" s="44" t="e">
        <f t="shared" ca="1" si="11"/>
        <v>#REF!</v>
      </c>
      <c r="EV12" s="44" t="e">
        <f t="shared" ca="1" si="11"/>
        <v>#REF!</v>
      </c>
      <c r="EW12" s="44" t="e">
        <f t="shared" ca="1" si="11"/>
        <v>#REF!</v>
      </c>
      <c r="EX12" s="44" t="e">
        <f t="shared" ca="1" si="11"/>
        <v>#REF!</v>
      </c>
      <c r="EY12" s="44" t="e">
        <f t="shared" ca="1" si="11"/>
        <v>#REF!</v>
      </c>
      <c r="EZ12" s="44" t="e">
        <f t="shared" ca="1" si="11"/>
        <v>#REF!</v>
      </c>
      <c r="FA12" s="44" t="e">
        <f t="shared" ca="1" si="11"/>
        <v>#REF!</v>
      </c>
      <c r="FB12" s="44" t="e">
        <f t="shared" ca="1" si="11"/>
        <v>#REF!</v>
      </c>
      <c r="FC12" s="56" t="e">
        <f t="shared" ca="1" si="11"/>
        <v>#REF!</v>
      </c>
      <c r="FD12" t="e">
        <f t="shared" ca="1" si="11"/>
        <v>#REF!</v>
      </c>
      <c r="FE12" t="e">
        <f t="shared" ca="1" si="11"/>
        <v>#REF!</v>
      </c>
      <c r="FF12" t="e">
        <f t="shared" ca="1" si="11"/>
        <v>#REF!</v>
      </c>
      <c r="FG12" t="e">
        <f t="shared" ca="1" si="11"/>
        <v>#REF!</v>
      </c>
      <c r="FH12" t="e">
        <f t="shared" ca="1" si="11"/>
        <v>#REF!</v>
      </c>
      <c r="FI12" t="e">
        <f t="shared" ca="1" si="12"/>
        <v>#REF!</v>
      </c>
      <c r="FJ12" t="e">
        <f t="shared" ca="1" si="12"/>
        <v>#REF!</v>
      </c>
      <c r="FK12" t="e">
        <f t="shared" ca="1" si="12"/>
        <v>#REF!</v>
      </c>
      <c r="FL12" t="e">
        <f t="shared" ca="1" si="12"/>
        <v>#REF!</v>
      </c>
      <c r="FM12" t="e">
        <f t="shared" ca="1" si="12"/>
        <v>#REF!</v>
      </c>
      <c r="FN12" t="e">
        <f t="shared" ca="1" si="12"/>
        <v>#REF!</v>
      </c>
      <c r="FO12" t="e">
        <f t="shared" ca="1" si="12"/>
        <v>#REF!</v>
      </c>
      <c r="FP12" t="e">
        <f t="shared" ca="1" si="12"/>
        <v>#REF!</v>
      </c>
      <c r="FQ12" t="e">
        <f t="shared" ca="1" si="12"/>
        <v>#REF!</v>
      </c>
      <c r="FR12" t="e">
        <f t="shared" ca="1" si="12"/>
        <v>#REF!</v>
      </c>
      <c r="FS12" t="e">
        <f t="shared" ca="1" si="12"/>
        <v>#REF!</v>
      </c>
      <c r="FT12" t="e">
        <f t="shared" ca="1" si="12"/>
        <v>#REF!</v>
      </c>
    </row>
    <row r="13" spans="1:176" ht="15" x14ac:dyDescent="0.25">
      <c r="A13" s="240">
        <v>125</v>
      </c>
      <c r="B13" t="e">
        <f t="shared" ca="1" si="0"/>
        <v>#REF!</v>
      </c>
      <c r="C13" t="e">
        <f t="shared" ca="1" si="1"/>
        <v>#REF!</v>
      </c>
      <c r="D13" t="e">
        <f t="shared" ca="1" si="1"/>
        <v>#REF!</v>
      </c>
      <c r="E13" t="e">
        <f t="shared" ca="1" si="1"/>
        <v>#REF!</v>
      </c>
      <c r="F13" t="e">
        <f t="shared" ca="1" si="13"/>
        <v>#REF!</v>
      </c>
      <c r="G13" t="e">
        <f t="shared" ca="1" si="2"/>
        <v>#REF!</v>
      </c>
      <c r="H13" t="e">
        <f t="shared" ca="1" si="2"/>
        <v>#REF!</v>
      </c>
      <c r="I13" t="e">
        <f t="shared" ca="1" si="1"/>
        <v>#REF!</v>
      </c>
      <c r="J13" t="e">
        <f t="shared" ca="1" si="1"/>
        <v>#REF!</v>
      </c>
      <c r="K13" t="e">
        <f t="shared" ca="1" si="1"/>
        <v>#REF!</v>
      </c>
      <c r="L13" t="e">
        <f t="shared" ca="1" si="1"/>
        <v>#REF!</v>
      </c>
      <c r="M13" t="e">
        <f t="shared" ca="1" si="1"/>
        <v>#REF!</v>
      </c>
      <c r="N13" t="e">
        <f t="shared" ca="1" si="1"/>
        <v>#REF!</v>
      </c>
      <c r="O13" t="e">
        <f t="shared" ca="1" si="1"/>
        <v>#REF!</v>
      </c>
      <c r="P13" t="e">
        <f t="shared" ca="1" si="1"/>
        <v>#REF!</v>
      </c>
      <c r="Q13" t="e">
        <f t="shared" ca="1" si="1"/>
        <v>#REF!</v>
      </c>
      <c r="R13" t="e">
        <f t="shared" ca="1" si="1"/>
        <v>#REF!</v>
      </c>
      <c r="S13" t="e">
        <f t="shared" ca="1" si="1"/>
        <v>#REF!</v>
      </c>
      <c r="T13" t="e">
        <f t="shared" ca="1" si="1"/>
        <v>#REF!</v>
      </c>
      <c r="U13" t="e">
        <f t="shared" ca="1" si="3"/>
        <v>#REF!</v>
      </c>
      <c r="V13" t="e">
        <f t="shared" ca="1" si="3"/>
        <v>#REF!</v>
      </c>
      <c r="W13" t="e">
        <f t="shared" ca="1" si="3"/>
        <v>#REF!</v>
      </c>
      <c r="X13" t="e">
        <f t="shared" ca="1" si="3"/>
        <v>#REF!</v>
      </c>
      <c r="Y13" t="e">
        <f t="shared" ca="1" si="3"/>
        <v>#REF!</v>
      </c>
      <c r="Z13" t="e">
        <f t="shared" ca="1" si="3"/>
        <v>#REF!</v>
      </c>
      <c r="AA13" t="e">
        <f t="shared" ca="1" si="3"/>
        <v>#REF!</v>
      </c>
      <c r="AB13" s="44" t="e">
        <f t="shared" ca="1" si="3"/>
        <v>#REF!</v>
      </c>
      <c r="AC13" s="44" t="e">
        <f t="shared" ca="1" si="3"/>
        <v>#REF!</v>
      </c>
      <c r="AD13" s="44" t="e">
        <f t="shared" ca="1" si="3"/>
        <v>#REF!</v>
      </c>
      <c r="AE13" s="44" t="e">
        <f t="shared" ca="1" si="3"/>
        <v>#REF!</v>
      </c>
      <c r="AF13" s="44" t="e">
        <f t="shared" ca="1" si="3"/>
        <v>#REF!</v>
      </c>
      <c r="AG13" s="44" t="e">
        <f t="shared" ca="1" si="3"/>
        <v>#REF!</v>
      </c>
      <c r="AH13" s="44" t="e">
        <f t="shared" ca="1" si="3"/>
        <v>#REF!</v>
      </c>
      <c r="AI13" s="44" t="e">
        <f t="shared" ca="1" si="3"/>
        <v>#REF!</v>
      </c>
      <c r="AJ13" s="44" t="e">
        <f t="shared" ca="1" si="3"/>
        <v>#REF!</v>
      </c>
      <c r="AK13" s="44" t="e">
        <f t="shared" ca="1" si="4"/>
        <v>#REF!</v>
      </c>
      <c r="AL13" s="44" t="e">
        <f t="shared" ca="1" si="4"/>
        <v>#REF!</v>
      </c>
      <c r="AM13" s="44" t="e">
        <f t="shared" ca="1" si="4"/>
        <v>#REF!</v>
      </c>
      <c r="AN13" s="44" t="e">
        <f t="shared" ca="1" si="4"/>
        <v>#REF!</v>
      </c>
      <c r="AO13" s="44" t="e">
        <f t="shared" ca="1" si="4"/>
        <v>#REF!</v>
      </c>
      <c r="AP13" s="44" t="e">
        <f t="shared" ca="1" si="4"/>
        <v>#REF!</v>
      </c>
      <c r="AQ13" s="44" t="e">
        <f t="shared" ca="1" si="4"/>
        <v>#REF!</v>
      </c>
      <c r="AR13" s="44" t="e">
        <f t="shared" ca="1" si="4"/>
        <v>#REF!</v>
      </c>
      <c r="AS13" s="44" t="e">
        <f t="shared" ca="1" si="4"/>
        <v>#REF!</v>
      </c>
      <c r="AT13" s="44" t="e">
        <f t="shared" ca="1" si="4"/>
        <v>#REF!</v>
      </c>
      <c r="AU13" t="e">
        <f t="shared" ca="1" si="4"/>
        <v>#REF!</v>
      </c>
      <c r="AV13" t="e">
        <f t="shared" ca="1" si="4"/>
        <v>#REF!</v>
      </c>
      <c r="AW13" t="e">
        <f t="shared" ca="1" si="4"/>
        <v>#REF!</v>
      </c>
      <c r="AX13" t="e">
        <f t="shared" ca="1" si="4"/>
        <v>#REF!</v>
      </c>
      <c r="AY13" t="e">
        <f t="shared" ca="1" si="4"/>
        <v>#REF!</v>
      </c>
      <c r="AZ13" t="e">
        <f t="shared" ca="1" si="4"/>
        <v>#REF!</v>
      </c>
      <c r="BA13" t="e">
        <f t="shared" ca="1" si="5"/>
        <v>#REF!</v>
      </c>
      <c r="BB13" t="e">
        <f t="shared" ca="1" si="5"/>
        <v>#REF!</v>
      </c>
      <c r="BC13" t="e">
        <f t="shared" ca="1" si="5"/>
        <v>#REF!</v>
      </c>
      <c r="BD13" t="e">
        <f t="shared" ca="1" si="5"/>
        <v>#REF!</v>
      </c>
      <c r="BE13" t="e">
        <f t="shared" ca="1" si="5"/>
        <v>#REF!</v>
      </c>
      <c r="BF13" t="e">
        <f t="shared" ca="1" si="5"/>
        <v>#REF!</v>
      </c>
      <c r="BG13" t="e">
        <f t="shared" ca="1" si="5"/>
        <v>#REF!</v>
      </c>
      <c r="BH13" t="e">
        <f t="shared" ca="1" si="5"/>
        <v>#REF!</v>
      </c>
      <c r="BI13" t="e">
        <f t="shared" ca="1" si="5"/>
        <v>#REF!</v>
      </c>
      <c r="BJ13" t="e">
        <f t="shared" ca="1" si="5"/>
        <v>#REF!</v>
      </c>
      <c r="BK13" t="e">
        <f t="shared" ca="1" si="5"/>
        <v>#REF!</v>
      </c>
      <c r="BL13" t="e">
        <f t="shared" ca="1" si="5"/>
        <v>#REF!</v>
      </c>
      <c r="BM13" t="e">
        <f t="shared" ca="1" si="5"/>
        <v>#REF!</v>
      </c>
      <c r="BN13" s="44" t="e">
        <f t="shared" ca="1" si="5"/>
        <v>#REF!</v>
      </c>
      <c r="BO13" s="44" t="e">
        <f t="shared" ca="1" si="5"/>
        <v>#REF!</v>
      </c>
      <c r="BP13" s="44" t="e">
        <f t="shared" ca="1" si="5"/>
        <v>#REF!</v>
      </c>
      <c r="BQ13" s="44" t="e">
        <f t="shared" ca="1" si="6"/>
        <v>#REF!</v>
      </c>
      <c r="BR13" s="44" t="e">
        <f t="shared" ca="1" si="6"/>
        <v>#REF!</v>
      </c>
      <c r="BS13" s="44" t="e">
        <f t="shared" ca="1" si="6"/>
        <v>#REF!</v>
      </c>
      <c r="BT13" s="44" t="e">
        <f t="shared" ca="1" si="6"/>
        <v>#REF!</v>
      </c>
      <c r="BU13" s="44" t="e">
        <f t="shared" ca="1" si="6"/>
        <v>#REF!</v>
      </c>
      <c r="BV13" s="44" t="e">
        <f t="shared" ca="1" si="6"/>
        <v>#REF!</v>
      </c>
      <c r="BW13" s="44" t="e">
        <f t="shared" ca="1" si="6"/>
        <v>#REF!</v>
      </c>
      <c r="BX13" s="44" t="e">
        <f t="shared" ca="1" si="6"/>
        <v>#REF!</v>
      </c>
      <c r="BY13" s="44" t="e">
        <f t="shared" ca="1" si="6"/>
        <v>#REF!</v>
      </c>
      <c r="BZ13" s="44" t="e">
        <f t="shared" ca="1" si="6"/>
        <v>#REF!</v>
      </c>
      <c r="CA13" s="44" t="e">
        <f t="shared" ca="1" si="6"/>
        <v>#REF!</v>
      </c>
      <c r="CB13" s="44" t="e">
        <f t="shared" ca="1" si="6"/>
        <v>#REF!</v>
      </c>
      <c r="CC13" s="44" t="e">
        <f t="shared" ca="1" si="6"/>
        <v>#REF!</v>
      </c>
      <c r="CD13" s="44" t="e">
        <f t="shared" ca="1" si="6"/>
        <v>#REF!</v>
      </c>
      <c r="CE13" s="44" t="e">
        <f t="shared" ca="1" si="6"/>
        <v>#REF!</v>
      </c>
      <c r="CF13" s="44" t="e">
        <f t="shared" ca="1" si="6"/>
        <v>#REF!</v>
      </c>
      <c r="CG13" t="e">
        <f t="shared" ca="1" si="7"/>
        <v>#REF!</v>
      </c>
      <c r="CH13" t="e">
        <f t="shared" ca="1" si="7"/>
        <v>#REF!</v>
      </c>
      <c r="CI13" t="e">
        <f t="shared" ca="1" si="7"/>
        <v>#REF!</v>
      </c>
      <c r="CJ13" t="e">
        <f t="shared" ca="1" si="7"/>
        <v>#REF!</v>
      </c>
      <c r="CK13" t="e">
        <f t="shared" ca="1" si="7"/>
        <v>#REF!</v>
      </c>
      <c r="CL13" t="e">
        <f t="shared" ca="1" si="7"/>
        <v>#REF!</v>
      </c>
      <c r="CM13" t="e">
        <f t="shared" ca="1" si="7"/>
        <v>#REF!</v>
      </c>
      <c r="CN13" t="e">
        <f t="shared" ca="1" si="7"/>
        <v>#REF!</v>
      </c>
      <c r="CO13" t="e">
        <f t="shared" ca="1" si="7"/>
        <v>#REF!</v>
      </c>
      <c r="CP13" t="e">
        <f t="shared" ca="1" si="7"/>
        <v>#REF!</v>
      </c>
      <c r="CQ13" t="e">
        <f t="shared" ca="1" si="7"/>
        <v>#REF!</v>
      </c>
      <c r="CR13" t="e">
        <f t="shared" ca="1" si="7"/>
        <v>#REF!</v>
      </c>
      <c r="CS13" t="e">
        <f t="shared" ca="1" si="7"/>
        <v>#REF!</v>
      </c>
      <c r="CT13" t="e">
        <f t="shared" ca="1" si="7"/>
        <v>#REF!</v>
      </c>
      <c r="CU13" t="e">
        <f t="shared" ca="1" si="7"/>
        <v>#REF!</v>
      </c>
      <c r="CV13" t="e">
        <f t="shared" ca="1" si="7"/>
        <v>#REF!</v>
      </c>
      <c r="CW13" t="e">
        <f t="shared" ca="1" si="8"/>
        <v>#REF!</v>
      </c>
      <c r="CX13" t="e">
        <f t="shared" ca="1" si="8"/>
        <v>#REF!</v>
      </c>
      <c r="CY13" t="e">
        <f t="shared" ca="1" si="8"/>
        <v>#REF!</v>
      </c>
      <c r="CZ13" s="44" t="e">
        <f t="shared" ca="1" si="8"/>
        <v>#REF!</v>
      </c>
      <c r="DA13" s="44" t="e">
        <f t="shared" ca="1" si="8"/>
        <v>#REF!</v>
      </c>
      <c r="DB13" s="44" t="e">
        <f t="shared" ca="1" si="8"/>
        <v>#REF!</v>
      </c>
      <c r="DC13" s="44" t="e">
        <f t="shared" ca="1" si="8"/>
        <v>#REF!</v>
      </c>
      <c r="DD13" s="44" t="e">
        <f t="shared" ca="1" si="8"/>
        <v>#REF!</v>
      </c>
      <c r="DE13" s="44" t="e">
        <f t="shared" ca="1" si="8"/>
        <v>#REF!</v>
      </c>
      <c r="DF13" s="44" t="e">
        <f t="shared" ca="1" si="8"/>
        <v>#REF!</v>
      </c>
      <c r="DG13" s="44" t="e">
        <f t="shared" ca="1" si="8"/>
        <v>#REF!</v>
      </c>
      <c r="DH13" s="44" t="e">
        <f t="shared" ca="1" si="8"/>
        <v>#REF!</v>
      </c>
      <c r="DI13" s="44" t="e">
        <f t="shared" ca="1" si="8"/>
        <v>#REF!</v>
      </c>
      <c r="DJ13" s="44" t="e">
        <f t="shared" ca="1" si="8"/>
        <v>#REF!</v>
      </c>
      <c r="DK13" s="44" t="e">
        <f t="shared" ca="1" si="8"/>
        <v>#REF!</v>
      </c>
      <c r="DL13" s="44" t="e">
        <f t="shared" ca="1" si="8"/>
        <v>#REF!</v>
      </c>
      <c r="DM13" s="44" t="e">
        <f t="shared" ca="1" si="9"/>
        <v>#REF!</v>
      </c>
      <c r="DN13" s="44" t="e">
        <f t="shared" ca="1" si="9"/>
        <v>#REF!</v>
      </c>
      <c r="DO13" s="44" t="e">
        <f t="shared" ca="1" si="9"/>
        <v>#REF!</v>
      </c>
      <c r="DP13" s="44" t="e">
        <f t="shared" ca="1" si="9"/>
        <v>#REF!</v>
      </c>
      <c r="DQ13" s="44" t="e">
        <f t="shared" ca="1" si="9"/>
        <v>#REF!</v>
      </c>
      <c r="DR13" s="44" t="e">
        <f t="shared" ca="1" si="9"/>
        <v>#REF!</v>
      </c>
      <c r="DS13" t="e">
        <f t="shared" ca="1" si="9"/>
        <v>#REF!</v>
      </c>
      <c r="DT13" t="e">
        <f t="shared" ca="1" si="9"/>
        <v>#REF!</v>
      </c>
      <c r="DU13" t="e">
        <f t="shared" ca="1" si="9"/>
        <v>#REF!</v>
      </c>
      <c r="DV13" t="e">
        <f t="shared" ca="1" si="9"/>
        <v>#REF!</v>
      </c>
      <c r="DW13" t="e">
        <f t="shared" ca="1" si="9"/>
        <v>#REF!</v>
      </c>
      <c r="DX13" t="e">
        <f t="shared" ca="1" si="9"/>
        <v>#REF!</v>
      </c>
      <c r="DY13" t="e">
        <f t="shared" ca="1" si="9"/>
        <v>#REF!</v>
      </c>
      <c r="DZ13" t="e">
        <f t="shared" ca="1" si="9"/>
        <v>#REF!</v>
      </c>
      <c r="EA13" t="e">
        <f t="shared" ca="1" si="9"/>
        <v>#REF!</v>
      </c>
      <c r="EB13" t="e">
        <f t="shared" ca="1" si="9"/>
        <v>#REF!</v>
      </c>
      <c r="EC13" t="e">
        <f t="shared" ca="1" si="10"/>
        <v>#REF!</v>
      </c>
      <c r="ED13" t="e">
        <f t="shared" ca="1" si="10"/>
        <v>#REF!</v>
      </c>
      <c r="EE13" t="e">
        <f t="shared" ca="1" si="10"/>
        <v>#REF!</v>
      </c>
      <c r="EF13" t="e">
        <f t="shared" ca="1" si="10"/>
        <v>#REF!</v>
      </c>
      <c r="EG13" t="e">
        <f t="shared" ca="1" si="10"/>
        <v>#REF!</v>
      </c>
      <c r="EH13" t="e">
        <f t="shared" ca="1" si="10"/>
        <v>#REF!</v>
      </c>
      <c r="EI13" t="e">
        <f t="shared" ca="1" si="10"/>
        <v>#REF!</v>
      </c>
      <c r="EJ13" t="e">
        <f t="shared" ca="1" si="10"/>
        <v>#REF!</v>
      </c>
      <c r="EK13" s="44" t="e">
        <f t="shared" ca="1" si="10"/>
        <v>#REF!</v>
      </c>
      <c r="EL13" s="44" t="e">
        <f t="shared" ca="1" si="10"/>
        <v>#REF!</v>
      </c>
      <c r="EM13" s="44" t="e">
        <f t="shared" ca="1" si="10"/>
        <v>#REF!</v>
      </c>
      <c r="EN13" s="44" t="e">
        <f t="shared" ca="1" si="10"/>
        <v>#REF!</v>
      </c>
      <c r="EO13" s="44" t="e">
        <f t="shared" ca="1" si="10"/>
        <v>#REF!</v>
      </c>
      <c r="EP13" s="44" t="e">
        <f t="shared" ca="1" si="10"/>
        <v>#REF!</v>
      </c>
      <c r="EQ13" s="44" t="e">
        <f t="shared" ca="1" si="10"/>
        <v>#REF!</v>
      </c>
      <c r="ER13" s="44" t="e">
        <f t="shared" ca="1" si="10"/>
        <v>#REF!</v>
      </c>
      <c r="ES13" s="44" t="e">
        <f t="shared" ca="1" si="11"/>
        <v>#REF!</v>
      </c>
      <c r="ET13" s="44" t="e">
        <f t="shared" ca="1" si="11"/>
        <v>#REF!</v>
      </c>
      <c r="EU13" s="44" t="e">
        <f t="shared" ca="1" si="11"/>
        <v>#REF!</v>
      </c>
      <c r="EV13" s="44" t="e">
        <f t="shared" ca="1" si="11"/>
        <v>#REF!</v>
      </c>
      <c r="EW13" s="44" t="e">
        <f t="shared" ca="1" si="11"/>
        <v>#REF!</v>
      </c>
      <c r="EX13" s="44" t="e">
        <f t="shared" ca="1" si="11"/>
        <v>#REF!</v>
      </c>
      <c r="EY13" s="44" t="e">
        <f t="shared" ca="1" si="11"/>
        <v>#REF!</v>
      </c>
      <c r="EZ13" s="44" t="e">
        <f t="shared" ca="1" si="11"/>
        <v>#REF!</v>
      </c>
      <c r="FA13" s="44" t="e">
        <f t="shared" ca="1" si="11"/>
        <v>#REF!</v>
      </c>
      <c r="FB13" s="44" t="e">
        <f t="shared" ca="1" si="11"/>
        <v>#REF!</v>
      </c>
      <c r="FC13" s="56" t="e">
        <f t="shared" ca="1" si="11"/>
        <v>#REF!</v>
      </c>
      <c r="FD13" t="e">
        <f t="shared" ca="1" si="11"/>
        <v>#REF!</v>
      </c>
      <c r="FE13" t="e">
        <f t="shared" ca="1" si="11"/>
        <v>#REF!</v>
      </c>
      <c r="FF13" t="e">
        <f t="shared" ca="1" si="11"/>
        <v>#REF!</v>
      </c>
      <c r="FG13" t="e">
        <f t="shared" ca="1" si="11"/>
        <v>#REF!</v>
      </c>
      <c r="FH13" t="e">
        <f t="shared" ca="1" si="11"/>
        <v>#REF!</v>
      </c>
      <c r="FI13" t="e">
        <f t="shared" ca="1" si="12"/>
        <v>#REF!</v>
      </c>
      <c r="FJ13" t="e">
        <f t="shared" ca="1" si="12"/>
        <v>#REF!</v>
      </c>
      <c r="FK13" t="e">
        <f t="shared" ca="1" si="12"/>
        <v>#REF!</v>
      </c>
      <c r="FL13" t="e">
        <f t="shared" ca="1" si="12"/>
        <v>#REF!</v>
      </c>
      <c r="FM13" t="e">
        <f t="shared" ca="1" si="12"/>
        <v>#REF!</v>
      </c>
      <c r="FN13" t="e">
        <f t="shared" ca="1" si="12"/>
        <v>#REF!</v>
      </c>
      <c r="FO13" t="e">
        <f t="shared" ca="1" si="12"/>
        <v>#REF!</v>
      </c>
      <c r="FP13" t="e">
        <f t="shared" ca="1" si="12"/>
        <v>#REF!</v>
      </c>
      <c r="FQ13" t="e">
        <f t="shared" ca="1" si="12"/>
        <v>#REF!</v>
      </c>
      <c r="FR13" t="e">
        <f t="shared" ca="1" si="12"/>
        <v>#REF!</v>
      </c>
      <c r="FS13" t="e">
        <f t="shared" ca="1" si="12"/>
        <v>#REF!</v>
      </c>
      <c r="FT13" t="e">
        <f t="shared" ca="1" si="12"/>
        <v>#REF!</v>
      </c>
    </row>
    <row r="14" spans="1:176" ht="15" x14ac:dyDescent="0.25">
      <c r="A14" s="240">
        <v>134</v>
      </c>
      <c r="B14" t="e">
        <f t="shared" ca="1" si="0"/>
        <v>#REF!</v>
      </c>
      <c r="C14" t="e">
        <f t="shared" ca="1" si="1"/>
        <v>#REF!</v>
      </c>
      <c r="D14" t="e">
        <f t="shared" ca="1" si="1"/>
        <v>#REF!</v>
      </c>
      <c r="E14" t="e">
        <f t="shared" ca="1" si="1"/>
        <v>#REF!</v>
      </c>
      <c r="F14" t="e">
        <f t="shared" ca="1" si="13"/>
        <v>#REF!</v>
      </c>
      <c r="G14" t="e">
        <f t="shared" ca="1" si="2"/>
        <v>#REF!</v>
      </c>
      <c r="H14" t="e">
        <f t="shared" ca="1" si="2"/>
        <v>#REF!</v>
      </c>
      <c r="I14" t="e">
        <f t="shared" ca="1" si="1"/>
        <v>#REF!</v>
      </c>
      <c r="J14" t="e">
        <f t="shared" ca="1" si="1"/>
        <v>#REF!</v>
      </c>
      <c r="K14" t="e">
        <f t="shared" ca="1" si="1"/>
        <v>#REF!</v>
      </c>
      <c r="L14" t="e">
        <f t="shared" ca="1" si="1"/>
        <v>#REF!</v>
      </c>
      <c r="M14" t="e">
        <f t="shared" ca="1" si="1"/>
        <v>#REF!</v>
      </c>
      <c r="N14" t="e">
        <f t="shared" ca="1" si="1"/>
        <v>#REF!</v>
      </c>
      <c r="O14" t="e">
        <f t="shared" ca="1" si="1"/>
        <v>#REF!</v>
      </c>
      <c r="P14" t="e">
        <f t="shared" ca="1" si="1"/>
        <v>#REF!</v>
      </c>
      <c r="Q14" t="e">
        <f t="shared" ca="1" si="1"/>
        <v>#REF!</v>
      </c>
      <c r="R14" t="e">
        <f t="shared" ca="1" si="1"/>
        <v>#REF!</v>
      </c>
      <c r="S14" t="e">
        <f t="shared" ca="1" si="1"/>
        <v>#REF!</v>
      </c>
      <c r="T14" t="e">
        <f t="shared" ca="1" si="1"/>
        <v>#REF!</v>
      </c>
      <c r="U14" t="e">
        <f t="shared" ca="1" si="3"/>
        <v>#REF!</v>
      </c>
      <c r="V14" t="e">
        <f t="shared" ca="1" si="3"/>
        <v>#REF!</v>
      </c>
      <c r="W14" t="e">
        <f t="shared" ca="1" si="3"/>
        <v>#REF!</v>
      </c>
      <c r="X14" t="e">
        <f t="shared" ca="1" si="3"/>
        <v>#REF!</v>
      </c>
      <c r="Y14" t="e">
        <f t="shared" ca="1" si="3"/>
        <v>#REF!</v>
      </c>
      <c r="Z14" t="e">
        <f t="shared" ca="1" si="3"/>
        <v>#REF!</v>
      </c>
      <c r="AA14" t="e">
        <f t="shared" ca="1" si="3"/>
        <v>#REF!</v>
      </c>
      <c r="AB14" s="44" t="e">
        <f t="shared" ca="1" si="3"/>
        <v>#REF!</v>
      </c>
      <c r="AC14" s="44" t="e">
        <f t="shared" ca="1" si="3"/>
        <v>#REF!</v>
      </c>
      <c r="AD14" s="44" t="e">
        <f t="shared" ca="1" si="3"/>
        <v>#REF!</v>
      </c>
      <c r="AE14" s="44" t="e">
        <f t="shared" ca="1" si="3"/>
        <v>#REF!</v>
      </c>
      <c r="AF14" s="44" t="e">
        <f t="shared" ca="1" si="3"/>
        <v>#REF!</v>
      </c>
      <c r="AG14" s="44" t="e">
        <f t="shared" ca="1" si="3"/>
        <v>#REF!</v>
      </c>
      <c r="AH14" s="44" t="e">
        <f t="shared" ca="1" si="3"/>
        <v>#REF!</v>
      </c>
      <c r="AI14" s="44" t="e">
        <f t="shared" ca="1" si="3"/>
        <v>#REF!</v>
      </c>
      <c r="AJ14" s="44" t="e">
        <f t="shared" ca="1" si="3"/>
        <v>#REF!</v>
      </c>
      <c r="AK14" s="44" t="e">
        <f t="shared" ca="1" si="4"/>
        <v>#REF!</v>
      </c>
      <c r="AL14" s="44" t="e">
        <f t="shared" ca="1" si="4"/>
        <v>#REF!</v>
      </c>
      <c r="AM14" s="44" t="e">
        <f t="shared" ca="1" si="4"/>
        <v>#REF!</v>
      </c>
      <c r="AN14" s="44" t="e">
        <f t="shared" ca="1" si="4"/>
        <v>#REF!</v>
      </c>
      <c r="AO14" s="44" t="e">
        <f t="shared" ca="1" si="4"/>
        <v>#REF!</v>
      </c>
      <c r="AP14" s="44" t="e">
        <f t="shared" ca="1" si="4"/>
        <v>#REF!</v>
      </c>
      <c r="AQ14" s="44" t="e">
        <f t="shared" ca="1" si="4"/>
        <v>#REF!</v>
      </c>
      <c r="AR14" s="44" t="e">
        <f t="shared" ca="1" si="4"/>
        <v>#REF!</v>
      </c>
      <c r="AS14" s="44" t="e">
        <f t="shared" ca="1" si="4"/>
        <v>#REF!</v>
      </c>
      <c r="AT14" s="44" t="e">
        <f t="shared" ca="1" si="4"/>
        <v>#REF!</v>
      </c>
      <c r="AU14" t="e">
        <f t="shared" ca="1" si="4"/>
        <v>#REF!</v>
      </c>
      <c r="AV14" t="e">
        <f t="shared" ca="1" si="4"/>
        <v>#REF!</v>
      </c>
      <c r="AW14" t="e">
        <f t="shared" ca="1" si="4"/>
        <v>#REF!</v>
      </c>
      <c r="AX14" t="e">
        <f t="shared" ca="1" si="4"/>
        <v>#REF!</v>
      </c>
      <c r="AY14" t="e">
        <f t="shared" ca="1" si="4"/>
        <v>#REF!</v>
      </c>
      <c r="AZ14" t="e">
        <f t="shared" ca="1" si="4"/>
        <v>#REF!</v>
      </c>
      <c r="BA14" t="e">
        <f t="shared" ca="1" si="5"/>
        <v>#REF!</v>
      </c>
      <c r="BB14" t="e">
        <f t="shared" ca="1" si="5"/>
        <v>#REF!</v>
      </c>
      <c r="BC14" t="e">
        <f t="shared" ca="1" si="5"/>
        <v>#REF!</v>
      </c>
      <c r="BD14" t="e">
        <f t="shared" ca="1" si="5"/>
        <v>#REF!</v>
      </c>
      <c r="BE14" t="e">
        <f t="shared" ca="1" si="5"/>
        <v>#REF!</v>
      </c>
      <c r="BF14" t="e">
        <f t="shared" ca="1" si="5"/>
        <v>#REF!</v>
      </c>
      <c r="BG14" t="e">
        <f t="shared" ca="1" si="5"/>
        <v>#REF!</v>
      </c>
      <c r="BH14" t="e">
        <f t="shared" ca="1" si="5"/>
        <v>#REF!</v>
      </c>
      <c r="BI14" t="e">
        <f t="shared" ca="1" si="5"/>
        <v>#REF!</v>
      </c>
      <c r="BJ14" t="e">
        <f t="shared" ca="1" si="5"/>
        <v>#REF!</v>
      </c>
      <c r="BK14" t="e">
        <f t="shared" ca="1" si="5"/>
        <v>#REF!</v>
      </c>
      <c r="BL14" t="e">
        <f t="shared" ca="1" si="5"/>
        <v>#REF!</v>
      </c>
      <c r="BM14" t="e">
        <f t="shared" ca="1" si="5"/>
        <v>#REF!</v>
      </c>
      <c r="BN14" s="44" t="e">
        <f t="shared" ca="1" si="5"/>
        <v>#REF!</v>
      </c>
      <c r="BO14" s="44" t="e">
        <f t="shared" ca="1" si="5"/>
        <v>#REF!</v>
      </c>
      <c r="BP14" s="44" t="e">
        <f t="shared" ca="1" si="5"/>
        <v>#REF!</v>
      </c>
      <c r="BQ14" s="44" t="e">
        <f t="shared" ca="1" si="6"/>
        <v>#REF!</v>
      </c>
      <c r="BR14" s="44" t="e">
        <f t="shared" ca="1" si="6"/>
        <v>#REF!</v>
      </c>
      <c r="BS14" s="44" t="e">
        <f t="shared" ca="1" si="6"/>
        <v>#REF!</v>
      </c>
      <c r="BT14" s="44" t="e">
        <f t="shared" ca="1" si="6"/>
        <v>#REF!</v>
      </c>
      <c r="BU14" s="44" t="e">
        <f t="shared" ca="1" si="6"/>
        <v>#REF!</v>
      </c>
      <c r="BV14" s="44" t="e">
        <f t="shared" ca="1" si="6"/>
        <v>#REF!</v>
      </c>
      <c r="BW14" s="44" t="e">
        <f t="shared" ca="1" si="6"/>
        <v>#REF!</v>
      </c>
      <c r="BX14" s="44" t="e">
        <f t="shared" ca="1" si="6"/>
        <v>#REF!</v>
      </c>
      <c r="BY14" s="44" t="e">
        <f t="shared" ca="1" si="6"/>
        <v>#REF!</v>
      </c>
      <c r="BZ14" s="44" t="e">
        <f t="shared" ca="1" si="6"/>
        <v>#REF!</v>
      </c>
      <c r="CA14" s="44" t="e">
        <f t="shared" ca="1" si="6"/>
        <v>#REF!</v>
      </c>
      <c r="CB14" s="44" t="e">
        <f t="shared" ca="1" si="6"/>
        <v>#REF!</v>
      </c>
      <c r="CC14" s="44" t="e">
        <f t="shared" ca="1" si="6"/>
        <v>#REF!</v>
      </c>
      <c r="CD14" s="44" t="e">
        <f t="shared" ca="1" si="6"/>
        <v>#REF!</v>
      </c>
      <c r="CE14" s="44" t="e">
        <f t="shared" ca="1" si="6"/>
        <v>#REF!</v>
      </c>
      <c r="CF14" s="44" t="e">
        <f t="shared" ca="1" si="6"/>
        <v>#REF!</v>
      </c>
      <c r="CG14" t="e">
        <f t="shared" ca="1" si="7"/>
        <v>#REF!</v>
      </c>
      <c r="CH14" t="e">
        <f t="shared" ca="1" si="7"/>
        <v>#REF!</v>
      </c>
      <c r="CI14" t="e">
        <f t="shared" ca="1" si="7"/>
        <v>#REF!</v>
      </c>
      <c r="CJ14" t="e">
        <f t="shared" ca="1" si="7"/>
        <v>#REF!</v>
      </c>
      <c r="CK14" t="e">
        <f t="shared" ca="1" si="7"/>
        <v>#REF!</v>
      </c>
      <c r="CL14" t="e">
        <f t="shared" ca="1" si="7"/>
        <v>#REF!</v>
      </c>
      <c r="CM14" t="e">
        <f t="shared" ca="1" si="7"/>
        <v>#REF!</v>
      </c>
      <c r="CN14" t="e">
        <f t="shared" ca="1" si="7"/>
        <v>#REF!</v>
      </c>
      <c r="CO14" t="e">
        <f t="shared" ca="1" si="7"/>
        <v>#REF!</v>
      </c>
      <c r="CP14" t="e">
        <f t="shared" ca="1" si="7"/>
        <v>#REF!</v>
      </c>
      <c r="CQ14" t="e">
        <f t="shared" ca="1" si="7"/>
        <v>#REF!</v>
      </c>
      <c r="CR14" t="e">
        <f t="shared" ca="1" si="7"/>
        <v>#REF!</v>
      </c>
      <c r="CS14" t="e">
        <f t="shared" ca="1" si="7"/>
        <v>#REF!</v>
      </c>
      <c r="CT14" t="e">
        <f t="shared" ca="1" si="7"/>
        <v>#REF!</v>
      </c>
      <c r="CU14" t="e">
        <f t="shared" ca="1" si="7"/>
        <v>#REF!</v>
      </c>
      <c r="CV14" t="e">
        <f t="shared" ca="1" si="7"/>
        <v>#REF!</v>
      </c>
      <c r="CW14" t="e">
        <f t="shared" ca="1" si="8"/>
        <v>#REF!</v>
      </c>
      <c r="CX14" t="e">
        <f t="shared" ca="1" si="8"/>
        <v>#REF!</v>
      </c>
      <c r="CY14" t="e">
        <f t="shared" ca="1" si="8"/>
        <v>#REF!</v>
      </c>
      <c r="CZ14" s="44" t="e">
        <f t="shared" ca="1" si="8"/>
        <v>#REF!</v>
      </c>
      <c r="DA14" s="44" t="e">
        <f t="shared" ca="1" si="8"/>
        <v>#REF!</v>
      </c>
      <c r="DB14" s="44" t="e">
        <f t="shared" ca="1" si="8"/>
        <v>#REF!</v>
      </c>
      <c r="DC14" s="44" t="e">
        <f t="shared" ca="1" si="8"/>
        <v>#REF!</v>
      </c>
      <c r="DD14" s="44" t="e">
        <f t="shared" ca="1" si="8"/>
        <v>#REF!</v>
      </c>
      <c r="DE14" s="44" t="e">
        <f t="shared" ca="1" si="8"/>
        <v>#REF!</v>
      </c>
      <c r="DF14" s="44" t="e">
        <f t="shared" ca="1" si="8"/>
        <v>#REF!</v>
      </c>
      <c r="DG14" s="44" t="e">
        <f t="shared" ca="1" si="8"/>
        <v>#REF!</v>
      </c>
      <c r="DH14" s="44" t="e">
        <f t="shared" ca="1" si="8"/>
        <v>#REF!</v>
      </c>
      <c r="DI14" s="44" t="e">
        <f t="shared" ca="1" si="8"/>
        <v>#REF!</v>
      </c>
      <c r="DJ14" s="44" t="e">
        <f t="shared" ca="1" si="8"/>
        <v>#REF!</v>
      </c>
      <c r="DK14" s="44" t="e">
        <f t="shared" ca="1" si="8"/>
        <v>#REF!</v>
      </c>
      <c r="DL14" s="44" t="e">
        <f t="shared" ca="1" si="8"/>
        <v>#REF!</v>
      </c>
      <c r="DM14" s="44" t="e">
        <f t="shared" ca="1" si="9"/>
        <v>#REF!</v>
      </c>
      <c r="DN14" s="44" t="e">
        <f t="shared" ca="1" si="9"/>
        <v>#REF!</v>
      </c>
      <c r="DO14" s="44" t="e">
        <f t="shared" ca="1" si="9"/>
        <v>#REF!</v>
      </c>
      <c r="DP14" s="44" t="e">
        <f t="shared" ca="1" si="9"/>
        <v>#REF!</v>
      </c>
      <c r="DQ14" s="44" t="e">
        <f t="shared" ca="1" si="9"/>
        <v>#REF!</v>
      </c>
      <c r="DR14" s="44" t="e">
        <f t="shared" ca="1" si="9"/>
        <v>#REF!</v>
      </c>
      <c r="DS14" t="e">
        <f t="shared" ca="1" si="9"/>
        <v>#REF!</v>
      </c>
      <c r="DT14" t="e">
        <f t="shared" ca="1" si="9"/>
        <v>#REF!</v>
      </c>
      <c r="DU14" t="e">
        <f t="shared" ca="1" si="9"/>
        <v>#REF!</v>
      </c>
      <c r="DV14" t="e">
        <f t="shared" ca="1" si="9"/>
        <v>#REF!</v>
      </c>
      <c r="DW14" t="e">
        <f t="shared" ca="1" si="9"/>
        <v>#REF!</v>
      </c>
      <c r="DX14" t="e">
        <f t="shared" ca="1" si="9"/>
        <v>#REF!</v>
      </c>
      <c r="DY14" t="e">
        <f t="shared" ca="1" si="9"/>
        <v>#REF!</v>
      </c>
      <c r="DZ14" t="e">
        <f t="shared" ca="1" si="9"/>
        <v>#REF!</v>
      </c>
      <c r="EA14" t="e">
        <f t="shared" ca="1" si="9"/>
        <v>#REF!</v>
      </c>
      <c r="EB14" t="e">
        <f t="shared" ca="1" si="9"/>
        <v>#REF!</v>
      </c>
      <c r="EC14" t="e">
        <f t="shared" ca="1" si="10"/>
        <v>#REF!</v>
      </c>
      <c r="ED14" t="e">
        <f t="shared" ca="1" si="10"/>
        <v>#REF!</v>
      </c>
      <c r="EE14" t="e">
        <f t="shared" ca="1" si="10"/>
        <v>#REF!</v>
      </c>
      <c r="EF14" t="e">
        <f t="shared" ca="1" si="10"/>
        <v>#REF!</v>
      </c>
      <c r="EG14" t="e">
        <f t="shared" ca="1" si="10"/>
        <v>#REF!</v>
      </c>
      <c r="EH14" t="e">
        <f t="shared" ca="1" si="10"/>
        <v>#REF!</v>
      </c>
      <c r="EI14" t="e">
        <f t="shared" ca="1" si="10"/>
        <v>#REF!</v>
      </c>
      <c r="EJ14" t="e">
        <f t="shared" ca="1" si="10"/>
        <v>#REF!</v>
      </c>
      <c r="EK14" s="44" t="e">
        <f t="shared" ca="1" si="10"/>
        <v>#REF!</v>
      </c>
      <c r="EL14" s="44" t="e">
        <f t="shared" ca="1" si="10"/>
        <v>#REF!</v>
      </c>
      <c r="EM14" s="44" t="e">
        <f t="shared" ca="1" si="10"/>
        <v>#REF!</v>
      </c>
      <c r="EN14" s="44" t="e">
        <f t="shared" ca="1" si="10"/>
        <v>#REF!</v>
      </c>
      <c r="EO14" s="44" t="e">
        <f t="shared" ca="1" si="10"/>
        <v>#REF!</v>
      </c>
      <c r="EP14" s="44" t="e">
        <f t="shared" ca="1" si="10"/>
        <v>#REF!</v>
      </c>
      <c r="EQ14" s="44" t="e">
        <f t="shared" ca="1" si="10"/>
        <v>#REF!</v>
      </c>
      <c r="ER14" s="44" t="e">
        <f t="shared" ca="1" si="10"/>
        <v>#REF!</v>
      </c>
      <c r="ES14" s="44" t="e">
        <f t="shared" ca="1" si="11"/>
        <v>#REF!</v>
      </c>
      <c r="ET14" s="44" t="e">
        <f t="shared" ca="1" si="11"/>
        <v>#REF!</v>
      </c>
      <c r="EU14" s="44" t="e">
        <f t="shared" ca="1" si="11"/>
        <v>#REF!</v>
      </c>
      <c r="EV14" s="44" t="e">
        <f t="shared" ca="1" si="11"/>
        <v>#REF!</v>
      </c>
      <c r="EW14" s="44" t="e">
        <f t="shared" ca="1" si="11"/>
        <v>#REF!</v>
      </c>
      <c r="EX14" s="44" t="e">
        <f t="shared" ca="1" si="11"/>
        <v>#REF!</v>
      </c>
      <c r="EY14" s="44" t="e">
        <f t="shared" ca="1" si="11"/>
        <v>#REF!</v>
      </c>
      <c r="EZ14" s="44" t="e">
        <f t="shared" ca="1" si="11"/>
        <v>#REF!</v>
      </c>
      <c r="FA14" s="44" t="e">
        <f t="shared" ca="1" si="11"/>
        <v>#REF!</v>
      </c>
      <c r="FB14" s="44" t="e">
        <f t="shared" ca="1" si="11"/>
        <v>#REF!</v>
      </c>
      <c r="FC14" s="56" t="e">
        <f t="shared" ca="1" si="11"/>
        <v>#REF!</v>
      </c>
      <c r="FD14" t="e">
        <f t="shared" ca="1" si="11"/>
        <v>#REF!</v>
      </c>
      <c r="FE14" t="e">
        <f t="shared" ca="1" si="11"/>
        <v>#REF!</v>
      </c>
      <c r="FF14" t="e">
        <f t="shared" ca="1" si="11"/>
        <v>#REF!</v>
      </c>
      <c r="FG14" t="e">
        <f t="shared" ca="1" si="11"/>
        <v>#REF!</v>
      </c>
      <c r="FH14" t="e">
        <f t="shared" ca="1" si="11"/>
        <v>#REF!</v>
      </c>
      <c r="FI14" t="e">
        <f t="shared" ca="1" si="12"/>
        <v>#REF!</v>
      </c>
      <c r="FJ14" t="e">
        <f t="shared" ca="1" si="12"/>
        <v>#REF!</v>
      </c>
      <c r="FK14" t="e">
        <f t="shared" ca="1" si="12"/>
        <v>#REF!</v>
      </c>
      <c r="FL14" t="e">
        <f t="shared" ca="1" si="12"/>
        <v>#REF!</v>
      </c>
      <c r="FM14" t="e">
        <f t="shared" ca="1" si="12"/>
        <v>#REF!</v>
      </c>
      <c r="FN14" t="e">
        <f t="shared" ca="1" si="12"/>
        <v>#REF!</v>
      </c>
      <c r="FO14" t="e">
        <f t="shared" ca="1" si="12"/>
        <v>#REF!</v>
      </c>
      <c r="FP14" t="e">
        <f t="shared" ca="1" si="12"/>
        <v>#REF!</v>
      </c>
      <c r="FQ14" t="e">
        <f t="shared" ca="1" si="12"/>
        <v>#REF!</v>
      </c>
      <c r="FR14" t="e">
        <f t="shared" ca="1" si="12"/>
        <v>#REF!</v>
      </c>
      <c r="FS14" t="e">
        <f t="shared" ca="1" si="12"/>
        <v>#REF!</v>
      </c>
      <c r="FT14" t="e">
        <f t="shared" ca="1" si="12"/>
        <v>#REF!</v>
      </c>
    </row>
    <row r="15" spans="1:176" ht="15" x14ac:dyDescent="0.25">
      <c r="A15" s="240">
        <v>135</v>
      </c>
      <c r="B15" t="e">
        <f t="shared" ca="1" si="0"/>
        <v>#REF!</v>
      </c>
      <c r="C15" t="e">
        <f t="shared" ca="1" si="1"/>
        <v>#REF!</v>
      </c>
      <c r="D15" t="e">
        <f t="shared" ca="1" si="1"/>
        <v>#REF!</v>
      </c>
      <c r="E15" t="e">
        <f t="shared" ca="1" si="1"/>
        <v>#REF!</v>
      </c>
      <c r="F15" t="e">
        <f t="shared" ca="1" si="13"/>
        <v>#REF!</v>
      </c>
      <c r="G15" t="e">
        <f t="shared" ca="1" si="2"/>
        <v>#REF!</v>
      </c>
      <c r="H15" t="e">
        <f t="shared" ca="1" si="2"/>
        <v>#REF!</v>
      </c>
      <c r="I15" t="e">
        <f t="shared" ca="1" si="1"/>
        <v>#REF!</v>
      </c>
      <c r="J15" t="e">
        <f t="shared" ca="1" si="1"/>
        <v>#REF!</v>
      </c>
      <c r="K15" t="e">
        <f t="shared" ca="1" si="1"/>
        <v>#REF!</v>
      </c>
      <c r="L15" t="e">
        <f t="shared" ca="1" si="1"/>
        <v>#REF!</v>
      </c>
      <c r="M15" t="e">
        <f t="shared" ca="1" si="1"/>
        <v>#REF!</v>
      </c>
      <c r="N15" t="e">
        <f t="shared" ca="1" si="1"/>
        <v>#REF!</v>
      </c>
      <c r="O15" t="e">
        <f t="shared" ca="1" si="1"/>
        <v>#REF!</v>
      </c>
      <c r="P15" t="e">
        <f t="shared" ca="1" si="1"/>
        <v>#REF!</v>
      </c>
      <c r="Q15" t="e">
        <f t="shared" ca="1" si="1"/>
        <v>#REF!</v>
      </c>
      <c r="R15" t="e">
        <f t="shared" ca="1" si="1"/>
        <v>#REF!</v>
      </c>
      <c r="S15" t="e">
        <f t="shared" ca="1" si="1"/>
        <v>#REF!</v>
      </c>
      <c r="T15" t="e">
        <f t="shared" ca="1" si="1"/>
        <v>#REF!</v>
      </c>
      <c r="U15" t="e">
        <f t="shared" ca="1" si="3"/>
        <v>#REF!</v>
      </c>
      <c r="V15" t="e">
        <f t="shared" ca="1" si="3"/>
        <v>#REF!</v>
      </c>
      <c r="W15" t="e">
        <f t="shared" ca="1" si="3"/>
        <v>#REF!</v>
      </c>
      <c r="X15" t="e">
        <f t="shared" ca="1" si="3"/>
        <v>#REF!</v>
      </c>
      <c r="Y15" t="e">
        <f t="shared" ca="1" si="3"/>
        <v>#REF!</v>
      </c>
      <c r="Z15" t="e">
        <f t="shared" ca="1" si="3"/>
        <v>#REF!</v>
      </c>
      <c r="AA15" t="e">
        <f t="shared" ca="1" si="3"/>
        <v>#REF!</v>
      </c>
      <c r="AB15" s="44" t="e">
        <f t="shared" ca="1" si="3"/>
        <v>#REF!</v>
      </c>
      <c r="AC15" s="44" t="e">
        <f t="shared" ca="1" si="3"/>
        <v>#REF!</v>
      </c>
      <c r="AD15" s="44" t="e">
        <f t="shared" ca="1" si="3"/>
        <v>#REF!</v>
      </c>
      <c r="AE15" s="44" t="e">
        <f t="shared" ca="1" si="3"/>
        <v>#REF!</v>
      </c>
      <c r="AF15" s="44" t="e">
        <f t="shared" ca="1" si="3"/>
        <v>#REF!</v>
      </c>
      <c r="AG15" s="44" t="e">
        <f t="shared" ca="1" si="3"/>
        <v>#REF!</v>
      </c>
      <c r="AH15" s="44" t="e">
        <f t="shared" ca="1" si="3"/>
        <v>#REF!</v>
      </c>
      <c r="AI15" s="44" t="e">
        <f t="shared" ca="1" si="3"/>
        <v>#REF!</v>
      </c>
      <c r="AJ15" s="44" t="e">
        <f t="shared" ca="1" si="3"/>
        <v>#REF!</v>
      </c>
      <c r="AK15" s="44" t="e">
        <f t="shared" ca="1" si="4"/>
        <v>#REF!</v>
      </c>
      <c r="AL15" s="44" t="e">
        <f t="shared" ca="1" si="4"/>
        <v>#REF!</v>
      </c>
      <c r="AM15" s="44" t="e">
        <f t="shared" ca="1" si="4"/>
        <v>#REF!</v>
      </c>
      <c r="AN15" s="44" t="e">
        <f t="shared" ca="1" si="4"/>
        <v>#REF!</v>
      </c>
      <c r="AO15" s="44" t="e">
        <f t="shared" ca="1" si="4"/>
        <v>#REF!</v>
      </c>
      <c r="AP15" s="44" t="e">
        <f t="shared" ca="1" si="4"/>
        <v>#REF!</v>
      </c>
      <c r="AQ15" s="44" t="e">
        <f t="shared" ca="1" si="4"/>
        <v>#REF!</v>
      </c>
      <c r="AR15" s="44" t="e">
        <f t="shared" ca="1" si="4"/>
        <v>#REF!</v>
      </c>
      <c r="AS15" s="44" t="e">
        <f t="shared" ca="1" si="4"/>
        <v>#REF!</v>
      </c>
      <c r="AT15" s="44" t="e">
        <f t="shared" ca="1" si="4"/>
        <v>#REF!</v>
      </c>
      <c r="AU15" t="e">
        <f t="shared" ca="1" si="4"/>
        <v>#REF!</v>
      </c>
      <c r="AV15" t="e">
        <f t="shared" ca="1" si="4"/>
        <v>#REF!</v>
      </c>
      <c r="AW15" t="e">
        <f t="shared" ca="1" si="4"/>
        <v>#REF!</v>
      </c>
      <c r="AX15" t="e">
        <f t="shared" ca="1" si="4"/>
        <v>#REF!</v>
      </c>
      <c r="AY15" t="e">
        <f t="shared" ca="1" si="4"/>
        <v>#REF!</v>
      </c>
      <c r="AZ15" t="e">
        <f t="shared" ca="1" si="4"/>
        <v>#REF!</v>
      </c>
      <c r="BA15" t="e">
        <f t="shared" ca="1" si="5"/>
        <v>#REF!</v>
      </c>
      <c r="BB15" t="e">
        <f t="shared" ca="1" si="5"/>
        <v>#REF!</v>
      </c>
      <c r="BC15" t="e">
        <f t="shared" ca="1" si="5"/>
        <v>#REF!</v>
      </c>
      <c r="BD15" t="e">
        <f t="shared" ca="1" si="5"/>
        <v>#REF!</v>
      </c>
      <c r="BE15" t="e">
        <f t="shared" ca="1" si="5"/>
        <v>#REF!</v>
      </c>
      <c r="BF15" t="e">
        <f t="shared" ca="1" si="5"/>
        <v>#REF!</v>
      </c>
      <c r="BG15" t="e">
        <f t="shared" ca="1" si="5"/>
        <v>#REF!</v>
      </c>
      <c r="BH15" t="e">
        <f t="shared" ca="1" si="5"/>
        <v>#REF!</v>
      </c>
      <c r="BI15" t="e">
        <f t="shared" ca="1" si="5"/>
        <v>#REF!</v>
      </c>
      <c r="BJ15" t="e">
        <f t="shared" ca="1" si="5"/>
        <v>#REF!</v>
      </c>
      <c r="BK15" t="e">
        <f t="shared" ca="1" si="5"/>
        <v>#REF!</v>
      </c>
      <c r="BL15" t="e">
        <f t="shared" ca="1" si="5"/>
        <v>#REF!</v>
      </c>
      <c r="BM15" t="e">
        <f t="shared" ca="1" si="5"/>
        <v>#REF!</v>
      </c>
      <c r="BN15" s="44" t="e">
        <f t="shared" ca="1" si="5"/>
        <v>#REF!</v>
      </c>
      <c r="BO15" s="44" t="e">
        <f t="shared" ca="1" si="5"/>
        <v>#REF!</v>
      </c>
      <c r="BP15" s="44" t="e">
        <f t="shared" ca="1" si="5"/>
        <v>#REF!</v>
      </c>
      <c r="BQ15" s="44" t="e">
        <f t="shared" ca="1" si="6"/>
        <v>#REF!</v>
      </c>
      <c r="BR15" s="44" t="e">
        <f t="shared" ca="1" si="6"/>
        <v>#REF!</v>
      </c>
      <c r="BS15" s="44" t="e">
        <f t="shared" ca="1" si="6"/>
        <v>#REF!</v>
      </c>
      <c r="BT15" s="44" t="e">
        <f t="shared" ca="1" si="6"/>
        <v>#REF!</v>
      </c>
      <c r="BU15" s="44" t="e">
        <f t="shared" ca="1" si="6"/>
        <v>#REF!</v>
      </c>
      <c r="BV15" s="44" t="e">
        <f t="shared" ca="1" si="6"/>
        <v>#REF!</v>
      </c>
      <c r="BW15" s="44" t="e">
        <f t="shared" ca="1" si="6"/>
        <v>#REF!</v>
      </c>
      <c r="BX15" s="44" t="e">
        <f t="shared" ca="1" si="6"/>
        <v>#REF!</v>
      </c>
      <c r="BY15" s="44" t="e">
        <f t="shared" ca="1" si="6"/>
        <v>#REF!</v>
      </c>
      <c r="BZ15" s="44" t="e">
        <f t="shared" ca="1" si="6"/>
        <v>#REF!</v>
      </c>
      <c r="CA15" s="44" t="e">
        <f t="shared" ca="1" si="6"/>
        <v>#REF!</v>
      </c>
      <c r="CB15" s="44" t="e">
        <f t="shared" ca="1" si="6"/>
        <v>#REF!</v>
      </c>
      <c r="CC15" s="44" t="e">
        <f t="shared" ca="1" si="6"/>
        <v>#REF!</v>
      </c>
      <c r="CD15" s="44" t="e">
        <f t="shared" ca="1" si="6"/>
        <v>#REF!</v>
      </c>
      <c r="CE15" s="44" t="e">
        <f t="shared" ca="1" si="6"/>
        <v>#REF!</v>
      </c>
      <c r="CF15" s="44" t="e">
        <f t="shared" ca="1" si="6"/>
        <v>#REF!</v>
      </c>
      <c r="CG15" t="e">
        <f t="shared" ca="1" si="7"/>
        <v>#REF!</v>
      </c>
      <c r="CH15" t="e">
        <f t="shared" ca="1" si="7"/>
        <v>#REF!</v>
      </c>
      <c r="CI15" t="e">
        <f t="shared" ca="1" si="7"/>
        <v>#REF!</v>
      </c>
      <c r="CJ15" t="e">
        <f t="shared" ca="1" si="7"/>
        <v>#REF!</v>
      </c>
      <c r="CK15" t="e">
        <f t="shared" ca="1" si="7"/>
        <v>#REF!</v>
      </c>
      <c r="CL15" t="e">
        <f t="shared" ca="1" si="7"/>
        <v>#REF!</v>
      </c>
      <c r="CM15" t="e">
        <f t="shared" ca="1" si="7"/>
        <v>#REF!</v>
      </c>
      <c r="CN15" t="e">
        <f t="shared" ca="1" si="7"/>
        <v>#REF!</v>
      </c>
      <c r="CO15" t="e">
        <f t="shared" ca="1" si="7"/>
        <v>#REF!</v>
      </c>
      <c r="CP15" t="e">
        <f t="shared" ca="1" si="7"/>
        <v>#REF!</v>
      </c>
      <c r="CQ15" t="e">
        <f t="shared" ca="1" si="7"/>
        <v>#REF!</v>
      </c>
      <c r="CR15" t="e">
        <f t="shared" ca="1" si="7"/>
        <v>#REF!</v>
      </c>
      <c r="CS15" t="e">
        <f t="shared" ca="1" si="7"/>
        <v>#REF!</v>
      </c>
      <c r="CT15" t="e">
        <f t="shared" ca="1" si="7"/>
        <v>#REF!</v>
      </c>
      <c r="CU15" t="e">
        <f t="shared" ca="1" si="7"/>
        <v>#REF!</v>
      </c>
      <c r="CV15" t="e">
        <f t="shared" ca="1" si="7"/>
        <v>#REF!</v>
      </c>
      <c r="CW15" t="e">
        <f t="shared" ca="1" si="8"/>
        <v>#REF!</v>
      </c>
      <c r="CX15" t="e">
        <f t="shared" ca="1" si="8"/>
        <v>#REF!</v>
      </c>
      <c r="CY15" t="e">
        <f t="shared" ca="1" si="8"/>
        <v>#REF!</v>
      </c>
      <c r="CZ15" s="44" t="e">
        <f t="shared" ca="1" si="8"/>
        <v>#REF!</v>
      </c>
      <c r="DA15" s="44" t="e">
        <f t="shared" ca="1" si="8"/>
        <v>#REF!</v>
      </c>
      <c r="DB15" s="44" t="e">
        <f t="shared" ca="1" si="8"/>
        <v>#REF!</v>
      </c>
      <c r="DC15" s="44" t="e">
        <f t="shared" ca="1" si="8"/>
        <v>#REF!</v>
      </c>
      <c r="DD15" s="44" t="e">
        <f t="shared" ca="1" si="8"/>
        <v>#REF!</v>
      </c>
      <c r="DE15" s="44" t="e">
        <f t="shared" ca="1" si="8"/>
        <v>#REF!</v>
      </c>
      <c r="DF15" s="44" t="e">
        <f t="shared" ca="1" si="8"/>
        <v>#REF!</v>
      </c>
      <c r="DG15" s="44" t="e">
        <f t="shared" ca="1" si="8"/>
        <v>#REF!</v>
      </c>
      <c r="DH15" s="44" t="e">
        <f t="shared" ca="1" si="8"/>
        <v>#REF!</v>
      </c>
      <c r="DI15" s="44" t="e">
        <f t="shared" ca="1" si="8"/>
        <v>#REF!</v>
      </c>
      <c r="DJ15" s="44" t="e">
        <f t="shared" ca="1" si="8"/>
        <v>#REF!</v>
      </c>
      <c r="DK15" s="44" t="e">
        <f t="shared" ca="1" si="8"/>
        <v>#REF!</v>
      </c>
      <c r="DL15" s="44" t="e">
        <f t="shared" ca="1" si="8"/>
        <v>#REF!</v>
      </c>
      <c r="DM15" s="44" t="e">
        <f t="shared" ca="1" si="9"/>
        <v>#REF!</v>
      </c>
      <c r="DN15" s="44" t="e">
        <f t="shared" ca="1" si="9"/>
        <v>#REF!</v>
      </c>
      <c r="DO15" s="44" t="e">
        <f t="shared" ca="1" si="9"/>
        <v>#REF!</v>
      </c>
      <c r="DP15" s="44" t="e">
        <f t="shared" ca="1" si="9"/>
        <v>#REF!</v>
      </c>
      <c r="DQ15" s="44" t="e">
        <f t="shared" ca="1" si="9"/>
        <v>#REF!</v>
      </c>
      <c r="DR15" s="44" t="e">
        <f t="shared" ca="1" si="9"/>
        <v>#REF!</v>
      </c>
      <c r="DS15" t="e">
        <f t="shared" ca="1" si="9"/>
        <v>#REF!</v>
      </c>
      <c r="DT15" t="e">
        <f t="shared" ca="1" si="9"/>
        <v>#REF!</v>
      </c>
      <c r="DU15" t="e">
        <f t="shared" ca="1" si="9"/>
        <v>#REF!</v>
      </c>
      <c r="DV15" t="e">
        <f t="shared" ca="1" si="9"/>
        <v>#REF!</v>
      </c>
      <c r="DW15" t="e">
        <f t="shared" ca="1" si="9"/>
        <v>#REF!</v>
      </c>
      <c r="DX15" t="e">
        <f t="shared" ca="1" si="9"/>
        <v>#REF!</v>
      </c>
      <c r="DY15" t="e">
        <f t="shared" ca="1" si="9"/>
        <v>#REF!</v>
      </c>
      <c r="DZ15" t="e">
        <f t="shared" ca="1" si="9"/>
        <v>#REF!</v>
      </c>
      <c r="EA15" t="e">
        <f t="shared" ca="1" si="9"/>
        <v>#REF!</v>
      </c>
      <c r="EB15" t="e">
        <f t="shared" ca="1" si="9"/>
        <v>#REF!</v>
      </c>
      <c r="EC15" t="e">
        <f t="shared" ca="1" si="10"/>
        <v>#REF!</v>
      </c>
      <c r="ED15" t="e">
        <f t="shared" ca="1" si="10"/>
        <v>#REF!</v>
      </c>
      <c r="EE15" t="e">
        <f t="shared" ca="1" si="10"/>
        <v>#REF!</v>
      </c>
      <c r="EF15" t="e">
        <f t="shared" ca="1" si="10"/>
        <v>#REF!</v>
      </c>
      <c r="EG15" t="e">
        <f t="shared" ca="1" si="10"/>
        <v>#REF!</v>
      </c>
      <c r="EH15" t="e">
        <f t="shared" ca="1" si="10"/>
        <v>#REF!</v>
      </c>
      <c r="EI15" t="e">
        <f t="shared" ca="1" si="10"/>
        <v>#REF!</v>
      </c>
      <c r="EJ15" t="e">
        <f t="shared" ca="1" si="10"/>
        <v>#REF!</v>
      </c>
      <c r="EK15" s="44" t="e">
        <f t="shared" ca="1" si="10"/>
        <v>#REF!</v>
      </c>
      <c r="EL15" s="44" t="e">
        <f t="shared" ca="1" si="10"/>
        <v>#REF!</v>
      </c>
      <c r="EM15" s="44" t="e">
        <f t="shared" ca="1" si="10"/>
        <v>#REF!</v>
      </c>
      <c r="EN15" s="44" t="e">
        <f t="shared" ca="1" si="10"/>
        <v>#REF!</v>
      </c>
      <c r="EO15" s="44" t="e">
        <f t="shared" ca="1" si="10"/>
        <v>#REF!</v>
      </c>
      <c r="EP15" s="44" t="e">
        <f t="shared" ca="1" si="10"/>
        <v>#REF!</v>
      </c>
      <c r="EQ15" s="44" t="e">
        <f t="shared" ca="1" si="10"/>
        <v>#REF!</v>
      </c>
      <c r="ER15" s="44" t="e">
        <f t="shared" ca="1" si="10"/>
        <v>#REF!</v>
      </c>
      <c r="ES15" s="44" t="e">
        <f t="shared" ca="1" si="11"/>
        <v>#REF!</v>
      </c>
      <c r="ET15" s="44" t="e">
        <f t="shared" ca="1" si="11"/>
        <v>#REF!</v>
      </c>
      <c r="EU15" s="44" t="e">
        <f t="shared" ca="1" si="11"/>
        <v>#REF!</v>
      </c>
      <c r="EV15" s="44" t="e">
        <f t="shared" ca="1" si="11"/>
        <v>#REF!</v>
      </c>
      <c r="EW15" s="44" t="e">
        <f t="shared" ca="1" si="11"/>
        <v>#REF!</v>
      </c>
      <c r="EX15" s="44" t="e">
        <f t="shared" ca="1" si="11"/>
        <v>#REF!</v>
      </c>
      <c r="EY15" s="44" t="e">
        <f t="shared" ca="1" si="11"/>
        <v>#REF!</v>
      </c>
      <c r="EZ15" s="44" t="e">
        <f t="shared" ca="1" si="11"/>
        <v>#REF!</v>
      </c>
      <c r="FA15" s="44" t="e">
        <f t="shared" ca="1" si="11"/>
        <v>#REF!</v>
      </c>
      <c r="FB15" s="44" t="e">
        <f t="shared" ca="1" si="11"/>
        <v>#REF!</v>
      </c>
      <c r="FC15" s="56" t="e">
        <f t="shared" ca="1" si="11"/>
        <v>#REF!</v>
      </c>
      <c r="FD15" t="e">
        <f t="shared" ca="1" si="11"/>
        <v>#REF!</v>
      </c>
      <c r="FE15" t="e">
        <f t="shared" ca="1" si="11"/>
        <v>#REF!</v>
      </c>
      <c r="FF15" t="e">
        <f t="shared" ca="1" si="11"/>
        <v>#REF!</v>
      </c>
      <c r="FG15" t="e">
        <f t="shared" ca="1" si="11"/>
        <v>#REF!</v>
      </c>
      <c r="FH15" t="e">
        <f t="shared" ca="1" si="11"/>
        <v>#REF!</v>
      </c>
      <c r="FI15" t="e">
        <f t="shared" ca="1" si="12"/>
        <v>#REF!</v>
      </c>
      <c r="FJ15" t="e">
        <f t="shared" ca="1" si="12"/>
        <v>#REF!</v>
      </c>
      <c r="FK15" t="e">
        <f t="shared" ca="1" si="12"/>
        <v>#REF!</v>
      </c>
      <c r="FL15" t="e">
        <f t="shared" ca="1" si="12"/>
        <v>#REF!</v>
      </c>
      <c r="FM15" t="e">
        <f t="shared" ca="1" si="12"/>
        <v>#REF!</v>
      </c>
      <c r="FN15" t="e">
        <f t="shared" ca="1" si="12"/>
        <v>#REF!</v>
      </c>
      <c r="FO15" t="e">
        <f t="shared" ca="1" si="12"/>
        <v>#REF!</v>
      </c>
      <c r="FP15" t="e">
        <f t="shared" ca="1" si="12"/>
        <v>#REF!</v>
      </c>
      <c r="FQ15" t="e">
        <f t="shared" ca="1" si="12"/>
        <v>#REF!</v>
      </c>
      <c r="FR15" t="e">
        <f t="shared" ca="1" si="12"/>
        <v>#REF!</v>
      </c>
      <c r="FS15" t="e">
        <f t="shared" ca="1" si="12"/>
        <v>#REF!</v>
      </c>
      <c r="FT15" t="e">
        <f t="shared" ca="1" si="12"/>
        <v>#REF!</v>
      </c>
    </row>
    <row r="16" spans="1:176" ht="15" x14ac:dyDescent="0.25">
      <c r="A16" s="240">
        <v>136</v>
      </c>
      <c r="B16" t="e">
        <f t="shared" ca="1" si="0"/>
        <v>#REF!</v>
      </c>
      <c r="C16" t="e">
        <f t="shared" ca="1" si="1"/>
        <v>#REF!</v>
      </c>
      <c r="D16" t="e">
        <f t="shared" ca="1" si="1"/>
        <v>#REF!</v>
      </c>
      <c r="E16" t="e">
        <f t="shared" ca="1" si="1"/>
        <v>#REF!</v>
      </c>
      <c r="F16" t="e">
        <f t="shared" ca="1" si="13"/>
        <v>#REF!</v>
      </c>
      <c r="G16" t="e">
        <f t="shared" ca="1" si="2"/>
        <v>#REF!</v>
      </c>
      <c r="H16" t="e">
        <f t="shared" ca="1" si="2"/>
        <v>#REF!</v>
      </c>
      <c r="I16" t="e">
        <f t="shared" ca="1" si="1"/>
        <v>#REF!</v>
      </c>
      <c r="J16" t="e">
        <f t="shared" ca="1" si="1"/>
        <v>#REF!</v>
      </c>
      <c r="K16" t="e">
        <f t="shared" ca="1" si="1"/>
        <v>#REF!</v>
      </c>
      <c r="L16" t="e">
        <f t="shared" ca="1" si="1"/>
        <v>#REF!</v>
      </c>
      <c r="M16" t="e">
        <f t="shared" ca="1" si="1"/>
        <v>#REF!</v>
      </c>
      <c r="N16" t="e">
        <f t="shared" ca="1" si="1"/>
        <v>#REF!</v>
      </c>
      <c r="O16" t="e">
        <f t="shared" ca="1" si="1"/>
        <v>#REF!</v>
      </c>
      <c r="P16" t="e">
        <f t="shared" ca="1" si="1"/>
        <v>#REF!</v>
      </c>
      <c r="Q16" t="e">
        <f t="shared" ca="1" si="1"/>
        <v>#REF!</v>
      </c>
      <c r="R16" t="e">
        <f t="shared" ca="1" si="1"/>
        <v>#REF!</v>
      </c>
      <c r="S16" t="e">
        <f t="shared" ca="1" si="1"/>
        <v>#REF!</v>
      </c>
      <c r="T16" t="e">
        <f t="shared" ca="1" si="1"/>
        <v>#REF!</v>
      </c>
      <c r="U16" t="e">
        <f t="shared" ca="1" si="3"/>
        <v>#REF!</v>
      </c>
      <c r="V16" t="e">
        <f t="shared" ca="1" si="3"/>
        <v>#REF!</v>
      </c>
      <c r="W16" t="e">
        <f t="shared" ca="1" si="3"/>
        <v>#REF!</v>
      </c>
      <c r="X16" t="e">
        <f t="shared" ca="1" si="3"/>
        <v>#REF!</v>
      </c>
      <c r="Y16" t="e">
        <f t="shared" ca="1" si="3"/>
        <v>#REF!</v>
      </c>
      <c r="Z16" t="e">
        <f t="shared" ca="1" si="3"/>
        <v>#REF!</v>
      </c>
      <c r="AA16" t="e">
        <f t="shared" ca="1" si="3"/>
        <v>#REF!</v>
      </c>
      <c r="AB16" s="44" t="e">
        <f t="shared" ca="1" si="3"/>
        <v>#REF!</v>
      </c>
      <c r="AC16" s="44" t="e">
        <f t="shared" ca="1" si="3"/>
        <v>#REF!</v>
      </c>
      <c r="AD16" s="44" t="e">
        <f t="shared" ca="1" si="3"/>
        <v>#REF!</v>
      </c>
      <c r="AE16" s="44" t="e">
        <f t="shared" ca="1" si="3"/>
        <v>#REF!</v>
      </c>
      <c r="AF16" s="44" t="e">
        <f t="shared" ca="1" si="3"/>
        <v>#REF!</v>
      </c>
      <c r="AG16" s="44" t="e">
        <f t="shared" ca="1" si="3"/>
        <v>#REF!</v>
      </c>
      <c r="AH16" s="44" t="e">
        <f t="shared" ca="1" si="3"/>
        <v>#REF!</v>
      </c>
      <c r="AI16" s="44" t="e">
        <f t="shared" ca="1" si="3"/>
        <v>#REF!</v>
      </c>
      <c r="AJ16" s="44" t="e">
        <f t="shared" ca="1" si="3"/>
        <v>#REF!</v>
      </c>
      <c r="AK16" s="44" t="e">
        <f t="shared" ca="1" si="4"/>
        <v>#REF!</v>
      </c>
      <c r="AL16" s="44" t="e">
        <f t="shared" ca="1" si="4"/>
        <v>#REF!</v>
      </c>
      <c r="AM16" s="44" t="e">
        <f t="shared" ca="1" si="4"/>
        <v>#REF!</v>
      </c>
      <c r="AN16" s="44" t="e">
        <f t="shared" ca="1" si="4"/>
        <v>#REF!</v>
      </c>
      <c r="AO16" s="44" t="e">
        <f t="shared" ca="1" si="4"/>
        <v>#REF!</v>
      </c>
      <c r="AP16" s="44" t="e">
        <f t="shared" ca="1" si="4"/>
        <v>#REF!</v>
      </c>
      <c r="AQ16" s="44" t="e">
        <f t="shared" ca="1" si="4"/>
        <v>#REF!</v>
      </c>
      <c r="AR16" s="44" t="e">
        <f t="shared" ca="1" si="4"/>
        <v>#REF!</v>
      </c>
      <c r="AS16" s="44" t="e">
        <f t="shared" ca="1" si="4"/>
        <v>#REF!</v>
      </c>
      <c r="AT16" s="44" t="e">
        <f t="shared" ca="1" si="4"/>
        <v>#REF!</v>
      </c>
      <c r="AU16" t="e">
        <f t="shared" ca="1" si="4"/>
        <v>#REF!</v>
      </c>
      <c r="AV16" t="e">
        <f t="shared" ca="1" si="4"/>
        <v>#REF!</v>
      </c>
      <c r="AW16" t="e">
        <f t="shared" ca="1" si="4"/>
        <v>#REF!</v>
      </c>
      <c r="AX16" t="e">
        <f t="shared" ca="1" si="4"/>
        <v>#REF!</v>
      </c>
      <c r="AY16" t="e">
        <f t="shared" ca="1" si="4"/>
        <v>#REF!</v>
      </c>
      <c r="AZ16" t="e">
        <f t="shared" ca="1" si="4"/>
        <v>#REF!</v>
      </c>
      <c r="BA16" t="e">
        <f t="shared" ca="1" si="5"/>
        <v>#REF!</v>
      </c>
      <c r="BB16" t="e">
        <f t="shared" ca="1" si="5"/>
        <v>#REF!</v>
      </c>
      <c r="BC16" t="e">
        <f t="shared" ca="1" si="5"/>
        <v>#REF!</v>
      </c>
      <c r="BD16" t="e">
        <f t="shared" ca="1" si="5"/>
        <v>#REF!</v>
      </c>
      <c r="BE16" t="e">
        <f t="shared" ca="1" si="5"/>
        <v>#REF!</v>
      </c>
      <c r="BF16" t="e">
        <f t="shared" ca="1" si="5"/>
        <v>#REF!</v>
      </c>
      <c r="BG16" t="e">
        <f t="shared" ca="1" si="5"/>
        <v>#REF!</v>
      </c>
      <c r="BH16" t="e">
        <f t="shared" ca="1" si="5"/>
        <v>#REF!</v>
      </c>
      <c r="BI16" t="e">
        <f t="shared" ca="1" si="5"/>
        <v>#REF!</v>
      </c>
      <c r="BJ16" t="e">
        <f t="shared" ca="1" si="5"/>
        <v>#REF!</v>
      </c>
      <c r="BK16" t="e">
        <f t="shared" ca="1" si="5"/>
        <v>#REF!</v>
      </c>
      <c r="BL16" t="e">
        <f t="shared" ca="1" si="5"/>
        <v>#REF!</v>
      </c>
      <c r="BM16" t="e">
        <f t="shared" ca="1" si="5"/>
        <v>#REF!</v>
      </c>
      <c r="BN16" s="44" t="e">
        <f t="shared" ca="1" si="5"/>
        <v>#REF!</v>
      </c>
      <c r="BO16" s="44" t="e">
        <f t="shared" ca="1" si="5"/>
        <v>#REF!</v>
      </c>
      <c r="BP16" s="44" t="e">
        <f t="shared" ca="1" si="5"/>
        <v>#REF!</v>
      </c>
      <c r="BQ16" s="44" t="e">
        <f t="shared" ca="1" si="6"/>
        <v>#REF!</v>
      </c>
      <c r="BR16" s="44" t="e">
        <f t="shared" ca="1" si="6"/>
        <v>#REF!</v>
      </c>
      <c r="BS16" s="44" t="e">
        <f t="shared" ca="1" si="6"/>
        <v>#REF!</v>
      </c>
      <c r="BT16" s="44" t="e">
        <f t="shared" ca="1" si="6"/>
        <v>#REF!</v>
      </c>
      <c r="BU16" s="44" t="e">
        <f t="shared" ca="1" si="6"/>
        <v>#REF!</v>
      </c>
      <c r="BV16" s="44" t="e">
        <f t="shared" ca="1" si="6"/>
        <v>#REF!</v>
      </c>
      <c r="BW16" s="44" t="e">
        <f t="shared" ca="1" si="6"/>
        <v>#REF!</v>
      </c>
      <c r="BX16" s="44" t="e">
        <f t="shared" ca="1" si="6"/>
        <v>#REF!</v>
      </c>
      <c r="BY16" s="44" t="e">
        <f t="shared" ca="1" si="6"/>
        <v>#REF!</v>
      </c>
      <c r="BZ16" s="44" t="e">
        <f t="shared" ca="1" si="6"/>
        <v>#REF!</v>
      </c>
      <c r="CA16" s="44" t="e">
        <f t="shared" ca="1" si="6"/>
        <v>#REF!</v>
      </c>
      <c r="CB16" s="44" t="e">
        <f t="shared" ca="1" si="6"/>
        <v>#REF!</v>
      </c>
      <c r="CC16" s="44" t="e">
        <f t="shared" ca="1" si="6"/>
        <v>#REF!</v>
      </c>
      <c r="CD16" s="44" t="e">
        <f t="shared" ca="1" si="6"/>
        <v>#REF!</v>
      </c>
      <c r="CE16" s="44" t="e">
        <f t="shared" ca="1" si="6"/>
        <v>#REF!</v>
      </c>
      <c r="CF16" s="44" t="e">
        <f t="shared" ca="1" si="6"/>
        <v>#REF!</v>
      </c>
      <c r="CG16" t="e">
        <f t="shared" ca="1" si="7"/>
        <v>#REF!</v>
      </c>
      <c r="CH16" t="e">
        <f t="shared" ca="1" si="7"/>
        <v>#REF!</v>
      </c>
      <c r="CI16" t="e">
        <f t="shared" ca="1" si="7"/>
        <v>#REF!</v>
      </c>
      <c r="CJ16" t="e">
        <f t="shared" ca="1" si="7"/>
        <v>#REF!</v>
      </c>
      <c r="CK16" t="e">
        <f t="shared" ca="1" si="7"/>
        <v>#REF!</v>
      </c>
      <c r="CL16" t="e">
        <f t="shared" ca="1" si="7"/>
        <v>#REF!</v>
      </c>
      <c r="CM16" t="e">
        <f t="shared" ca="1" si="7"/>
        <v>#REF!</v>
      </c>
      <c r="CN16" t="e">
        <f t="shared" ca="1" si="7"/>
        <v>#REF!</v>
      </c>
      <c r="CO16" t="e">
        <f t="shared" ca="1" si="7"/>
        <v>#REF!</v>
      </c>
      <c r="CP16" t="e">
        <f t="shared" ca="1" si="7"/>
        <v>#REF!</v>
      </c>
      <c r="CQ16" t="e">
        <f t="shared" ca="1" si="7"/>
        <v>#REF!</v>
      </c>
      <c r="CR16" t="e">
        <f t="shared" ca="1" si="7"/>
        <v>#REF!</v>
      </c>
      <c r="CS16" t="e">
        <f t="shared" ca="1" si="7"/>
        <v>#REF!</v>
      </c>
      <c r="CT16" t="e">
        <f t="shared" ca="1" si="7"/>
        <v>#REF!</v>
      </c>
      <c r="CU16" t="e">
        <f t="shared" ca="1" si="7"/>
        <v>#REF!</v>
      </c>
      <c r="CV16" t="e">
        <f t="shared" ca="1" si="7"/>
        <v>#REF!</v>
      </c>
      <c r="CW16" t="e">
        <f t="shared" ca="1" si="8"/>
        <v>#REF!</v>
      </c>
      <c r="CX16" t="e">
        <f t="shared" ca="1" si="8"/>
        <v>#REF!</v>
      </c>
      <c r="CY16" t="e">
        <f t="shared" ca="1" si="8"/>
        <v>#REF!</v>
      </c>
      <c r="CZ16" s="44" t="e">
        <f t="shared" ca="1" si="8"/>
        <v>#REF!</v>
      </c>
      <c r="DA16" s="44" t="e">
        <f t="shared" ca="1" si="8"/>
        <v>#REF!</v>
      </c>
      <c r="DB16" s="44" t="e">
        <f t="shared" ca="1" si="8"/>
        <v>#REF!</v>
      </c>
      <c r="DC16" s="44" t="e">
        <f t="shared" ca="1" si="8"/>
        <v>#REF!</v>
      </c>
      <c r="DD16" s="44" t="e">
        <f t="shared" ca="1" si="8"/>
        <v>#REF!</v>
      </c>
      <c r="DE16" s="44" t="e">
        <f t="shared" ca="1" si="8"/>
        <v>#REF!</v>
      </c>
      <c r="DF16" s="44" t="e">
        <f t="shared" ca="1" si="8"/>
        <v>#REF!</v>
      </c>
      <c r="DG16" s="44" t="e">
        <f t="shared" ca="1" si="8"/>
        <v>#REF!</v>
      </c>
      <c r="DH16" s="44" t="e">
        <f t="shared" ca="1" si="8"/>
        <v>#REF!</v>
      </c>
      <c r="DI16" s="44" t="e">
        <f t="shared" ca="1" si="8"/>
        <v>#REF!</v>
      </c>
      <c r="DJ16" s="44" t="e">
        <f t="shared" ca="1" si="8"/>
        <v>#REF!</v>
      </c>
      <c r="DK16" s="44" t="e">
        <f t="shared" ca="1" si="8"/>
        <v>#REF!</v>
      </c>
      <c r="DL16" s="44" t="e">
        <f t="shared" ca="1" si="8"/>
        <v>#REF!</v>
      </c>
      <c r="DM16" s="44" t="e">
        <f t="shared" ca="1" si="9"/>
        <v>#REF!</v>
      </c>
      <c r="DN16" s="44" t="e">
        <f t="shared" ca="1" si="9"/>
        <v>#REF!</v>
      </c>
      <c r="DO16" s="44" t="e">
        <f t="shared" ca="1" si="9"/>
        <v>#REF!</v>
      </c>
      <c r="DP16" s="44" t="e">
        <f t="shared" ca="1" si="9"/>
        <v>#REF!</v>
      </c>
      <c r="DQ16" s="44" t="e">
        <f t="shared" ca="1" si="9"/>
        <v>#REF!</v>
      </c>
      <c r="DR16" s="44" t="e">
        <f t="shared" ca="1" si="9"/>
        <v>#REF!</v>
      </c>
      <c r="DS16" t="e">
        <f t="shared" ca="1" si="9"/>
        <v>#REF!</v>
      </c>
      <c r="DT16" t="e">
        <f t="shared" ca="1" si="9"/>
        <v>#REF!</v>
      </c>
      <c r="DU16" t="e">
        <f t="shared" ca="1" si="9"/>
        <v>#REF!</v>
      </c>
      <c r="DV16" t="e">
        <f t="shared" ca="1" si="9"/>
        <v>#REF!</v>
      </c>
      <c r="DW16" t="e">
        <f t="shared" ca="1" si="9"/>
        <v>#REF!</v>
      </c>
      <c r="DX16" t="e">
        <f t="shared" ca="1" si="9"/>
        <v>#REF!</v>
      </c>
      <c r="DY16" t="e">
        <f t="shared" ca="1" si="9"/>
        <v>#REF!</v>
      </c>
      <c r="DZ16" t="e">
        <f t="shared" ca="1" si="9"/>
        <v>#REF!</v>
      </c>
      <c r="EA16" t="e">
        <f t="shared" ca="1" si="9"/>
        <v>#REF!</v>
      </c>
      <c r="EB16" t="e">
        <f t="shared" ca="1" si="9"/>
        <v>#REF!</v>
      </c>
      <c r="EC16" t="e">
        <f t="shared" ca="1" si="10"/>
        <v>#REF!</v>
      </c>
      <c r="ED16" t="e">
        <f t="shared" ca="1" si="10"/>
        <v>#REF!</v>
      </c>
      <c r="EE16" t="e">
        <f t="shared" ca="1" si="10"/>
        <v>#REF!</v>
      </c>
      <c r="EF16" t="e">
        <f t="shared" ca="1" si="10"/>
        <v>#REF!</v>
      </c>
      <c r="EG16" t="e">
        <f t="shared" ca="1" si="10"/>
        <v>#REF!</v>
      </c>
      <c r="EH16" t="e">
        <f t="shared" ca="1" si="10"/>
        <v>#REF!</v>
      </c>
      <c r="EI16" t="e">
        <f t="shared" ca="1" si="10"/>
        <v>#REF!</v>
      </c>
      <c r="EJ16" t="e">
        <f t="shared" ca="1" si="10"/>
        <v>#REF!</v>
      </c>
      <c r="EK16" s="44" t="e">
        <f t="shared" ca="1" si="10"/>
        <v>#REF!</v>
      </c>
      <c r="EL16" s="44" t="e">
        <f t="shared" ca="1" si="10"/>
        <v>#REF!</v>
      </c>
      <c r="EM16" s="44" t="e">
        <f t="shared" ca="1" si="10"/>
        <v>#REF!</v>
      </c>
      <c r="EN16" s="44" t="e">
        <f t="shared" ca="1" si="10"/>
        <v>#REF!</v>
      </c>
      <c r="EO16" s="44" t="e">
        <f t="shared" ca="1" si="10"/>
        <v>#REF!</v>
      </c>
      <c r="EP16" s="44" t="e">
        <f t="shared" ca="1" si="10"/>
        <v>#REF!</v>
      </c>
      <c r="EQ16" s="44" t="e">
        <f t="shared" ca="1" si="10"/>
        <v>#REF!</v>
      </c>
      <c r="ER16" s="44" t="e">
        <f t="shared" ca="1" si="10"/>
        <v>#REF!</v>
      </c>
      <c r="ES16" s="44" t="e">
        <f t="shared" ca="1" si="11"/>
        <v>#REF!</v>
      </c>
      <c r="ET16" s="44" t="e">
        <f t="shared" ca="1" si="11"/>
        <v>#REF!</v>
      </c>
      <c r="EU16" s="44" t="e">
        <f t="shared" ca="1" si="11"/>
        <v>#REF!</v>
      </c>
      <c r="EV16" s="44" t="e">
        <f t="shared" ca="1" si="11"/>
        <v>#REF!</v>
      </c>
      <c r="EW16" s="44" t="e">
        <f t="shared" ca="1" si="11"/>
        <v>#REF!</v>
      </c>
      <c r="EX16" s="44" t="e">
        <f t="shared" ca="1" si="11"/>
        <v>#REF!</v>
      </c>
      <c r="EY16" s="44" t="e">
        <f t="shared" ca="1" si="11"/>
        <v>#REF!</v>
      </c>
      <c r="EZ16" s="44" t="e">
        <f t="shared" ca="1" si="11"/>
        <v>#REF!</v>
      </c>
      <c r="FA16" s="44" t="e">
        <f t="shared" ca="1" si="11"/>
        <v>#REF!</v>
      </c>
      <c r="FB16" s="44" t="e">
        <f t="shared" ca="1" si="11"/>
        <v>#REF!</v>
      </c>
      <c r="FC16" s="56" t="e">
        <f t="shared" ca="1" si="11"/>
        <v>#REF!</v>
      </c>
      <c r="FD16" t="e">
        <f t="shared" ca="1" si="11"/>
        <v>#REF!</v>
      </c>
      <c r="FE16" t="e">
        <f t="shared" ca="1" si="11"/>
        <v>#REF!</v>
      </c>
      <c r="FF16" t="e">
        <f t="shared" ca="1" si="11"/>
        <v>#REF!</v>
      </c>
      <c r="FG16" t="e">
        <f t="shared" ca="1" si="11"/>
        <v>#REF!</v>
      </c>
      <c r="FH16" t="e">
        <f t="shared" ca="1" si="11"/>
        <v>#REF!</v>
      </c>
      <c r="FI16" t="e">
        <f t="shared" ca="1" si="12"/>
        <v>#REF!</v>
      </c>
      <c r="FJ16" t="e">
        <f t="shared" ca="1" si="12"/>
        <v>#REF!</v>
      </c>
      <c r="FK16" t="e">
        <f t="shared" ca="1" si="12"/>
        <v>#REF!</v>
      </c>
      <c r="FL16" t="e">
        <f t="shared" ca="1" si="12"/>
        <v>#REF!</v>
      </c>
      <c r="FM16" t="e">
        <f t="shared" ca="1" si="12"/>
        <v>#REF!</v>
      </c>
      <c r="FN16" t="e">
        <f t="shared" ca="1" si="12"/>
        <v>#REF!</v>
      </c>
      <c r="FO16" t="e">
        <f t="shared" ca="1" si="12"/>
        <v>#REF!</v>
      </c>
      <c r="FP16" t="e">
        <f t="shared" ca="1" si="12"/>
        <v>#REF!</v>
      </c>
      <c r="FQ16" t="e">
        <f t="shared" ca="1" si="12"/>
        <v>#REF!</v>
      </c>
      <c r="FR16" t="e">
        <f t="shared" ca="1" si="12"/>
        <v>#REF!</v>
      </c>
      <c r="FS16" t="e">
        <f t="shared" ca="1" si="12"/>
        <v>#REF!</v>
      </c>
      <c r="FT16" t="e">
        <f t="shared" ca="1" si="12"/>
        <v>#REF!</v>
      </c>
    </row>
    <row r="17" spans="1:176" ht="15" x14ac:dyDescent="0.25">
      <c r="A17" s="240">
        <v>145</v>
      </c>
      <c r="B17" t="e">
        <f t="shared" ca="1" si="0"/>
        <v>#REF!</v>
      </c>
      <c r="C17" t="e">
        <f t="shared" ca="1" si="1"/>
        <v>#REF!</v>
      </c>
      <c r="D17" t="e">
        <f t="shared" ca="1" si="1"/>
        <v>#REF!</v>
      </c>
      <c r="E17" t="e">
        <f t="shared" ca="1" si="1"/>
        <v>#REF!</v>
      </c>
      <c r="F17" t="e">
        <f t="shared" ca="1" si="13"/>
        <v>#REF!</v>
      </c>
      <c r="G17" t="e">
        <f t="shared" ca="1" si="2"/>
        <v>#REF!</v>
      </c>
      <c r="H17" t="e">
        <f t="shared" ca="1" si="2"/>
        <v>#REF!</v>
      </c>
      <c r="I17" t="e">
        <f t="shared" ca="1" si="1"/>
        <v>#REF!</v>
      </c>
      <c r="J17" t="e">
        <f t="shared" ca="1" si="1"/>
        <v>#REF!</v>
      </c>
      <c r="K17" t="e">
        <f t="shared" ca="1" si="1"/>
        <v>#REF!</v>
      </c>
      <c r="L17" t="e">
        <f t="shared" ca="1" si="1"/>
        <v>#REF!</v>
      </c>
      <c r="M17" t="e">
        <f t="shared" ca="1" si="1"/>
        <v>#REF!</v>
      </c>
      <c r="N17" t="e">
        <f t="shared" ca="1" si="1"/>
        <v>#REF!</v>
      </c>
      <c r="O17" t="e">
        <f t="shared" ca="1" si="1"/>
        <v>#REF!</v>
      </c>
      <c r="P17" t="e">
        <f t="shared" ca="1" si="1"/>
        <v>#REF!</v>
      </c>
      <c r="Q17" t="e">
        <f t="shared" ca="1" si="1"/>
        <v>#REF!</v>
      </c>
      <c r="R17" t="e">
        <f t="shared" ca="1" si="1"/>
        <v>#REF!</v>
      </c>
      <c r="S17" t="e">
        <f t="shared" ca="1" si="1"/>
        <v>#REF!</v>
      </c>
      <c r="T17" t="e">
        <f t="shared" ca="1" si="1"/>
        <v>#REF!</v>
      </c>
      <c r="U17" t="e">
        <f t="shared" ca="1" si="3"/>
        <v>#REF!</v>
      </c>
      <c r="V17" t="e">
        <f t="shared" ca="1" si="3"/>
        <v>#REF!</v>
      </c>
      <c r="W17" t="e">
        <f t="shared" ca="1" si="3"/>
        <v>#REF!</v>
      </c>
      <c r="X17" t="e">
        <f t="shared" ca="1" si="3"/>
        <v>#REF!</v>
      </c>
      <c r="Y17" t="e">
        <f t="shared" ca="1" si="3"/>
        <v>#REF!</v>
      </c>
      <c r="Z17" t="e">
        <f t="shared" ca="1" si="3"/>
        <v>#REF!</v>
      </c>
      <c r="AA17" t="e">
        <f t="shared" ca="1" si="3"/>
        <v>#REF!</v>
      </c>
      <c r="AB17" s="44" t="e">
        <f t="shared" ca="1" si="3"/>
        <v>#REF!</v>
      </c>
      <c r="AC17" s="44" t="e">
        <f t="shared" ca="1" si="3"/>
        <v>#REF!</v>
      </c>
      <c r="AD17" s="44" t="e">
        <f t="shared" ca="1" si="3"/>
        <v>#REF!</v>
      </c>
      <c r="AE17" s="44" t="e">
        <f t="shared" ca="1" si="3"/>
        <v>#REF!</v>
      </c>
      <c r="AF17" s="44" t="e">
        <f t="shared" ca="1" si="3"/>
        <v>#REF!</v>
      </c>
      <c r="AG17" s="44" t="e">
        <f t="shared" ca="1" si="3"/>
        <v>#REF!</v>
      </c>
      <c r="AH17" s="44" t="e">
        <f t="shared" ca="1" si="3"/>
        <v>#REF!</v>
      </c>
      <c r="AI17" s="44" t="e">
        <f t="shared" ca="1" si="3"/>
        <v>#REF!</v>
      </c>
      <c r="AJ17" s="44" t="e">
        <f t="shared" ca="1" si="3"/>
        <v>#REF!</v>
      </c>
      <c r="AK17" s="44" t="e">
        <f t="shared" ca="1" si="4"/>
        <v>#REF!</v>
      </c>
      <c r="AL17" s="44" t="e">
        <f t="shared" ca="1" si="4"/>
        <v>#REF!</v>
      </c>
      <c r="AM17" s="44" t="e">
        <f t="shared" ca="1" si="4"/>
        <v>#REF!</v>
      </c>
      <c r="AN17" s="44" t="e">
        <f t="shared" ca="1" si="4"/>
        <v>#REF!</v>
      </c>
      <c r="AO17" s="44" t="e">
        <f t="shared" ca="1" si="4"/>
        <v>#REF!</v>
      </c>
      <c r="AP17" s="44" t="e">
        <f t="shared" ca="1" si="4"/>
        <v>#REF!</v>
      </c>
      <c r="AQ17" s="44" t="e">
        <f t="shared" ca="1" si="4"/>
        <v>#REF!</v>
      </c>
      <c r="AR17" s="44" t="e">
        <f t="shared" ca="1" si="4"/>
        <v>#REF!</v>
      </c>
      <c r="AS17" s="44" t="e">
        <f t="shared" ca="1" si="4"/>
        <v>#REF!</v>
      </c>
      <c r="AT17" s="44" t="e">
        <f t="shared" ca="1" si="4"/>
        <v>#REF!</v>
      </c>
      <c r="AU17" t="e">
        <f t="shared" ca="1" si="4"/>
        <v>#REF!</v>
      </c>
      <c r="AV17" t="e">
        <f t="shared" ca="1" si="4"/>
        <v>#REF!</v>
      </c>
      <c r="AW17" t="e">
        <f t="shared" ca="1" si="4"/>
        <v>#REF!</v>
      </c>
      <c r="AX17" t="e">
        <f t="shared" ca="1" si="4"/>
        <v>#REF!</v>
      </c>
      <c r="AY17" t="e">
        <f t="shared" ca="1" si="4"/>
        <v>#REF!</v>
      </c>
      <c r="AZ17" t="e">
        <f t="shared" ca="1" si="4"/>
        <v>#REF!</v>
      </c>
      <c r="BA17" t="e">
        <f t="shared" ca="1" si="5"/>
        <v>#REF!</v>
      </c>
      <c r="BB17" t="e">
        <f t="shared" ca="1" si="5"/>
        <v>#REF!</v>
      </c>
      <c r="BC17" t="e">
        <f t="shared" ca="1" si="5"/>
        <v>#REF!</v>
      </c>
      <c r="BD17" t="e">
        <f t="shared" ca="1" si="5"/>
        <v>#REF!</v>
      </c>
      <c r="BE17" t="e">
        <f t="shared" ca="1" si="5"/>
        <v>#REF!</v>
      </c>
      <c r="BF17" t="e">
        <f t="shared" ca="1" si="5"/>
        <v>#REF!</v>
      </c>
      <c r="BG17" t="e">
        <f t="shared" ca="1" si="5"/>
        <v>#REF!</v>
      </c>
      <c r="BH17" t="e">
        <f t="shared" ca="1" si="5"/>
        <v>#REF!</v>
      </c>
      <c r="BI17" t="e">
        <f t="shared" ca="1" si="5"/>
        <v>#REF!</v>
      </c>
      <c r="BJ17" t="e">
        <f t="shared" ca="1" si="5"/>
        <v>#REF!</v>
      </c>
      <c r="BK17" t="e">
        <f t="shared" ca="1" si="5"/>
        <v>#REF!</v>
      </c>
      <c r="BL17" t="e">
        <f t="shared" ca="1" si="5"/>
        <v>#REF!</v>
      </c>
      <c r="BM17" t="e">
        <f t="shared" ca="1" si="5"/>
        <v>#REF!</v>
      </c>
      <c r="BN17" s="44" t="e">
        <f t="shared" ca="1" si="5"/>
        <v>#REF!</v>
      </c>
      <c r="BO17" s="44" t="e">
        <f t="shared" ca="1" si="5"/>
        <v>#REF!</v>
      </c>
      <c r="BP17" s="44" t="e">
        <f t="shared" ca="1" si="5"/>
        <v>#REF!</v>
      </c>
      <c r="BQ17" s="44" t="e">
        <f t="shared" ca="1" si="6"/>
        <v>#REF!</v>
      </c>
      <c r="BR17" s="44" t="e">
        <f t="shared" ca="1" si="6"/>
        <v>#REF!</v>
      </c>
      <c r="BS17" s="44" t="e">
        <f t="shared" ca="1" si="6"/>
        <v>#REF!</v>
      </c>
      <c r="BT17" s="44" t="e">
        <f t="shared" ca="1" si="6"/>
        <v>#REF!</v>
      </c>
      <c r="BU17" s="44" t="e">
        <f t="shared" ca="1" si="6"/>
        <v>#REF!</v>
      </c>
      <c r="BV17" s="44" t="e">
        <f t="shared" ca="1" si="6"/>
        <v>#REF!</v>
      </c>
      <c r="BW17" s="44" t="e">
        <f t="shared" ca="1" si="6"/>
        <v>#REF!</v>
      </c>
      <c r="BX17" s="44" t="e">
        <f t="shared" ca="1" si="6"/>
        <v>#REF!</v>
      </c>
      <c r="BY17" s="44" t="e">
        <f t="shared" ca="1" si="6"/>
        <v>#REF!</v>
      </c>
      <c r="BZ17" s="44" t="e">
        <f t="shared" ca="1" si="6"/>
        <v>#REF!</v>
      </c>
      <c r="CA17" s="44" t="e">
        <f t="shared" ca="1" si="6"/>
        <v>#REF!</v>
      </c>
      <c r="CB17" s="44" t="e">
        <f t="shared" ca="1" si="6"/>
        <v>#REF!</v>
      </c>
      <c r="CC17" s="44" t="e">
        <f t="shared" ca="1" si="6"/>
        <v>#REF!</v>
      </c>
      <c r="CD17" s="44" t="e">
        <f t="shared" ca="1" si="6"/>
        <v>#REF!</v>
      </c>
      <c r="CE17" s="44" t="e">
        <f t="shared" ca="1" si="6"/>
        <v>#REF!</v>
      </c>
      <c r="CF17" s="44" t="e">
        <f t="shared" ca="1" si="6"/>
        <v>#REF!</v>
      </c>
      <c r="CG17" t="e">
        <f t="shared" ca="1" si="7"/>
        <v>#REF!</v>
      </c>
      <c r="CH17" t="e">
        <f t="shared" ca="1" si="7"/>
        <v>#REF!</v>
      </c>
      <c r="CI17" t="e">
        <f t="shared" ca="1" si="7"/>
        <v>#REF!</v>
      </c>
      <c r="CJ17" t="e">
        <f t="shared" ca="1" si="7"/>
        <v>#REF!</v>
      </c>
      <c r="CK17" t="e">
        <f t="shared" ca="1" si="7"/>
        <v>#REF!</v>
      </c>
      <c r="CL17" t="e">
        <f t="shared" ca="1" si="7"/>
        <v>#REF!</v>
      </c>
      <c r="CM17" t="e">
        <f t="shared" ca="1" si="7"/>
        <v>#REF!</v>
      </c>
      <c r="CN17" t="e">
        <f t="shared" ca="1" si="7"/>
        <v>#REF!</v>
      </c>
      <c r="CO17" t="e">
        <f t="shared" ca="1" si="7"/>
        <v>#REF!</v>
      </c>
      <c r="CP17" t="e">
        <f t="shared" ca="1" si="7"/>
        <v>#REF!</v>
      </c>
      <c r="CQ17" t="e">
        <f t="shared" ca="1" si="7"/>
        <v>#REF!</v>
      </c>
      <c r="CR17" t="e">
        <f t="shared" ca="1" si="7"/>
        <v>#REF!</v>
      </c>
      <c r="CS17" t="e">
        <f t="shared" ca="1" si="7"/>
        <v>#REF!</v>
      </c>
      <c r="CT17" t="e">
        <f t="shared" ca="1" si="7"/>
        <v>#REF!</v>
      </c>
      <c r="CU17" t="e">
        <f t="shared" ca="1" si="7"/>
        <v>#REF!</v>
      </c>
      <c r="CV17" t="e">
        <f t="shared" ca="1" si="7"/>
        <v>#REF!</v>
      </c>
      <c r="CW17" t="e">
        <f t="shared" ca="1" si="8"/>
        <v>#REF!</v>
      </c>
      <c r="CX17" t="e">
        <f t="shared" ca="1" si="8"/>
        <v>#REF!</v>
      </c>
      <c r="CY17" t="e">
        <f t="shared" ca="1" si="8"/>
        <v>#REF!</v>
      </c>
      <c r="CZ17" s="44" t="e">
        <f t="shared" ca="1" si="8"/>
        <v>#REF!</v>
      </c>
      <c r="DA17" s="44" t="e">
        <f t="shared" ca="1" si="8"/>
        <v>#REF!</v>
      </c>
      <c r="DB17" s="44" t="e">
        <f t="shared" ca="1" si="8"/>
        <v>#REF!</v>
      </c>
      <c r="DC17" s="44" t="e">
        <f t="shared" ca="1" si="8"/>
        <v>#REF!</v>
      </c>
      <c r="DD17" s="44" t="e">
        <f t="shared" ca="1" si="8"/>
        <v>#REF!</v>
      </c>
      <c r="DE17" s="44" t="e">
        <f t="shared" ca="1" si="8"/>
        <v>#REF!</v>
      </c>
      <c r="DF17" s="44" t="e">
        <f t="shared" ca="1" si="8"/>
        <v>#REF!</v>
      </c>
      <c r="DG17" s="44" t="e">
        <f t="shared" ca="1" si="8"/>
        <v>#REF!</v>
      </c>
      <c r="DH17" s="44" t="e">
        <f t="shared" ca="1" si="8"/>
        <v>#REF!</v>
      </c>
      <c r="DI17" s="44" t="e">
        <f t="shared" ca="1" si="8"/>
        <v>#REF!</v>
      </c>
      <c r="DJ17" s="44" t="e">
        <f t="shared" ca="1" si="8"/>
        <v>#REF!</v>
      </c>
      <c r="DK17" s="44" t="e">
        <f t="shared" ca="1" si="8"/>
        <v>#REF!</v>
      </c>
      <c r="DL17" s="44" t="e">
        <f t="shared" ca="1" si="8"/>
        <v>#REF!</v>
      </c>
      <c r="DM17" s="44" t="e">
        <f t="shared" ca="1" si="9"/>
        <v>#REF!</v>
      </c>
      <c r="DN17" s="44" t="e">
        <f t="shared" ca="1" si="9"/>
        <v>#REF!</v>
      </c>
      <c r="DO17" s="44" t="e">
        <f t="shared" ca="1" si="9"/>
        <v>#REF!</v>
      </c>
      <c r="DP17" s="44" t="e">
        <f t="shared" ca="1" si="9"/>
        <v>#REF!</v>
      </c>
      <c r="DQ17" s="44" t="e">
        <f t="shared" ca="1" si="9"/>
        <v>#REF!</v>
      </c>
      <c r="DR17" s="44" t="e">
        <f t="shared" ca="1" si="9"/>
        <v>#REF!</v>
      </c>
      <c r="DS17" t="e">
        <f t="shared" ca="1" si="9"/>
        <v>#REF!</v>
      </c>
      <c r="DT17" t="e">
        <f t="shared" ca="1" si="9"/>
        <v>#REF!</v>
      </c>
      <c r="DU17" t="e">
        <f t="shared" ca="1" si="9"/>
        <v>#REF!</v>
      </c>
      <c r="DV17" t="e">
        <f t="shared" ca="1" si="9"/>
        <v>#REF!</v>
      </c>
      <c r="DW17" t="e">
        <f t="shared" ca="1" si="9"/>
        <v>#REF!</v>
      </c>
      <c r="DX17" t="e">
        <f t="shared" ca="1" si="9"/>
        <v>#REF!</v>
      </c>
      <c r="DY17" t="e">
        <f t="shared" ca="1" si="9"/>
        <v>#REF!</v>
      </c>
      <c r="DZ17" t="e">
        <f t="shared" ca="1" si="9"/>
        <v>#REF!</v>
      </c>
      <c r="EA17" t="e">
        <f t="shared" ca="1" si="9"/>
        <v>#REF!</v>
      </c>
      <c r="EB17" t="e">
        <f t="shared" ca="1" si="9"/>
        <v>#REF!</v>
      </c>
      <c r="EC17" t="e">
        <f t="shared" ca="1" si="10"/>
        <v>#REF!</v>
      </c>
      <c r="ED17" t="e">
        <f t="shared" ca="1" si="10"/>
        <v>#REF!</v>
      </c>
      <c r="EE17" t="e">
        <f t="shared" ca="1" si="10"/>
        <v>#REF!</v>
      </c>
      <c r="EF17" t="e">
        <f t="shared" ca="1" si="10"/>
        <v>#REF!</v>
      </c>
      <c r="EG17" t="e">
        <f t="shared" ca="1" si="10"/>
        <v>#REF!</v>
      </c>
      <c r="EH17" t="e">
        <f t="shared" ca="1" si="10"/>
        <v>#REF!</v>
      </c>
      <c r="EI17" t="e">
        <f t="shared" ca="1" si="10"/>
        <v>#REF!</v>
      </c>
      <c r="EJ17" t="e">
        <f t="shared" ca="1" si="10"/>
        <v>#REF!</v>
      </c>
      <c r="EK17" s="44" t="e">
        <f t="shared" ca="1" si="10"/>
        <v>#REF!</v>
      </c>
      <c r="EL17" s="44" t="e">
        <f t="shared" ca="1" si="10"/>
        <v>#REF!</v>
      </c>
      <c r="EM17" s="44" t="e">
        <f t="shared" ca="1" si="10"/>
        <v>#REF!</v>
      </c>
      <c r="EN17" s="44" t="e">
        <f t="shared" ca="1" si="10"/>
        <v>#REF!</v>
      </c>
      <c r="EO17" s="44" t="e">
        <f t="shared" ca="1" si="10"/>
        <v>#REF!</v>
      </c>
      <c r="EP17" s="44" t="e">
        <f t="shared" ca="1" si="10"/>
        <v>#REF!</v>
      </c>
      <c r="EQ17" s="44" t="e">
        <f t="shared" ca="1" si="10"/>
        <v>#REF!</v>
      </c>
      <c r="ER17" s="44" t="e">
        <f t="shared" ca="1" si="10"/>
        <v>#REF!</v>
      </c>
      <c r="ES17" s="44" t="e">
        <f t="shared" ca="1" si="11"/>
        <v>#REF!</v>
      </c>
      <c r="ET17" s="44" t="e">
        <f t="shared" ca="1" si="11"/>
        <v>#REF!</v>
      </c>
      <c r="EU17" s="44" t="e">
        <f t="shared" ca="1" si="11"/>
        <v>#REF!</v>
      </c>
      <c r="EV17" s="44" t="e">
        <f t="shared" ca="1" si="11"/>
        <v>#REF!</v>
      </c>
      <c r="EW17" s="44" t="e">
        <f t="shared" ca="1" si="11"/>
        <v>#REF!</v>
      </c>
      <c r="EX17" s="44" t="e">
        <f t="shared" ca="1" si="11"/>
        <v>#REF!</v>
      </c>
      <c r="EY17" s="44" t="e">
        <f t="shared" ca="1" si="11"/>
        <v>#REF!</v>
      </c>
      <c r="EZ17" s="44" t="e">
        <f t="shared" ca="1" si="11"/>
        <v>#REF!</v>
      </c>
      <c r="FA17" s="44" t="e">
        <f t="shared" ca="1" si="11"/>
        <v>#REF!</v>
      </c>
      <c r="FB17" s="44" t="e">
        <f t="shared" ca="1" si="11"/>
        <v>#REF!</v>
      </c>
      <c r="FC17" s="56" t="e">
        <f t="shared" ca="1" si="11"/>
        <v>#REF!</v>
      </c>
      <c r="FD17" t="e">
        <f t="shared" ca="1" si="11"/>
        <v>#REF!</v>
      </c>
      <c r="FE17" t="e">
        <f t="shared" ca="1" si="11"/>
        <v>#REF!</v>
      </c>
      <c r="FF17" t="e">
        <f t="shared" ca="1" si="11"/>
        <v>#REF!</v>
      </c>
      <c r="FG17" t="e">
        <f t="shared" ca="1" si="11"/>
        <v>#REF!</v>
      </c>
      <c r="FH17" t="e">
        <f t="shared" ca="1" si="11"/>
        <v>#REF!</v>
      </c>
      <c r="FI17" t="e">
        <f t="shared" ca="1" si="12"/>
        <v>#REF!</v>
      </c>
      <c r="FJ17" t="e">
        <f t="shared" ca="1" si="12"/>
        <v>#REF!</v>
      </c>
      <c r="FK17" t="e">
        <f t="shared" ca="1" si="12"/>
        <v>#REF!</v>
      </c>
      <c r="FL17" t="e">
        <f t="shared" ca="1" si="12"/>
        <v>#REF!</v>
      </c>
      <c r="FM17" t="e">
        <f t="shared" ca="1" si="12"/>
        <v>#REF!</v>
      </c>
      <c r="FN17" t="e">
        <f t="shared" ca="1" si="12"/>
        <v>#REF!</v>
      </c>
      <c r="FO17" t="e">
        <f t="shared" ca="1" si="12"/>
        <v>#REF!</v>
      </c>
      <c r="FP17" t="e">
        <f t="shared" ca="1" si="12"/>
        <v>#REF!</v>
      </c>
      <c r="FQ17" t="e">
        <f t="shared" ca="1" si="12"/>
        <v>#REF!</v>
      </c>
      <c r="FR17" t="e">
        <f t="shared" ca="1" si="12"/>
        <v>#REF!</v>
      </c>
      <c r="FS17" t="e">
        <f t="shared" ca="1" si="12"/>
        <v>#REF!</v>
      </c>
      <c r="FT17" t="e">
        <f t="shared" ca="1" si="12"/>
        <v>#REF!</v>
      </c>
    </row>
    <row r="18" spans="1:176" ht="15" x14ac:dyDescent="0.25">
      <c r="A18" s="240">
        <v>128</v>
      </c>
      <c r="B18" t="e">
        <f t="shared" ca="1" si="0"/>
        <v>#REF!</v>
      </c>
      <c r="C18" t="e">
        <f t="shared" ca="1" si="1"/>
        <v>#REF!</v>
      </c>
      <c r="D18" t="e">
        <f t="shared" ca="1" si="1"/>
        <v>#REF!</v>
      </c>
      <c r="E18" t="e">
        <f t="shared" ca="1" si="1"/>
        <v>#REF!</v>
      </c>
      <c r="F18" t="e">
        <f t="shared" ca="1" si="13"/>
        <v>#REF!</v>
      </c>
      <c r="G18" t="e">
        <f t="shared" ca="1" si="2"/>
        <v>#REF!</v>
      </c>
      <c r="H18" t="e">
        <f t="shared" ca="1" si="2"/>
        <v>#REF!</v>
      </c>
      <c r="I18" t="e">
        <f t="shared" ca="1" si="1"/>
        <v>#REF!</v>
      </c>
      <c r="J18" t="e">
        <f t="shared" ca="1" si="1"/>
        <v>#REF!</v>
      </c>
      <c r="K18" t="e">
        <f t="shared" ca="1" si="1"/>
        <v>#REF!</v>
      </c>
      <c r="L18" t="e">
        <f t="shared" ca="1" si="1"/>
        <v>#REF!</v>
      </c>
      <c r="M18" t="e">
        <f t="shared" ca="1" si="1"/>
        <v>#REF!</v>
      </c>
      <c r="N18" t="e">
        <f t="shared" ca="1" si="1"/>
        <v>#REF!</v>
      </c>
      <c r="O18" t="e">
        <f t="shared" ca="1" si="1"/>
        <v>#REF!</v>
      </c>
      <c r="P18" t="e">
        <f t="shared" ca="1" si="1"/>
        <v>#REF!</v>
      </c>
      <c r="Q18" t="e">
        <f t="shared" ca="1" si="1"/>
        <v>#REF!</v>
      </c>
      <c r="R18" t="e">
        <f t="shared" ca="1" si="1"/>
        <v>#REF!</v>
      </c>
      <c r="S18" t="e">
        <f t="shared" ca="1" si="1"/>
        <v>#REF!</v>
      </c>
      <c r="T18" t="e">
        <f t="shared" ref="T18:AI33" ca="1" si="14">IF($A18="", "", IF(INDIRECT($A18&amp; "!"&amp; T$2)="", "", INDIRECT($A18&amp; "!"&amp; T$2)))</f>
        <v>#REF!</v>
      </c>
      <c r="U18" t="e">
        <f t="shared" ca="1" si="3"/>
        <v>#REF!</v>
      </c>
      <c r="V18" t="e">
        <f t="shared" ca="1" si="3"/>
        <v>#REF!</v>
      </c>
      <c r="W18" t="e">
        <f t="shared" ca="1" si="3"/>
        <v>#REF!</v>
      </c>
      <c r="X18" t="e">
        <f t="shared" ca="1" si="3"/>
        <v>#REF!</v>
      </c>
      <c r="Y18" t="e">
        <f t="shared" ca="1" si="3"/>
        <v>#REF!</v>
      </c>
      <c r="Z18" t="e">
        <f t="shared" ca="1" si="3"/>
        <v>#REF!</v>
      </c>
      <c r="AA18" t="e">
        <f t="shared" ca="1" si="3"/>
        <v>#REF!</v>
      </c>
      <c r="AB18" s="44" t="e">
        <f t="shared" ca="1" si="3"/>
        <v>#REF!</v>
      </c>
      <c r="AC18" s="44" t="e">
        <f t="shared" ca="1" si="3"/>
        <v>#REF!</v>
      </c>
      <c r="AD18" s="44" t="e">
        <f t="shared" ca="1" si="3"/>
        <v>#REF!</v>
      </c>
      <c r="AE18" s="44" t="e">
        <f t="shared" ca="1" si="3"/>
        <v>#REF!</v>
      </c>
      <c r="AF18" s="44" t="e">
        <f t="shared" ca="1" si="3"/>
        <v>#REF!</v>
      </c>
      <c r="AG18" s="44" t="e">
        <f t="shared" ca="1" si="3"/>
        <v>#REF!</v>
      </c>
      <c r="AH18" s="44" t="e">
        <f t="shared" ca="1" si="3"/>
        <v>#REF!</v>
      </c>
      <c r="AI18" s="44" t="e">
        <f t="shared" ca="1" si="3"/>
        <v>#REF!</v>
      </c>
      <c r="AJ18" s="44" t="e">
        <f t="shared" ref="AJ18:AY33" ca="1" si="15">IF($A18="", "", IF(INDIRECT($A18&amp; "!"&amp; AJ$2)="", "", INDIRECT($A18&amp; "!"&amp; AJ$2)))</f>
        <v>#REF!</v>
      </c>
      <c r="AK18" s="44" t="e">
        <f t="shared" ca="1" si="4"/>
        <v>#REF!</v>
      </c>
      <c r="AL18" s="44" t="e">
        <f t="shared" ca="1" si="4"/>
        <v>#REF!</v>
      </c>
      <c r="AM18" s="44" t="e">
        <f t="shared" ca="1" si="4"/>
        <v>#REF!</v>
      </c>
      <c r="AN18" s="44" t="e">
        <f t="shared" ca="1" si="4"/>
        <v>#REF!</v>
      </c>
      <c r="AO18" s="44" t="e">
        <f t="shared" ca="1" si="4"/>
        <v>#REF!</v>
      </c>
      <c r="AP18" s="44" t="e">
        <f t="shared" ca="1" si="4"/>
        <v>#REF!</v>
      </c>
      <c r="AQ18" s="44" t="e">
        <f t="shared" ca="1" si="4"/>
        <v>#REF!</v>
      </c>
      <c r="AR18" s="44" t="e">
        <f t="shared" ca="1" si="4"/>
        <v>#REF!</v>
      </c>
      <c r="AS18" s="44" t="e">
        <f t="shared" ca="1" si="4"/>
        <v>#REF!</v>
      </c>
      <c r="AT18" s="44" t="e">
        <f t="shared" ca="1" si="4"/>
        <v>#REF!</v>
      </c>
      <c r="AU18" t="e">
        <f t="shared" ca="1" si="4"/>
        <v>#REF!</v>
      </c>
      <c r="AV18" t="e">
        <f t="shared" ca="1" si="4"/>
        <v>#REF!</v>
      </c>
      <c r="AW18" t="e">
        <f t="shared" ca="1" si="4"/>
        <v>#REF!</v>
      </c>
      <c r="AX18" t="e">
        <f t="shared" ca="1" si="4"/>
        <v>#REF!</v>
      </c>
      <c r="AY18" t="e">
        <f t="shared" ca="1" si="4"/>
        <v>#REF!</v>
      </c>
      <c r="AZ18" t="e">
        <f t="shared" ref="AZ18:BO33" ca="1" si="16">IF($A18="", "", IF(INDIRECT($A18&amp; "!"&amp; AZ$2)="", "", INDIRECT($A18&amp; "!"&amp; AZ$2)))</f>
        <v>#REF!</v>
      </c>
      <c r="BA18" t="e">
        <f t="shared" ca="1" si="5"/>
        <v>#REF!</v>
      </c>
      <c r="BB18" t="e">
        <f t="shared" ca="1" si="5"/>
        <v>#REF!</v>
      </c>
      <c r="BC18" t="e">
        <f t="shared" ca="1" si="5"/>
        <v>#REF!</v>
      </c>
      <c r="BD18" t="e">
        <f t="shared" ca="1" si="5"/>
        <v>#REF!</v>
      </c>
      <c r="BE18" t="e">
        <f t="shared" ca="1" si="5"/>
        <v>#REF!</v>
      </c>
      <c r="BF18" t="e">
        <f t="shared" ca="1" si="5"/>
        <v>#REF!</v>
      </c>
      <c r="BG18" t="e">
        <f t="shared" ca="1" si="5"/>
        <v>#REF!</v>
      </c>
      <c r="BH18" t="e">
        <f t="shared" ca="1" si="5"/>
        <v>#REF!</v>
      </c>
      <c r="BI18" t="e">
        <f t="shared" ca="1" si="5"/>
        <v>#REF!</v>
      </c>
      <c r="BJ18" t="e">
        <f t="shared" ca="1" si="5"/>
        <v>#REF!</v>
      </c>
      <c r="BK18" t="e">
        <f t="shared" ca="1" si="5"/>
        <v>#REF!</v>
      </c>
      <c r="BL18" t="e">
        <f t="shared" ca="1" si="5"/>
        <v>#REF!</v>
      </c>
      <c r="BM18" t="e">
        <f t="shared" ca="1" si="5"/>
        <v>#REF!</v>
      </c>
      <c r="BN18" s="44" t="e">
        <f t="shared" ca="1" si="5"/>
        <v>#REF!</v>
      </c>
      <c r="BO18" s="44" t="e">
        <f t="shared" ca="1" si="5"/>
        <v>#REF!</v>
      </c>
      <c r="BP18" s="44" t="e">
        <f t="shared" ref="BP18:CE33" ca="1" si="17">IF($A18="", "", IF(INDIRECT($A18&amp; "!"&amp; BP$2)="", "", INDIRECT($A18&amp; "!"&amp; BP$2)))</f>
        <v>#REF!</v>
      </c>
      <c r="BQ18" s="44" t="e">
        <f t="shared" ca="1" si="6"/>
        <v>#REF!</v>
      </c>
      <c r="BR18" s="44" t="e">
        <f t="shared" ca="1" si="6"/>
        <v>#REF!</v>
      </c>
      <c r="BS18" s="44" t="e">
        <f t="shared" ca="1" si="6"/>
        <v>#REF!</v>
      </c>
      <c r="BT18" s="44" t="e">
        <f t="shared" ca="1" si="6"/>
        <v>#REF!</v>
      </c>
      <c r="BU18" s="44" t="e">
        <f t="shared" ca="1" si="6"/>
        <v>#REF!</v>
      </c>
      <c r="BV18" s="44" t="e">
        <f t="shared" ca="1" si="6"/>
        <v>#REF!</v>
      </c>
      <c r="BW18" s="44" t="e">
        <f t="shared" ca="1" si="6"/>
        <v>#REF!</v>
      </c>
      <c r="BX18" s="44" t="e">
        <f t="shared" ca="1" si="6"/>
        <v>#REF!</v>
      </c>
      <c r="BY18" s="44" t="e">
        <f t="shared" ca="1" si="6"/>
        <v>#REF!</v>
      </c>
      <c r="BZ18" s="44" t="e">
        <f t="shared" ca="1" si="6"/>
        <v>#REF!</v>
      </c>
      <c r="CA18" s="44" t="e">
        <f t="shared" ca="1" si="6"/>
        <v>#REF!</v>
      </c>
      <c r="CB18" s="44" t="e">
        <f t="shared" ca="1" si="6"/>
        <v>#REF!</v>
      </c>
      <c r="CC18" s="44" t="e">
        <f t="shared" ca="1" si="6"/>
        <v>#REF!</v>
      </c>
      <c r="CD18" s="44" t="e">
        <f t="shared" ca="1" si="6"/>
        <v>#REF!</v>
      </c>
      <c r="CE18" s="44" t="e">
        <f t="shared" ca="1" si="6"/>
        <v>#REF!</v>
      </c>
      <c r="CF18" s="44" t="e">
        <f t="shared" ref="CF18:CU33" ca="1" si="18">IF($A18="", "", IF(INDIRECT($A18&amp; "!"&amp; CF$2)="", "", INDIRECT($A18&amp; "!"&amp; CF$2)))</f>
        <v>#REF!</v>
      </c>
      <c r="CG18" t="e">
        <f t="shared" ca="1" si="7"/>
        <v>#REF!</v>
      </c>
      <c r="CH18" t="e">
        <f t="shared" ca="1" si="7"/>
        <v>#REF!</v>
      </c>
      <c r="CI18" t="e">
        <f t="shared" ca="1" si="7"/>
        <v>#REF!</v>
      </c>
      <c r="CJ18" t="e">
        <f t="shared" ca="1" si="7"/>
        <v>#REF!</v>
      </c>
      <c r="CK18" t="e">
        <f t="shared" ca="1" si="7"/>
        <v>#REF!</v>
      </c>
      <c r="CL18" t="e">
        <f t="shared" ca="1" si="7"/>
        <v>#REF!</v>
      </c>
      <c r="CM18" t="e">
        <f t="shared" ca="1" si="7"/>
        <v>#REF!</v>
      </c>
      <c r="CN18" t="e">
        <f t="shared" ca="1" si="7"/>
        <v>#REF!</v>
      </c>
      <c r="CO18" t="e">
        <f t="shared" ca="1" si="7"/>
        <v>#REF!</v>
      </c>
      <c r="CP18" t="e">
        <f t="shared" ca="1" si="7"/>
        <v>#REF!</v>
      </c>
      <c r="CQ18" t="e">
        <f t="shared" ca="1" si="7"/>
        <v>#REF!</v>
      </c>
      <c r="CR18" t="e">
        <f t="shared" ca="1" si="7"/>
        <v>#REF!</v>
      </c>
      <c r="CS18" t="e">
        <f t="shared" ca="1" si="7"/>
        <v>#REF!</v>
      </c>
      <c r="CT18" t="e">
        <f t="shared" ca="1" si="7"/>
        <v>#REF!</v>
      </c>
      <c r="CU18" t="e">
        <f t="shared" ca="1" si="7"/>
        <v>#REF!</v>
      </c>
      <c r="CV18" t="e">
        <f t="shared" ref="CV18:DK33" ca="1" si="19">IF($A18="", "", IF(INDIRECT($A18&amp; "!"&amp; CV$2)="", "", INDIRECT($A18&amp; "!"&amp; CV$2)))</f>
        <v>#REF!</v>
      </c>
      <c r="CW18" t="e">
        <f t="shared" ca="1" si="8"/>
        <v>#REF!</v>
      </c>
      <c r="CX18" t="e">
        <f t="shared" ca="1" si="8"/>
        <v>#REF!</v>
      </c>
      <c r="CY18" t="e">
        <f t="shared" ca="1" si="8"/>
        <v>#REF!</v>
      </c>
      <c r="CZ18" s="44" t="e">
        <f t="shared" ca="1" si="8"/>
        <v>#REF!</v>
      </c>
      <c r="DA18" s="44" t="e">
        <f t="shared" ca="1" si="8"/>
        <v>#REF!</v>
      </c>
      <c r="DB18" s="44" t="e">
        <f t="shared" ca="1" si="8"/>
        <v>#REF!</v>
      </c>
      <c r="DC18" s="44" t="e">
        <f t="shared" ca="1" si="8"/>
        <v>#REF!</v>
      </c>
      <c r="DD18" s="44" t="e">
        <f t="shared" ca="1" si="8"/>
        <v>#REF!</v>
      </c>
      <c r="DE18" s="44" t="e">
        <f t="shared" ca="1" si="8"/>
        <v>#REF!</v>
      </c>
      <c r="DF18" s="44" t="e">
        <f t="shared" ca="1" si="8"/>
        <v>#REF!</v>
      </c>
      <c r="DG18" s="44" t="e">
        <f t="shared" ca="1" si="8"/>
        <v>#REF!</v>
      </c>
      <c r="DH18" s="44" t="e">
        <f t="shared" ca="1" si="8"/>
        <v>#REF!</v>
      </c>
      <c r="DI18" s="44" t="e">
        <f t="shared" ca="1" si="8"/>
        <v>#REF!</v>
      </c>
      <c r="DJ18" s="44" t="e">
        <f t="shared" ca="1" si="8"/>
        <v>#REF!</v>
      </c>
      <c r="DK18" s="44" t="e">
        <f t="shared" ca="1" si="8"/>
        <v>#REF!</v>
      </c>
      <c r="DL18" s="44" t="e">
        <f t="shared" ref="DL18:EA33" ca="1" si="20">IF($A18="", "", IF(INDIRECT($A18&amp; "!"&amp; DL$2)="", "", INDIRECT($A18&amp; "!"&amp; DL$2)))</f>
        <v>#REF!</v>
      </c>
      <c r="DM18" s="44" t="e">
        <f t="shared" ca="1" si="9"/>
        <v>#REF!</v>
      </c>
      <c r="DN18" s="44" t="e">
        <f t="shared" ca="1" si="9"/>
        <v>#REF!</v>
      </c>
      <c r="DO18" s="44" t="e">
        <f t="shared" ca="1" si="9"/>
        <v>#REF!</v>
      </c>
      <c r="DP18" s="44" t="e">
        <f t="shared" ca="1" si="9"/>
        <v>#REF!</v>
      </c>
      <c r="DQ18" s="44" t="e">
        <f t="shared" ca="1" si="9"/>
        <v>#REF!</v>
      </c>
      <c r="DR18" s="44" t="e">
        <f t="shared" ca="1" si="9"/>
        <v>#REF!</v>
      </c>
      <c r="DS18" t="e">
        <f t="shared" ca="1" si="9"/>
        <v>#REF!</v>
      </c>
      <c r="DT18" t="e">
        <f t="shared" ca="1" si="9"/>
        <v>#REF!</v>
      </c>
      <c r="DU18" t="e">
        <f t="shared" ca="1" si="9"/>
        <v>#REF!</v>
      </c>
      <c r="DV18" t="e">
        <f t="shared" ca="1" si="9"/>
        <v>#REF!</v>
      </c>
      <c r="DW18" t="e">
        <f t="shared" ca="1" si="9"/>
        <v>#REF!</v>
      </c>
      <c r="DX18" t="e">
        <f t="shared" ca="1" si="9"/>
        <v>#REF!</v>
      </c>
      <c r="DY18" t="e">
        <f t="shared" ca="1" si="9"/>
        <v>#REF!</v>
      </c>
      <c r="DZ18" t="e">
        <f t="shared" ca="1" si="9"/>
        <v>#REF!</v>
      </c>
      <c r="EA18" t="e">
        <f t="shared" ca="1" si="9"/>
        <v>#REF!</v>
      </c>
      <c r="EB18" t="e">
        <f t="shared" ref="EB18:EQ33" ca="1" si="21">IF($A18="", "", IF(INDIRECT($A18&amp; "!"&amp; EB$2)="", "", INDIRECT($A18&amp; "!"&amp; EB$2)))</f>
        <v>#REF!</v>
      </c>
      <c r="EC18" t="e">
        <f t="shared" ca="1" si="10"/>
        <v>#REF!</v>
      </c>
      <c r="ED18" t="e">
        <f t="shared" ca="1" si="10"/>
        <v>#REF!</v>
      </c>
      <c r="EE18" t="e">
        <f t="shared" ca="1" si="10"/>
        <v>#REF!</v>
      </c>
      <c r="EF18" t="e">
        <f t="shared" ca="1" si="10"/>
        <v>#REF!</v>
      </c>
      <c r="EG18" t="e">
        <f t="shared" ca="1" si="10"/>
        <v>#REF!</v>
      </c>
      <c r="EH18" t="e">
        <f t="shared" ca="1" si="10"/>
        <v>#REF!</v>
      </c>
      <c r="EI18" t="e">
        <f t="shared" ca="1" si="10"/>
        <v>#REF!</v>
      </c>
      <c r="EJ18" t="e">
        <f t="shared" ca="1" si="10"/>
        <v>#REF!</v>
      </c>
      <c r="EK18" s="44" t="e">
        <f t="shared" ca="1" si="10"/>
        <v>#REF!</v>
      </c>
      <c r="EL18" s="44" t="e">
        <f t="shared" ca="1" si="10"/>
        <v>#REF!</v>
      </c>
      <c r="EM18" s="44" t="e">
        <f t="shared" ca="1" si="10"/>
        <v>#REF!</v>
      </c>
      <c r="EN18" s="44" t="e">
        <f t="shared" ca="1" si="10"/>
        <v>#REF!</v>
      </c>
      <c r="EO18" s="44" t="e">
        <f t="shared" ca="1" si="10"/>
        <v>#REF!</v>
      </c>
      <c r="EP18" s="44" t="e">
        <f t="shared" ca="1" si="10"/>
        <v>#REF!</v>
      </c>
      <c r="EQ18" s="44" t="e">
        <f t="shared" ca="1" si="10"/>
        <v>#REF!</v>
      </c>
      <c r="ER18" s="44" t="e">
        <f t="shared" ref="ER18:FG33" ca="1" si="22">IF($A18="", "", IF(INDIRECT($A18&amp; "!"&amp; ER$2)="", "", INDIRECT($A18&amp; "!"&amp; ER$2)))</f>
        <v>#REF!</v>
      </c>
      <c r="ES18" s="44" t="e">
        <f t="shared" ca="1" si="11"/>
        <v>#REF!</v>
      </c>
      <c r="ET18" s="44" t="e">
        <f t="shared" ca="1" si="11"/>
        <v>#REF!</v>
      </c>
      <c r="EU18" s="44" t="e">
        <f t="shared" ca="1" si="11"/>
        <v>#REF!</v>
      </c>
      <c r="EV18" s="44" t="e">
        <f t="shared" ca="1" si="11"/>
        <v>#REF!</v>
      </c>
      <c r="EW18" s="44" t="e">
        <f t="shared" ca="1" si="11"/>
        <v>#REF!</v>
      </c>
      <c r="EX18" s="44" t="e">
        <f t="shared" ca="1" si="11"/>
        <v>#REF!</v>
      </c>
      <c r="EY18" s="44" t="e">
        <f t="shared" ca="1" si="11"/>
        <v>#REF!</v>
      </c>
      <c r="EZ18" s="44" t="e">
        <f t="shared" ca="1" si="11"/>
        <v>#REF!</v>
      </c>
      <c r="FA18" s="44" t="e">
        <f t="shared" ca="1" si="11"/>
        <v>#REF!</v>
      </c>
      <c r="FB18" s="44" t="e">
        <f t="shared" ca="1" si="11"/>
        <v>#REF!</v>
      </c>
      <c r="FC18" s="56" t="e">
        <f t="shared" ca="1" si="11"/>
        <v>#REF!</v>
      </c>
      <c r="FD18" t="e">
        <f t="shared" ca="1" si="11"/>
        <v>#REF!</v>
      </c>
      <c r="FE18" t="e">
        <f t="shared" ca="1" si="11"/>
        <v>#REF!</v>
      </c>
      <c r="FF18" t="e">
        <f t="shared" ca="1" si="11"/>
        <v>#REF!</v>
      </c>
      <c r="FG18" t="e">
        <f t="shared" ca="1" si="11"/>
        <v>#REF!</v>
      </c>
      <c r="FH18" t="e">
        <f t="shared" ref="FH18:FT33" ca="1" si="23">IF($A18="", "", IF(INDIRECT($A18&amp; "!"&amp; FH$2)="", "", INDIRECT($A18&amp; "!"&amp; FH$2)))</f>
        <v>#REF!</v>
      </c>
      <c r="FI18" t="e">
        <f t="shared" ca="1" si="12"/>
        <v>#REF!</v>
      </c>
      <c r="FJ18" t="e">
        <f t="shared" ca="1" si="12"/>
        <v>#REF!</v>
      </c>
      <c r="FK18" t="e">
        <f t="shared" ca="1" si="12"/>
        <v>#REF!</v>
      </c>
      <c r="FL18" t="e">
        <f t="shared" ca="1" si="12"/>
        <v>#REF!</v>
      </c>
      <c r="FM18" t="e">
        <f t="shared" ca="1" si="12"/>
        <v>#REF!</v>
      </c>
      <c r="FN18" t="e">
        <f t="shared" ca="1" si="12"/>
        <v>#REF!</v>
      </c>
      <c r="FO18" t="e">
        <f t="shared" ca="1" si="12"/>
        <v>#REF!</v>
      </c>
      <c r="FP18" t="e">
        <f t="shared" ca="1" si="12"/>
        <v>#REF!</v>
      </c>
      <c r="FQ18" t="e">
        <f t="shared" ca="1" si="12"/>
        <v>#REF!</v>
      </c>
      <c r="FR18" t="e">
        <f t="shared" ca="1" si="12"/>
        <v>#REF!</v>
      </c>
      <c r="FS18" t="e">
        <f t="shared" ca="1" si="12"/>
        <v>#REF!</v>
      </c>
      <c r="FT18" t="e">
        <f t="shared" ca="1" si="12"/>
        <v>#REF!</v>
      </c>
    </row>
    <row r="19" spans="1:176" ht="15" x14ac:dyDescent="0.25">
      <c r="A19" s="240">
        <v>137</v>
      </c>
      <c r="B19" t="e">
        <f t="shared" ca="1" si="0"/>
        <v>#REF!</v>
      </c>
      <c r="C19" t="e">
        <f ca="1">IF($A19="", "", IF(INDIRECT($A19&amp; "!"&amp; C$2)="", "", INDIRECT($A19&amp; "!"&amp; C$2)))</f>
        <v>#REF!</v>
      </c>
      <c r="D19" t="e">
        <f ca="1">IF($A19="", "", IF(INDIRECT($A19&amp; "!"&amp; D$2)="", "", INDIRECT($A19&amp; "!"&amp; D$2)))</f>
        <v>#REF!</v>
      </c>
      <c r="E19" t="e">
        <f ca="1">IF($A19="", "", IF(INDIRECT($A19&amp; "!"&amp; E$2)="", "", INDIRECT($A19&amp; "!"&amp; E$2)))</f>
        <v>#REF!</v>
      </c>
      <c r="F19" t="e">
        <f t="shared" ca="1" si="13"/>
        <v>#REF!</v>
      </c>
      <c r="G19" t="e">
        <f t="shared" ca="1" si="13"/>
        <v>#REF!</v>
      </c>
      <c r="H19" t="e">
        <f t="shared" ca="1" si="13"/>
        <v>#REF!</v>
      </c>
      <c r="I19" t="e">
        <f t="shared" ref="I19:S19" ca="1" si="24">IF($A19="", "", IF(INDIRECT($A19&amp; "!"&amp; I$2)="", "", INDIRECT($A19&amp; "!"&amp; I$2)))</f>
        <v>#REF!</v>
      </c>
      <c r="J19" t="e">
        <f t="shared" ca="1" si="24"/>
        <v>#REF!</v>
      </c>
      <c r="K19" t="e">
        <f t="shared" ca="1" si="24"/>
        <v>#REF!</v>
      </c>
      <c r="L19" t="e">
        <f t="shared" ca="1" si="24"/>
        <v>#REF!</v>
      </c>
      <c r="M19" t="e">
        <f t="shared" ca="1" si="24"/>
        <v>#REF!</v>
      </c>
      <c r="N19" t="e">
        <f t="shared" ca="1" si="24"/>
        <v>#REF!</v>
      </c>
      <c r="O19" t="e">
        <f t="shared" ca="1" si="24"/>
        <v>#REF!</v>
      </c>
      <c r="P19" t="e">
        <f t="shared" ca="1" si="24"/>
        <v>#REF!</v>
      </c>
      <c r="Q19" t="e">
        <f t="shared" ca="1" si="24"/>
        <v>#REF!</v>
      </c>
      <c r="R19" t="e">
        <f t="shared" ca="1" si="24"/>
        <v>#REF!</v>
      </c>
      <c r="S19" t="e">
        <f t="shared" ca="1" si="24"/>
        <v>#REF!</v>
      </c>
      <c r="T19" t="e">
        <f t="shared" ca="1" si="14"/>
        <v>#REF!</v>
      </c>
      <c r="U19" t="e">
        <f t="shared" ca="1" si="14"/>
        <v>#REF!</v>
      </c>
      <c r="V19" t="e">
        <f t="shared" ca="1" si="14"/>
        <v>#REF!</v>
      </c>
      <c r="W19" t="e">
        <f t="shared" ca="1" si="14"/>
        <v>#REF!</v>
      </c>
      <c r="X19" t="e">
        <f t="shared" ca="1" si="14"/>
        <v>#REF!</v>
      </c>
      <c r="Y19" t="e">
        <f t="shared" ca="1" si="14"/>
        <v>#REF!</v>
      </c>
      <c r="Z19" t="e">
        <f t="shared" ca="1" si="14"/>
        <v>#REF!</v>
      </c>
      <c r="AA19" t="e">
        <f t="shared" ca="1" si="14"/>
        <v>#REF!</v>
      </c>
      <c r="AB19" s="44" t="e">
        <f t="shared" ca="1" si="14"/>
        <v>#REF!</v>
      </c>
      <c r="AC19" s="44" t="e">
        <f t="shared" ca="1" si="14"/>
        <v>#REF!</v>
      </c>
      <c r="AD19" s="44" t="e">
        <f t="shared" ca="1" si="14"/>
        <v>#REF!</v>
      </c>
      <c r="AE19" s="44" t="e">
        <f t="shared" ca="1" si="14"/>
        <v>#REF!</v>
      </c>
      <c r="AF19" s="44" t="e">
        <f t="shared" ca="1" si="14"/>
        <v>#REF!</v>
      </c>
      <c r="AG19" s="44" t="e">
        <f t="shared" ca="1" si="14"/>
        <v>#REF!</v>
      </c>
      <c r="AH19" s="44" t="e">
        <f t="shared" ca="1" si="14"/>
        <v>#REF!</v>
      </c>
      <c r="AI19" s="44" t="e">
        <f t="shared" ca="1" si="14"/>
        <v>#REF!</v>
      </c>
      <c r="AJ19" s="44" t="e">
        <f t="shared" ca="1" si="15"/>
        <v>#REF!</v>
      </c>
      <c r="AK19" s="44" t="e">
        <f t="shared" ca="1" si="15"/>
        <v>#REF!</v>
      </c>
      <c r="AL19" s="44" t="e">
        <f t="shared" ca="1" si="15"/>
        <v>#REF!</v>
      </c>
      <c r="AM19" s="44" t="e">
        <f t="shared" ca="1" si="15"/>
        <v>#REF!</v>
      </c>
      <c r="AN19" s="44" t="e">
        <f t="shared" ca="1" si="15"/>
        <v>#REF!</v>
      </c>
      <c r="AO19" s="44" t="e">
        <f t="shared" ca="1" si="15"/>
        <v>#REF!</v>
      </c>
      <c r="AP19" s="44" t="e">
        <f t="shared" ca="1" si="15"/>
        <v>#REF!</v>
      </c>
      <c r="AQ19" s="44" t="e">
        <f t="shared" ca="1" si="15"/>
        <v>#REF!</v>
      </c>
      <c r="AR19" s="44" t="e">
        <f t="shared" ca="1" si="15"/>
        <v>#REF!</v>
      </c>
      <c r="AS19" s="44" t="e">
        <f t="shared" ca="1" si="15"/>
        <v>#REF!</v>
      </c>
      <c r="AT19" s="44" t="e">
        <f t="shared" ca="1" si="15"/>
        <v>#REF!</v>
      </c>
      <c r="AU19" t="e">
        <f t="shared" ca="1" si="15"/>
        <v>#REF!</v>
      </c>
      <c r="AV19" t="e">
        <f t="shared" ca="1" si="15"/>
        <v>#REF!</v>
      </c>
      <c r="AW19" t="e">
        <f t="shared" ca="1" si="15"/>
        <v>#REF!</v>
      </c>
      <c r="AX19" t="e">
        <f t="shared" ca="1" si="15"/>
        <v>#REF!</v>
      </c>
      <c r="AY19" t="e">
        <f t="shared" ca="1" si="15"/>
        <v>#REF!</v>
      </c>
      <c r="AZ19" t="e">
        <f t="shared" ca="1" si="16"/>
        <v>#REF!</v>
      </c>
      <c r="BA19" t="e">
        <f t="shared" ca="1" si="16"/>
        <v>#REF!</v>
      </c>
      <c r="BB19" t="e">
        <f t="shared" ca="1" si="16"/>
        <v>#REF!</v>
      </c>
      <c r="BC19" t="e">
        <f t="shared" ca="1" si="16"/>
        <v>#REF!</v>
      </c>
      <c r="BD19" t="e">
        <f t="shared" ca="1" si="16"/>
        <v>#REF!</v>
      </c>
      <c r="BE19" t="e">
        <f t="shared" ca="1" si="16"/>
        <v>#REF!</v>
      </c>
      <c r="BF19" t="e">
        <f t="shared" ca="1" si="16"/>
        <v>#REF!</v>
      </c>
      <c r="BG19" t="e">
        <f t="shared" ca="1" si="16"/>
        <v>#REF!</v>
      </c>
      <c r="BH19" t="e">
        <f t="shared" ca="1" si="16"/>
        <v>#REF!</v>
      </c>
      <c r="BI19" t="e">
        <f t="shared" ca="1" si="16"/>
        <v>#REF!</v>
      </c>
      <c r="BJ19" t="e">
        <f t="shared" ca="1" si="16"/>
        <v>#REF!</v>
      </c>
      <c r="BK19" t="e">
        <f t="shared" ca="1" si="16"/>
        <v>#REF!</v>
      </c>
      <c r="BL19" t="e">
        <f t="shared" ca="1" si="16"/>
        <v>#REF!</v>
      </c>
      <c r="BM19" t="e">
        <f t="shared" ca="1" si="16"/>
        <v>#REF!</v>
      </c>
      <c r="BN19" s="44" t="e">
        <f t="shared" ca="1" si="16"/>
        <v>#REF!</v>
      </c>
      <c r="BO19" s="44" t="e">
        <f t="shared" ca="1" si="16"/>
        <v>#REF!</v>
      </c>
      <c r="BP19" s="44" t="e">
        <f t="shared" ca="1" si="17"/>
        <v>#REF!</v>
      </c>
      <c r="BQ19" s="44" t="e">
        <f t="shared" ca="1" si="17"/>
        <v>#REF!</v>
      </c>
      <c r="BR19" s="44" t="e">
        <f t="shared" ca="1" si="17"/>
        <v>#REF!</v>
      </c>
      <c r="BS19" s="44" t="e">
        <f t="shared" ca="1" si="17"/>
        <v>#REF!</v>
      </c>
      <c r="BT19" s="44" t="e">
        <f t="shared" ca="1" si="17"/>
        <v>#REF!</v>
      </c>
      <c r="BU19" s="44" t="e">
        <f t="shared" ca="1" si="17"/>
        <v>#REF!</v>
      </c>
      <c r="BV19" s="44" t="e">
        <f t="shared" ca="1" si="17"/>
        <v>#REF!</v>
      </c>
      <c r="BW19" s="44" t="e">
        <f t="shared" ca="1" si="17"/>
        <v>#REF!</v>
      </c>
      <c r="BX19" s="44" t="e">
        <f t="shared" ca="1" si="17"/>
        <v>#REF!</v>
      </c>
      <c r="BY19" s="44" t="e">
        <f t="shared" ca="1" si="17"/>
        <v>#REF!</v>
      </c>
      <c r="BZ19" s="44" t="e">
        <f t="shared" ca="1" si="17"/>
        <v>#REF!</v>
      </c>
      <c r="CA19" s="44" t="e">
        <f t="shared" ca="1" si="17"/>
        <v>#REF!</v>
      </c>
      <c r="CB19" s="44" t="e">
        <f t="shared" ca="1" si="17"/>
        <v>#REF!</v>
      </c>
      <c r="CC19" s="44" t="e">
        <f t="shared" ca="1" si="17"/>
        <v>#REF!</v>
      </c>
      <c r="CD19" s="44" t="e">
        <f t="shared" ca="1" si="17"/>
        <v>#REF!</v>
      </c>
      <c r="CE19" s="44" t="e">
        <f t="shared" ca="1" si="17"/>
        <v>#REF!</v>
      </c>
      <c r="CF19" s="44" t="e">
        <f t="shared" ca="1" si="18"/>
        <v>#REF!</v>
      </c>
      <c r="CG19" t="e">
        <f t="shared" ca="1" si="18"/>
        <v>#REF!</v>
      </c>
      <c r="CH19" t="e">
        <f t="shared" ca="1" si="18"/>
        <v>#REF!</v>
      </c>
      <c r="CI19" t="e">
        <f t="shared" ca="1" si="18"/>
        <v>#REF!</v>
      </c>
      <c r="CJ19" t="e">
        <f t="shared" ca="1" si="18"/>
        <v>#REF!</v>
      </c>
      <c r="CK19" t="e">
        <f t="shared" ca="1" si="18"/>
        <v>#REF!</v>
      </c>
      <c r="CL19" t="e">
        <f t="shared" ca="1" si="18"/>
        <v>#REF!</v>
      </c>
      <c r="CM19" t="e">
        <f t="shared" ca="1" si="18"/>
        <v>#REF!</v>
      </c>
      <c r="CN19" t="e">
        <f t="shared" ca="1" si="18"/>
        <v>#REF!</v>
      </c>
      <c r="CO19" t="e">
        <f t="shared" ca="1" si="18"/>
        <v>#REF!</v>
      </c>
      <c r="CP19" t="e">
        <f t="shared" ca="1" si="18"/>
        <v>#REF!</v>
      </c>
      <c r="CQ19" t="e">
        <f t="shared" ca="1" si="18"/>
        <v>#REF!</v>
      </c>
      <c r="CR19" t="e">
        <f t="shared" ca="1" si="18"/>
        <v>#REF!</v>
      </c>
      <c r="CS19" t="e">
        <f t="shared" ca="1" si="18"/>
        <v>#REF!</v>
      </c>
      <c r="CT19" t="e">
        <f t="shared" ca="1" si="18"/>
        <v>#REF!</v>
      </c>
      <c r="CU19" t="e">
        <f t="shared" ca="1" si="18"/>
        <v>#REF!</v>
      </c>
      <c r="CV19" t="e">
        <f t="shared" ca="1" si="19"/>
        <v>#REF!</v>
      </c>
      <c r="CW19" t="e">
        <f t="shared" ca="1" si="19"/>
        <v>#REF!</v>
      </c>
      <c r="CX19" t="e">
        <f t="shared" ca="1" si="19"/>
        <v>#REF!</v>
      </c>
      <c r="CY19" t="e">
        <f t="shared" ca="1" si="19"/>
        <v>#REF!</v>
      </c>
      <c r="CZ19" s="44" t="e">
        <f t="shared" ca="1" si="19"/>
        <v>#REF!</v>
      </c>
      <c r="DA19" s="44" t="e">
        <f t="shared" ca="1" si="19"/>
        <v>#REF!</v>
      </c>
      <c r="DB19" s="44" t="e">
        <f t="shared" ca="1" si="19"/>
        <v>#REF!</v>
      </c>
      <c r="DC19" s="44" t="e">
        <f t="shared" ca="1" si="19"/>
        <v>#REF!</v>
      </c>
      <c r="DD19" s="44" t="e">
        <f t="shared" ca="1" si="19"/>
        <v>#REF!</v>
      </c>
      <c r="DE19" s="44" t="e">
        <f t="shared" ca="1" si="19"/>
        <v>#REF!</v>
      </c>
      <c r="DF19" s="44" t="e">
        <f t="shared" ca="1" si="19"/>
        <v>#REF!</v>
      </c>
      <c r="DG19" s="44" t="e">
        <f t="shared" ca="1" si="19"/>
        <v>#REF!</v>
      </c>
      <c r="DH19" s="44" t="e">
        <f t="shared" ca="1" si="19"/>
        <v>#REF!</v>
      </c>
      <c r="DI19" s="44" t="e">
        <f t="shared" ca="1" si="19"/>
        <v>#REF!</v>
      </c>
      <c r="DJ19" s="44" t="e">
        <f t="shared" ca="1" si="19"/>
        <v>#REF!</v>
      </c>
      <c r="DK19" s="44" t="e">
        <f t="shared" ca="1" si="19"/>
        <v>#REF!</v>
      </c>
      <c r="DL19" s="44" t="e">
        <f t="shared" ca="1" si="20"/>
        <v>#REF!</v>
      </c>
      <c r="DM19" s="44" t="e">
        <f t="shared" ca="1" si="20"/>
        <v>#REF!</v>
      </c>
      <c r="DN19" s="44" t="e">
        <f t="shared" ca="1" si="20"/>
        <v>#REF!</v>
      </c>
      <c r="DO19" s="44" t="e">
        <f t="shared" ca="1" si="20"/>
        <v>#REF!</v>
      </c>
      <c r="DP19" s="44" t="e">
        <f t="shared" ca="1" si="20"/>
        <v>#REF!</v>
      </c>
      <c r="DQ19" s="44" t="e">
        <f t="shared" ca="1" si="20"/>
        <v>#REF!</v>
      </c>
      <c r="DR19" s="44" t="e">
        <f t="shared" ca="1" si="20"/>
        <v>#REF!</v>
      </c>
      <c r="DS19" t="e">
        <f t="shared" ca="1" si="20"/>
        <v>#REF!</v>
      </c>
      <c r="DT19" t="e">
        <f t="shared" ca="1" si="20"/>
        <v>#REF!</v>
      </c>
      <c r="DU19" t="e">
        <f t="shared" ca="1" si="20"/>
        <v>#REF!</v>
      </c>
      <c r="DV19" t="e">
        <f t="shared" ca="1" si="20"/>
        <v>#REF!</v>
      </c>
      <c r="DW19" t="e">
        <f t="shared" ca="1" si="20"/>
        <v>#REF!</v>
      </c>
      <c r="DX19" t="e">
        <f t="shared" ca="1" si="20"/>
        <v>#REF!</v>
      </c>
      <c r="DY19" t="e">
        <f t="shared" ca="1" si="20"/>
        <v>#REF!</v>
      </c>
      <c r="DZ19" t="e">
        <f t="shared" ca="1" si="20"/>
        <v>#REF!</v>
      </c>
      <c r="EA19" t="e">
        <f t="shared" ca="1" si="20"/>
        <v>#REF!</v>
      </c>
      <c r="EB19" t="e">
        <f t="shared" ca="1" si="21"/>
        <v>#REF!</v>
      </c>
      <c r="EC19" t="e">
        <f t="shared" ca="1" si="21"/>
        <v>#REF!</v>
      </c>
      <c r="ED19" t="e">
        <f t="shared" ca="1" si="21"/>
        <v>#REF!</v>
      </c>
      <c r="EE19" t="e">
        <f t="shared" ca="1" si="21"/>
        <v>#REF!</v>
      </c>
      <c r="EF19" t="e">
        <f t="shared" ca="1" si="21"/>
        <v>#REF!</v>
      </c>
      <c r="EG19" t="e">
        <f t="shared" ca="1" si="21"/>
        <v>#REF!</v>
      </c>
      <c r="EH19" t="e">
        <f t="shared" ca="1" si="21"/>
        <v>#REF!</v>
      </c>
      <c r="EI19" t="e">
        <f t="shared" ca="1" si="21"/>
        <v>#REF!</v>
      </c>
      <c r="EJ19" t="e">
        <f t="shared" ca="1" si="21"/>
        <v>#REF!</v>
      </c>
      <c r="EK19" s="44" t="e">
        <f t="shared" ca="1" si="21"/>
        <v>#REF!</v>
      </c>
      <c r="EL19" s="44" t="e">
        <f t="shared" ca="1" si="21"/>
        <v>#REF!</v>
      </c>
      <c r="EM19" s="44" t="e">
        <f t="shared" ca="1" si="21"/>
        <v>#REF!</v>
      </c>
      <c r="EN19" s="44" t="e">
        <f t="shared" ca="1" si="21"/>
        <v>#REF!</v>
      </c>
      <c r="EO19" s="44" t="e">
        <f t="shared" ca="1" si="21"/>
        <v>#REF!</v>
      </c>
      <c r="EP19" s="44" t="e">
        <f t="shared" ca="1" si="21"/>
        <v>#REF!</v>
      </c>
      <c r="EQ19" s="44" t="e">
        <f t="shared" ca="1" si="21"/>
        <v>#REF!</v>
      </c>
      <c r="ER19" s="44" t="e">
        <f t="shared" ca="1" si="22"/>
        <v>#REF!</v>
      </c>
      <c r="ES19" s="44" t="e">
        <f t="shared" ca="1" si="22"/>
        <v>#REF!</v>
      </c>
      <c r="ET19" s="44" t="e">
        <f t="shared" ca="1" si="22"/>
        <v>#REF!</v>
      </c>
      <c r="EU19" s="44" t="e">
        <f t="shared" ca="1" si="22"/>
        <v>#REF!</v>
      </c>
      <c r="EV19" s="44" t="e">
        <f t="shared" ca="1" si="22"/>
        <v>#REF!</v>
      </c>
      <c r="EW19" s="44" t="e">
        <f t="shared" ca="1" si="22"/>
        <v>#REF!</v>
      </c>
      <c r="EX19" s="44" t="e">
        <f t="shared" ca="1" si="22"/>
        <v>#REF!</v>
      </c>
      <c r="EY19" s="44" t="e">
        <f t="shared" ca="1" si="22"/>
        <v>#REF!</v>
      </c>
      <c r="EZ19" s="44" t="e">
        <f t="shared" ca="1" si="22"/>
        <v>#REF!</v>
      </c>
      <c r="FA19" s="44" t="e">
        <f t="shared" ca="1" si="22"/>
        <v>#REF!</v>
      </c>
      <c r="FB19" s="44" t="e">
        <f t="shared" ca="1" si="22"/>
        <v>#REF!</v>
      </c>
      <c r="FC19" s="56" t="e">
        <f t="shared" ca="1" si="22"/>
        <v>#REF!</v>
      </c>
      <c r="FD19" t="e">
        <f t="shared" ca="1" si="22"/>
        <v>#REF!</v>
      </c>
      <c r="FE19" t="e">
        <f t="shared" ca="1" si="22"/>
        <v>#REF!</v>
      </c>
      <c r="FF19" t="e">
        <f t="shared" ca="1" si="22"/>
        <v>#REF!</v>
      </c>
      <c r="FG19" t="e">
        <f t="shared" ca="1" si="22"/>
        <v>#REF!</v>
      </c>
      <c r="FH19" t="e">
        <f t="shared" ca="1" si="23"/>
        <v>#REF!</v>
      </c>
      <c r="FI19" t="e">
        <f t="shared" ca="1" si="23"/>
        <v>#REF!</v>
      </c>
      <c r="FJ19" t="e">
        <f t="shared" ca="1" si="23"/>
        <v>#REF!</v>
      </c>
      <c r="FK19" t="e">
        <f t="shared" ca="1" si="23"/>
        <v>#REF!</v>
      </c>
      <c r="FL19" t="e">
        <f t="shared" ca="1" si="23"/>
        <v>#REF!</v>
      </c>
      <c r="FM19" t="e">
        <f t="shared" ca="1" si="23"/>
        <v>#REF!</v>
      </c>
      <c r="FN19" t="e">
        <f t="shared" ca="1" si="23"/>
        <v>#REF!</v>
      </c>
      <c r="FO19" t="e">
        <f t="shared" ca="1" si="23"/>
        <v>#REF!</v>
      </c>
      <c r="FP19" t="e">
        <f t="shared" ca="1" si="23"/>
        <v>#REF!</v>
      </c>
      <c r="FQ19" t="e">
        <f t="shared" ca="1" si="23"/>
        <v>#REF!</v>
      </c>
      <c r="FR19" t="e">
        <f t="shared" ca="1" si="23"/>
        <v>#REF!</v>
      </c>
      <c r="FS19" t="e">
        <f t="shared" ca="1" si="23"/>
        <v>#REF!</v>
      </c>
      <c r="FT19" t="e">
        <f t="shared" ca="1" si="23"/>
        <v>#REF!</v>
      </c>
    </row>
    <row r="20" spans="1:176" ht="15" x14ac:dyDescent="0.25">
      <c r="A20" s="240">
        <v>150</v>
      </c>
      <c r="B20" t="e">
        <f t="shared" ref="B20:S35" ca="1" si="25">IF($A20="", "", IF(INDIRECT($A20&amp; "!"&amp; B$2)="", "", INDIRECT($A20&amp; "!"&amp; B$2)))</f>
        <v>#REF!</v>
      </c>
      <c r="C20" t="e">
        <f t="shared" ca="1" si="25"/>
        <v>#REF!</v>
      </c>
      <c r="D20" t="e">
        <f t="shared" ca="1" si="25"/>
        <v>#REF!</v>
      </c>
      <c r="E20" t="e">
        <f t="shared" ca="1" si="25"/>
        <v>#REF!</v>
      </c>
      <c r="F20" t="e">
        <f t="shared" ca="1" si="13"/>
        <v>#REF!</v>
      </c>
      <c r="G20" t="e">
        <f t="shared" ca="1" si="13"/>
        <v>#REF!</v>
      </c>
      <c r="H20" t="e">
        <f t="shared" ca="1" si="13"/>
        <v>#REF!</v>
      </c>
      <c r="I20" t="e">
        <f t="shared" ca="1" si="25"/>
        <v>#REF!</v>
      </c>
      <c r="J20" t="e">
        <f t="shared" ca="1" si="25"/>
        <v>#REF!</v>
      </c>
      <c r="K20" t="e">
        <f t="shared" ca="1" si="25"/>
        <v>#REF!</v>
      </c>
      <c r="L20" t="e">
        <f t="shared" ca="1" si="25"/>
        <v>#REF!</v>
      </c>
      <c r="M20" t="e">
        <f t="shared" ca="1" si="25"/>
        <v>#REF!</v>
      </c>
      <c r="N20" t="e">
        <f t="shared" ca="1" si="25"/>
        <v>#REF!</v>
      </c>
      <c r="O20" t="e">
        <f t="shared" ca="1" si="25"/>
        <v>#REF!</v>
      </c>
      <c r="P20" t="e">
        <f t="shared" ca="1" si="25"/>
        <v>#REF!</v>
      </c>
      <c r="Q20" t="e">
        <f t="shared" ca="1" si="25"/>
        <v>#REF!</v>
      </c>
      <c r="R20" t="e">
        <f t="shared" ca="1" si="25"/>
        <v>#REF!</v>
      </c>
      <c r="S20" t="e">
        <f t="shared" ca="1" si="25"/>
        <v>#REF!</v>
      </c>
      <c r="T20" t="e">
        <f t="shared" ca="1" si="14"/>
        <v>#REF!</v>
      </c>
      <c r="U20" t="e">
        <f t="shared" ca="1" si="14"/>
        <v>#REF!</v>
      </c>
      <c r="V20" t="e">
        <f t="shared" ca="1" si="14"/>
        <v>#REF!</v>
      </c>
      <c r="W20" t="e">
        <f t="shared" ca="1" si="14"/>
        <v>#REF!</v>
      </c>
      <c r="X20" t="e">
        <f t="shared" ca="1" si="14"/>
        <v>#REF!</v>
      </c>
      <c r="Y20" t="e">
        <f t="shared" ca="1" si="14"/>
        <v>#REF!</v>
      </c>
      <c r="Z20" t="e">
        <f t="shared" ca="1" si="14"/>
        <v>#REF!</v>
      </c>
      <c r="AA20" t="e">
        <f t="shared" ca="1" si="14"/>
        <v>#REF!</v>
      </c>
      <c r="AB20" s="44" t="e">
        <f t="shared" ca="1" si="14"/>
        <v>#REF!</v>
      </c>
      <c r="AC20" s="44" t="e">
        <f t="shared" ca="1" si="14"/>
        <v>#REF!</v>
      </c>
      <c r="AD20" s="44" t="e">
        <f t="shared" ca="1" si="14"/>
        <v>#REF!</v>
      </c>
      <c r="AE20" s="44" t="e">
        <f t="shared" ca="1" si="14"/>
        <v>#REF!</v>
      </c>
      <c r="AF20" s="44" t="e">
        <f t="shared" ca="1" si="14"/>
        <v>#REF!</v>
      </c>
      <c r="AG20" s="44" t="e">
        <f t="shared" ca="1" si="14"/>
        <v>#REF!</v>
      </c>
      <c r="AH20" s="44" t="e">
        <f t="shared" ca="1" si="14"/>
        <v>#REF!</v>
      </c>
      <c r="AI20" s="44" t="e">
        <f t="shared" ca="1" si="14"/>
        <v>#REF!</v>
      </c>
      <c r="AJ20" s="44" t="e">
        <f t="shared" ca="1" si="15"/>
        <v>#REF!</v>
      </c>
      <c r="AK20" s="44" t="e">
        <f t="shared" ca="1" si="15"/>
        <v>#REF!</v>
      </c>
      <c r="AL20" s="44" t="e">
        <f t="shared" ca="1" si="15"/>
        <v>#REF!</v>
      </c>
      <c r="AM20" s="44" t="e">
        <f t="shared" ca="1" si="15"/>
        <v>#REF!</v>
      </c>
      <c r="AN20" s="44" t="e">
        <f t="shared" ca="1" si="15"/>
        <v>#REF!</v>
      </c>
      <c r="AO20" s="44" t="e">
        <f t="shared" ca="1" si="15"/>
        <v>#REF!</v>
      </c>
      <c r="AP20" s="44" t="e">
        <f t="shared" ca="1" si="15"/>
        <v>#REF!</v>
      </c>
      <c r="AQ20" s="44" t="e">
        <f t="shared" ca="1" si="15"/>
        <v>#REF!</v>
      </c>
      <c r="AR20" s="44" t="e">
        <f t="shared" ca="1" si="15"/>
        <v>#REF!</v>
      </c>
      <c r="AS20" s="44" t="e">
        <f t="shared" ca="1" si="15"/>
        <v>#REF!</v>
      </c>
      <c r="AT20" s="44" t="e">
        <f t="shared" ca="1" si="15"/>
        <v>#REF!</v>
      </c>
      <c r="AU20" t="e">
        <f t="shared" ca="1" si="15"/>
        <v>#REF!</v>
      </c>
      <c r="AV20" t="e">
        <f t="shared" ca="1" si="15"/>
        <v>#REF!</v>
      </c>
      <c r="AW20" t="e">
        <f t="shared" ca="1" si="15"/>
        <v>#REF!</v>
      </c>
      <c r="AX20" t="e">
        <f t="shared" ca="1" si="15"/>
        <v>#REF!</v>
      </c>
      <c r="AY20" t="e">
        <f t="shared" ca="1" si="15"/>
        <v>#REF!</v>
      </c>
      <c r="AZ20" t="e">
        <f t="shared" ca="1" si="16"/>
        <v>#REF!</v>
      </c>
      <c r="BA20" t="e">
        <f t="shared" ca="1" si="16"/>
        <v>#REF!</v>
      </c>
      <c r="BB20" t="e">
        <f t="shared" ca="1" si="16"/>
        <v>#REF!</v>
      </c>
      <c r="BC20" t="e">
        <f t="shared" ca="1" si="16"/>
        <v>#REF!</v>
      </c>
      <c r="BD20" t="e">
        <f t="shared" ca="1" si="16"/>
        <v>#REF!</v>
      </c>
      <c r="BE20" t="e">
        <f t="shared" ca="1" si="16"/>
        <v>#REF!</v>
      </c>
      <c r="BF20" t="e">
        <f t="shared" ca="1" si="16"/>
        <v>#REF!</v>
      </c>
      <c r="BG20" t="e">
        <f t="shared" ca="1" si="16"/>
        <v>#REF!</v>
      </c>
      <c r="BH20" t="e">
        <f t="shared" ca="1" si="16"/>
        <v>#REF!</v>
      </c>
      <c r="BI20" t="e">
        <f t="shared" ca="1" si="16"/>
        <v>#REF!</v>
      </c>
      <c r="BJ20" t="e">
        <f t="shared" ca="1" si="16"/>
        <v>#REF!</v>
      </c>
      <c r="BK20" t="e">
        <f t="shared" ca="1" si="16"/>
        <v>#REF!</v>
      </c>
      <c r="BL20" t="e">
        <f t="shared" ca="1" si="16"/>
        <v>#REF!</v>
      </c>
      <c r="BM20" t="e">
        <f t="shared" ca="1" si="16"/>
        <v>#REF!</v>
      </c>
      <c r="BN20" s="44" t="e">
        <f t="shared" ca="1" si="16"/>
        <v>#REF!</v>
      </c>
      <c r="BO20" s="44" t="e">
        <f t="shared" ca="1" si="16"/>
        <v>#REF!</v>
      </c>
      <c r="BP20" s="44" t="e">
        <f t="shared" ca="1" si="17"/>
        <v>#REF!</v>
      </c>
      <c r="BQ20" s="44" t="e">
        <f t="shared" ca="1" si="17"/>
        <v>#REF!</v>
      </c>
      <c r="BR20" s="44" t="e">
        <f t="shared" ca="1" si="17"/>
        <v>#REF!</v>
      </c>
      <c r="BS20" s="44" t="e">
        <f t="shared" ca="1" si="17"/>
        <v>#REF!</v>
      </c>
      <c r="BT20" s="44" t="e">
        <f t="shared" ca="1" si="17"/>
        <v>#REF!</v>
      </c>
      <c r="BU20" s="44" t="e">
        <f t="shared" ca="1" si="17"/>
        <v>#REF!</v>
      </c>
      <c r="BV20" s="44" t="e">
        <f t="shared" ca="1" si="17"/>
        <v>#REF!</v>
      </c>
      <c r="BW20" s="44" t="e">
        <f t="shared" ca="1" si="17"/>
        <v>#REF!</v>
      </c>
      <c r="BX20" s="44" t="e">
        <f t="shared" ca="1" si="17"/>
        <v>#REF!</v>
      </c>
      <c r="BY20" s="44" t="e">
        <f t="shared" ca="1" si="17"/>
        <v>#REF!</v>
      </c>
      <c r="BZ20" s="44" t="e">
        <f t="shared" ca="1" si="17"/>
        <v>#REF!</v>
      </c>
      <c r="CA20" s="44" t="e">
        <f t="shared" ca="1" si="17"/>
        <v>#REF!</v>
      </c>
      <c r="CB20" s="44" t="e">
        <f t="shared" ca="1" si="17"/>
        <v>#REF!</v>
      </c>
      <c r="CC20" s="44" t="e">
        <f t="shared" ca="1" si="17"/>
        <v>#REF!</v>
      </c>
      <c r="CD20" s="44" t="e">
        <f t="shared" ca="1" si="17"/>
        <v>#REF!</v>
      </c>
      <c r="CE20" s="44" t="e">
        <f t="shared" ca="1" si="17"/>
        <v>#REF!</v>
      </c>
      <c r="CF20" s="44" t="e">
        <f t="shared" ca="1" si="18"/>
        <v>#REF!</v>
      </c>
      <c r="CG20" t="e">
        <f t="shared" ca="1" si="18"/>
        <v>#REF!</v>
      </c>
      <c r="CH20" t="e">
        <f t="shared" ca="1" si="18"/>
        <v>#REF!</v>
      </c>
      <c r="CI20" t="e">
        <f t="shared" ca="1" si="18"/>
        <v>#REF!</v>
      </c>
      <c r="CJ20" t="e">
        <f t="shared" ca="1" si="18"/>
        <v>#REF!</v>
      </c>
      <c r="CK20" t="e">
        <f t="shared" ca="1" si="18"/>
        <v>#REF!</v>
      </c>
      <c r="CL20" t="e">
        <f t="shared" ca="1" si="18"/>
        <v>#REF!</v>
      </c>
      <c r="CM20" t="e">
        <f t="shared" ca="1" si="18"/>
        <v>#REF!</v>
      </c>
      <c r="CN20" t="e">
        <f t="shared" ca="1" si="18"/>
        <v>#REF!</v>
      </c>
      <c r="CO20" t="e">
        <f t="shared" ca="1" si="18"/>
        <v>#REF!</v>
      </c>
      <c r="CP20" t="e">
        <f t="shared" ca="1" si="18"/>
        <v>#REF!</v>
      </c>
      <c r="CQ20" t="e">
        <f t="shared" ca="1" si="18"/>
        <v>#REF!</v>
      </c>
      <c r="CR20" t="e">
        <f t="shared" ca="1" si="18"/>
        <v>#REF!</v>
      </c>
      <c r="CS20" t="e">
        <f t="shared" ca="1" si="18"/>
        <v>#REF!</v>
      </c>
      <c r="CT20" t="e">
        <f t="shared" ca="1" si="18"/>
        <v>#REF!</v>
      </c>
      <c r="CU20" t="e">
        <f t="shared" ca="1" si="18"/>
        <v>#REF!</v>
      </c>
      <c r="CV20" t="e">
        <f t="shared" ca="1" si="19"/>
        <v>#REF!</v>
      </c>
      <c r="CW20" t="e">
        <f t="shared" ca="1" si="19"/>
        <v>#REF!</v>
      </c>
      <c r="CX20" t="e">
        <f t="shared" ca="1" si="19"/>
        <v>#REF!</v>
      </c>
      <c r="CY20" t="e">
        <f t="shared" ca="1" si="19"/>
        <v>#REF!</v>
      </c>
      <c r="CZ20" s="44" t="e">
        <f t="shared" ca="1" si="19"/>
        <v>#REF!</v>
      </c>
      <c r="DA20" s="44" t="e">
        <f t="shared" ca="1" si="19"/>
        <v>#REF!</v>
      </c>
      <c r="DB20" s="44" t="e">
        <f t="shared" ca="1" si="19"/>
        <v>#REF!</v>
      </c>
      <c r="DC20" s="44" t="e">
        <f t="shared" ca="1" si="19"/>
        <v>#REF!</v>
      </c>
      <c r="DD20" s="44" t="e">
        <f t="shared" ca="1" si="19"/>
        <v>#REF!</v>
      </c>
      <c r="DE20" s="44" t="e">
        <f t="shared" ca="1" si="19"/>
        <v>#REF!</v>
      </c>
      <c r="DF20" s="44" t="e">
        <f t="shared" ca="1" si="19"/>
        <v>#REF!</v>
      </c>
      <c r="DG20" s="44" t="e">
        <f t="shared" ca="1" si="19"/>
        <v>#REF!</v>
      </c>
      <c r="DH20" s="44" t="e">
        <f t="shared" ca="1" si="19"/>
        <v>#REF!</v>
      </c>
      <c r="DI20" s="44" t="e">
        <f t="shared" ca="1" si="19"/>
        <v>#REF!</v>
      </c>
      <c r="DJ20" s="44" t="e">
        <f t="shared" ca="1" si="19"/>
        <v>#REF!</v>
      </c>
      <c r="DK20" s="44" t="e">
        <f t="shared" ca="1" si="19"/>
        <v>#REF!</v>
      </c>
      <c r="DL20" s="44" t="e">
        <f t="shared" ca="1" si="20"/>
        <v>#REF!</v>
      </c>
      <c r="DM20" s="44" t="e">
        <f t="shared" ca="1" si="20"/>
        <v>#REF!</v>
      </c>
      <c r="DN20" s="44" t="e">
        <f t="shared" ca="1" si="20"/>
        <v>#REF!</v>
      </c>
      <c r="DO20" s="44" t="e">
        <f t="shared" ca="1" si="20"/>
        <v>#REF!</v>
      </c>
      <c r="DP20" s="44" t="e">
        <f t="shared" ca="1" si="20"/>
        <v>#REF!</v>
      </c>
      <c r="DQ20" s="44" t="e">
        <f t="shared" ca="1" si="20"/>
        <v>#REF!</v>
      </c>
      <c r="DR20" s="44" t="e">
        <f t="shared" ca="1" si="20"/>
        <v>#REF!</v>
      </c>
      <c r="DS20" t="e">
        <f t="shared" ca="1" si="20"/>
        <v>#REF!</v>
      </c>
      <c r="DT20" t="e">
        <f t="shared" ca="1" si="20"/>
        <v>#REF!</v>
      </c>
      <c r="DU20" t="e">
        <f t="shared" ca="1" si="20"/>
        <v>#REF!</v>
      </c>
      <c r="DV20" t="e">
        <f t="shared" ca="1" si="20"/>
        <v>#REF!</v>
      </c>
      <c r="DW20" t="e">
        <f t="shared" ca="1" si="20"/>
        <v>#REF!</v>
      </c>
      <c r="DX20" t="e">
        <f t="shared" ca="1" si="20"/>
        <v>#REF!</v>
      </c>
      <c r="DY20" t="e">
        <f t="shared" ca="1" si="20"/>
        <v>#REF!</v>
      </c>
      <c r="DZ20" t="e">
        <f t="shared" ca="1" si="20"/>
        <v>#REF!</v>
      </c>
      <c r="EA20" t="e">
        <f t="shared" ca="1" si="20"/>
        <v>#REF!</v>
      </c>
      <c r="EB20" t="e">
        <f t="shared" ca="1" si="21"/>
        <v>#REF!</v>
      </c>
      <c r="EC20" t="e">
        <f t="shared" ca="1" si="21"/>
        <v>#REF!</v>
      </c>
      <c r="ED20" t="e">
        <f t="shared" ca="1" si="21"/>
        <v>#REF!</v>
      </c>
      <c r="EE20" t="e">
        <f t="shared" ca="1" si="21"/>
        <v>#REF!</v>
      </c>
      <c r="EF20" t="e">
        <f t="shared" ca="1" si="21"/>
        <v>#REF!</v>
      </c>
      <c r="EG20" t="e">
        <f t="shared" ca="1" si="21"/>
        <v>#REF!</v>
      </c>
      <c r="EH20" t="e">
        <f t="shared" ca="1" si="21"/>
        <v>#REF!</v>
      </c>
      <c r="EI20" t="e">
        <f t="shared" ca="1" si="21"/>
        <v>#REF!</v>
      </c>
      <c r="EJ20" t="e">
        <f t="shared" ca="1" si="21"/>
        <v>#REF!</v>
      </c>
      <c r="EK20" s="44" t="e">
        <f t="shared" ca="1" si="21"/>
        <v>#REF!</v>
      </c>
      <c r="EL20" s="44" t="e">
        <f t="shared" ca="1" si="21"/>
        <v>#REF!</v>
      </c>
      <c r="EM20" s="44" t="e">
        <f t="shared" ca="1" si="21"/>
        <v>#REF!</v>
      </c>
      <c r="EN20" s="44" t="e">
        <f t="shared" ca="1" si="21"/>
        <v>#REF!</v>
      </c>
      <c r="EO20" s="44" t="e">
        <f t="shared" ca="1" si="21"/>
        <v>#REF!</v>
      </c>
      <c r="EP20" s="44" t="e">
        <f t="shared" ca="1" si="21"/>
        <v>#REF!</v>
      </c>
      <c r="EQ20" s="44" t="e">
        <f t="shared" ca="1" si="21"/>
        <v>#REF!</v>
      </c>
      <c r="ER20" s="44" t="e">
        <f t="shared" ca="1" si="22"/>
        <v>#REF!</v>
      </c>
      <c r="ES20" s="44" t="e">
        <f t="shared" ca="1" si="22"/>
        <v>#REF!</v>
      </c>
      <c r="ET20" s="44" t="e">
        <f t="shared" ca="1" si="22"/>
        <v>#REF!</v>
      </c>
      <c r="EU20" s="44" t="e">
        <f t="shared" ca="1" si="22"/>
        <v>#REF!</v>
      </c>
      <c r="EV20" s="44" t="e">
        <f t="shared" ca="1" si="22"/>
        <v>#REF!</v>
      </c>
      <c r="EW20" s="44" t="e">
        <f t="shared" ca="1" si="22"/>
        <v>#REF!</v>
      </c>
      <c r="EX20" s="44" t="e">
        <f t="shared" ca="1" si="22"/>
        <v>#REF!</v>
      </c>
      <c r="EY20" s="44" t="e">
        <f t="shared" ca="1" si="22"/>
        <v>#REF!</v>
      </c>
      <c r="EZ20" s="44" t="e">
        <f t="shared" ca="1" si="22"/>
        <v>#REF!</v>
      </c>
      <c r="FA20" s="44" t="e">
        <f t="shared" ca="1" si="22"/>
        <v>#REF!</v>
      </c>
      <c r="FB20" s="44" t="e">
        <f t="shared" ca="1" si="22"/>
        <v>#REF!</v>
      </c>
      <c r="FC20" s="56" t="e">
        <f t="shared" ca="1" si="22"/>
        <v>#REF!</v>
      </c>
      <c r="FD20" t="e">
        <f t="shared" ca="1" si="22"/>
        <v>#REF!</v>
      </c>
      <c r="FE20" t="e">
        <f t="shared" ca="1" si="22"/>
        <v>#REF!</v>
      </c>
      <c r="FF20" t="e">
        <f t="shared" ca="1" si="22"/>
        <v>#REF!</v>
      </c>
      <c r="FG20" t="e">
        <f t="shared" ca="1" si="22"/>
        <v>#REF!</v>
      </c>
      <c r="FH20" t="e">
        <f t="shared" ca="1" si="23"/>
        <v>#REF!</v>
      </c>
      <c r="FI20" t="e">
        <f t="shared" ca="1" si="23"/>
        <v>#REF!</v>
      </c>
      <c r="FJ20" t="e">
        <f t="shared" ca="1" si="23"/>
        <v>#REF!</v>
      </c>
      <c r="FK20" t="e">
        <f t="shared" ca="1" si="23"/>
        <v>#REF!</v>
      </c>
      <c r="FL20" t="e">
        <f t="shared" ca="1" si="23"/>
        <v>#REF!</v>
      </c>
      <c r="FM20" t="e">
        <f t="shared" ca="1" si="23"/>
        <v>#REF!</v>
      </c>
      <c r="FN20" t="e">
        <f t="shared" ca="1" si="23"/>
        <v>#REF!</v>
      </c>
      <c r="FO20" t="e">
        <f t="shared" ca="1" si="23"/>
        <v>#REF!</v>
      </c>
      <c r="FP20" t="e">
        <f t="shared" ca="1" si="23"/>
        <v>#REF!</v>
      </c>
      <c r="FQ20" t="e">
        <f t="shared" ca="1" si="23"/>
        <v>#REF!</v>
      </c>
      <c r="FR20" t="e">
        <f t="shared" ca="1" si="23"/>
        <v>#REF!</v>
      </c>
      <c r="FS20" t="e">
        <f t="shared" ca="1" si="23"/>
        <v>#REF!</v>
      </c>
      <c r="FT20" t="e">
        <f t="shared" ca="1" si="23"/>
        <v>#REF!</v>
      </c>
    </row>
    <row r="21" spans="1:176" ht="15" x14ac:dyDescent="0.25">
      <c r="A21" s="240">
        <v>149</v>
      </c>
      <c r="B21" t="e">
        <f t="shared" ca="1" si="25"/>
        <v>#REF!</v>
      </c>
      <c r="C21" t="e">
        <f t="shared" ca="1" si="25"/>
        <v>#REF!</v>
      </c>
      <c r="D21" t="e">
        <f t="shared" ca="1" si="25"/>
        <v>#REF!</v>
      </c>
      <c r="E21" t="e">
        <f t="shared" ca="1" si="25"/>
        <v>#REF!</v>
      </c>
      <c r="F21" t="e">
        <f t="shared" ca="1" si="13"/>
        <v>#REF!</v>
      </c>
      <c r="G21" t="e">
        <f t="shared" ca="1" si="13"/>
        <v>#REF!</v>
      </c>
      <c r="H21" t="e">
        <f t="shared" ca="1" si="13"/>
        <v>#REF!</v>
      </c>
      <c r="I21" t="e">
        <f t="shared" ca="1" si="25"/>
        <v>#REF!</v>
      </c>
      <c r="J21" t="e">
        <f t="shared" ca="1" si="25"/>
        <v>#REF!</v>
      </c>
      <c r="K21" t="e">
        <f t="shared" ca="1" si="25"/>
        <v>#REF!</v>
      </c>
      <c r="L21" t="e">
        <f t="shared" ca="1" si="25"/>
        <v>#REF!</v>
      </c>
      <c r="M21" t="e">
        <f t="shared" ca="1" si="25"/>
        <v>#REF!</v>
      </c>
      <c r="N21" t="e">
        <f t="shared" ca="1" si="25"/>
        <v>#REF!</v>
      </c>
      <c r="O21" t="e">
        <f t="shared" ca="1" si="25"/>
        <v>#REF!</v>
      </c>
      <c r="P21" t="e">
        <f t="shared" ca="1" si="25"/>
        <v>#REF!</v>
      </c>
      <c r="Q21" t="e">
        <f t="shared" ca="1" si="25"/>
        <v>#REF!</v>
      </c>
      <c r="R21" t="e">
        <f t="shared" ca="1" si="25"/>
        <v>#REF!</v>
      </c>
      <c r="S21" t="e">
        <f t="shared" ca="1" si="25"/>
        <v>#REF!</v>
      </c>
      <c r="T21" t="e">
        <f t="shared" ca="1" si="14"/>
        <v>#REF!</v>
      </c>
      <c r="U21" t="e">
        <f t="shared" ca="1" si="14"/>
        <v>#REF!</v>
      </c>
      <c r="V21" t="e">
        <f t="shared" ca="1" si="14"/>
        <v>#REF!</v>
      </c>
      <c r="W21" t="e">
        <f t="shared" ca="1" si="14"/>
        <v>#REF!</v>
      </c>
      <c r="X21" t="e">
        <f t="shared" ca="1" si="14"/>
        <v>#REF!</v>
      </c>
      <c r="Y21" t="e">
        <f t="shared" ca="1" si="14"/>
        <v>#REF!</v>
      </c>
      <c r="Z21" t="e">
        <f t="shared" ca="1" si="14"/>
        <v>#REF!</v>
      </c>
      <c r="AA21" t="e">
        <f t="shared" ca="1" si="14"/>
        <v>#REF!</v>
      </c>
      <c r="AB21" s="44" t="e">
        <f t="shared" ca="1" si="14"/>
        <v>#REF!</v>
      </c>
      <c r="AC21" s="44" t="e">
        <f t="shared" ca="1" si="14"/>
        <v>#REF!</v>
      </c>
      <c r="AD21" s="44" t="e">
        <f t="shared" ca="1" si="14"/>
        <v>#REF!</v>
      </c>
      <c r="AE21" s="44" t="e">
        <f t="shared" ca="1" si="14"/>
        <v>#REF!</v>
      </c>
      <c r="AF21" s="44" t="e">
        <f t="shared" ca="1" si="14"/>
        <v>#REF!</v>
      </c>
      <c r="AG21" s="44" t="e">
        <f t="shared" ca="1" si="14"/>
        <v>#REF!</v>
      </c>
      <c r="AH21" s="44" t="e">
        <f t="shared" ca="1" si="14"/>
        <v>#REF!</v>
      </c>
      <c r="AI21" s="44" t="e">
        <f t="shared" ca="1" si="14"/>
        <v>#REF!</v>
      </c>
      <c r="AJ21" s="44" t="e">
        <f t="shared" ca="1" si="15"/>
        <v>#REF!</v>
      </c>
      <c r="AK21" s="44" t="e">
        <f t="shared" ca="1" si="15"/>
        <v>#REF!</v>
      </c>
      <c r="AL21" s="44" t="e">
        <f t="shared" ca="1" si="15"/>
        <v>#REF!</v>
      </c>
      <c r="AM21" s="44" t="e">
        <f t="shared" ca="1" si="15"/>
        <v>#REF!</v>
      </c>
      <c r="AN21" s="44" t="e">
        <f t="shared" ca="1" si="15"/>
        <v>#REF!</v>
      </c>
      <c r="AO21" s="44" t="e">
        <f t="shared" ca="1" si="15"/>
        <v>#REF!</v>
      </c>
      <c r="AP21" s="44" t="e">
        <f t="shared" ca="1" si="15"/>
        <v>#REF!</v>
      </c>
      <c r="AQ21" s="44" t="e">
        <f t="shared" ca="1" si="15"/>
        <v>#REF!</v>
      </c>
      <c r="AR21" s="44" t="e">
        <f t="shared" ca="1" si="15"/>
        <v>#REF!</v>
      </c>
      <c r="AS21" s="44" t="e">
        <f t="shared" ca="1" si="15"/>
        <v>#REF!</v>
      </c>
      <c r="AT21" s="44" t="e">
        <f t="shared" ca="1" si="15"/>
        <v>#REF!</v>
      </c>
      <c r="AU21" t="e">
        <f t="shared" ca="1" si="15"/>
        <v>#REF!</v>
      </c>
      <c r="AV21" t="e">
        <f t="shared" ca="1" si="15"/>
        <v>#REF!</v>
      </c>
      <c r="AW21" t="e">
        <f t="shared" ca="1" si="15"/>
        <v>#REF!</v>
      </c>
      <c r="AX21" t="e">
        <f t="shared" ca="1" si="15"/>
        <v>#REF!</v>
      </c>
      <c r="AY21" t="e">
        <f t="shared" ca="1" si="15"/>
        <v>#REF!</v>
      </c>
      <c r="AZ21" t="e">
        <f t="shared" ca="1" si="16"/>
        <v>#REF!</v>
      </c>
      <c r="BA21" t="e">
        <f t="shared" ca="1" si="16"/>
        <v>#REF!</v>
      </c>
      <c r="BB21" t="e">
        <f t="shared" ca="1" si="16"/>
        <v>#REF!</v>
      </c>
      <c r="BC21" t="e">
        <f t="shared" ca="1" si="16"/>
        <v>#REF!</v>
      </c>
      <c r="BD21" t="e">
        <f t="shared" ca="1" si="16"/>
        <v>#REF!</v>
      </c>
      <c r="BE21" t="e">
        <f t="shared" ca="1" si="16"/>
        <v>#REF!</v>
      </c>
      <c r="BF21" t="e">
        <f t="shared" ca="1" si="16"/>
        <v>#REF!</v>
      </c>
      <c r="BG21" t="e">
        <f t="shared" ca="1" si="16"/>
        <v>#REF!</v>
      </c>
      <c r="BH21" t="e">
        <f t="shared" ca="1" si="16"/>
        <v>#REF!</v>
      </c>
      <c r="BI21" t="e">
        <f t="shared" ca="1" si="16"/>
        <v>#REF!</v>
      </c>
      <c r="BJ21" t="e">
        <f t="shared" ca="1" si="16"/>
        <v>#REF!</v>
      </c>
      <c r="BK21" t="e">
        <f t="shared" ca="1" si="16"/>
        <v>#REF!</v>
      </c>
      <c r="BL21" t="e">
        <f t="shared" ca="1" si="16"/>
        <v>#REF!</v>
      </c>
      <c r="BM21" t="e">
        <f t="shared" ca="1" si="16"/>
        <v>#REF!</v>
      </c>
      <c r="BN21" s="44" t="e">
        <f t="shared" ca="1" si="16"/>
        <v>#REF!</v>
      </c>
      <c r="BO21" s="44" t="e">
        <f t="shared" ca="1" si="16"/>
        <v>#REF!</v>
      </c>
      <c r="BP21" s="44" t="e">
        <f t="shared" ca="1" si="17"/>
        <v>#REF!</v>
      </c>
      <c r="BQ21" s="44" t="e">
        <f t="shared" ca="1" si="17"/>
        <v>#REF!</v>
      </c>
      <c r="BR21" s="44" t="e">
        <f t="shared" ca="1" si="17"/>
        <v>#REF!</v>
      </c>
      <c r="BS21" s="44" t="e">
        <f t="shared" ca="1" si="17"/>
        <v>#REF!</v>
      </c>
      <c r="BT21" s="44" t="e">
        <f t="shared" ca="1" si="17"/>
        <v>#REF!</v>
      </c>
      <c r="BU21" s="44" t="e">
        <f t="shared" ca="1" si="17"/>
        <v>#REF!</v>
      </c>
      <c r="BV21" s="44" t="e">
        <f t="shared" ca="1" si="17"/>
        <v>#REF!</v>
      </c>
      <c r="BW21" s="44" t="e">
        <f t="shared" ca="1" si="17"/>
        <v>#REF!</v>
      </c>
      <c r="BX21" s="44" t="e">
        <f t="shared" ca="1" si="17"/>
        <v>#REF!</v>
      </c>
      <c r="BY21" s="44" t="e">
        <f t="shared" ca="1" si="17"/>
        <v>#REF!</v>
      </c>
      <c r="BZ21" s="44" t="e">
        <f t="shared" ca="1" si="17"/>
        <v>#REF!</v>
      </c>
      <c r="CA21" s="44" t="e">
        <f t="shared" ca="1" si="17"/>
        <v>#REF!</v>
      </c>
      <c r="CB21" s="44" t="e">
        <f t="shared" ca="1" si="17"/>
        <v>#REF!</v>
      </c>
      <c r="CC21" s="44" t="e">
        <f t="shared" ca="1" si="17"/>
        <v>#REF!</v>
      </c>
      <c r="CD21" s="44" t="e">
        <f t="shared" ca="1" si="17"/>
        <v>#REF!</v>
      </c>
      <c r="CE21" s="44" t="e">
        <f t="shared" ca="1" si="17"/>
        <v>#REF!</v>
      </c>
      <c r="CF21" s="44" t="e">
        <f t="shared" ca="1" si="18"/>
        <v>#REF!</v>
      </c>
      <c r="CG21" t="e">
        <f t="shared" ca="1" si="18"/>
        <v>#REF!</v>
      </c>
      <c r="CH21" t="e">
        <f t="shared" ca="1" si="18"/>
        <v>#REF!</v>
      </c>
      <c r="CI21" t="e">
        <f t="shared" ca="1" si="18"/>
        <v>#REF!</v>
      </c>
      <c r="CJ21" t="e">
        <f t="shared" ca="1" si="18"/>
        <v>#REF!</v>
      </c>
      <c r="CK21" t="e">
        <f t="shared" ca="1" si="18"/>
        <v>#REF!</v>
      </c>
      <c r="CL21" t="e">
        <f t="shared" ca="1" si="18"/>
        <v>#REF!</v>
      </c>
      <c r="CM21" t="e">
        <f t="shared" ca="1" si="18"/>
        <v>#REF!</v>
      </c>
      <c r="CN21" t="e">
        <f t="shared" ca="1" si="18"/>
        <v>#REF!</v>
      </c>
      <c r="CO21" t="e">
        <f t="shared" ca="1" si="18"/>
        <v>#REF!</v>
      </c>
      <c r="CP21" t="e">
        <f t="shared" ca="1" si="18"/>
        <v>#REF!</v>
      </c>
      <c r="CQ21" t="e">
        <f t="shared" ca="1" si="18"/>
        <v>#REF!</v>
      </c>
      <c r="CR21" t="e">
        <f t="shared" ca="1" si="18"/>
        <v>#REF!</v>
      </c>
      <c r="CS21" t="e">
        <f t="shared" ca="1" si="18"/>
        <v>#REF!</v>
      </c>
      <c r="CT21" t="e">
        <f t="shared" ca="1" si="18"/>
        <v>#REF!</v>
      </c>
      <c r="CU21" t="e">
        <f t="shared" ca="1" si="18"/>
        <v>#REF!</v>
      </c>
      <c r="CV21" t="e">
        <f t="shared" ca="1" si="19"/>
        <v>#REF!</v>
      </c>
      <c r="CW21" t="e">
        <f t="shared" ca="1" si="19"/>
        <v>#REF!</v>
      </c>
      <c r="CX21" t="e">
        <f t="shared" ca="1" si="19"/>
        <v>#REF!</v>
      </c>
      <c r="CY21" t="e">
        <f t="shared" ca="1" si="19"/>
        <v>#REF!</v>
      </c>
      <c r="CZ21" s="44" t="e">
        <f t="shared" ca="1" si="19"/>
        <v>#REF!</v>
      </c>
      <c r="DA21" s="44" t="e">
        <f t="shared" ca="1" si="19"/>
        <v>#REF!</v>
      </c>
      <c r="DB21" s="44" t="e">
        <f t="shared" ca="1" si="19"/>
        <v>#REF!</v>
      </c>
      <c r="DC21" s="44" t="e">
        <f t="shared" ca="1" si="19"/>
        <v>#REF!</v>
      </c>
      <c r="DD21" s="44" t="e">
        <f t="shared" ca="1" si="19"/>
        <v>#REF!</v>
      </c>
      <c r="DE21" s="44" t="e">
        <f t="shared" ca="1" si="19"/>
        <v>#REF!</v>
      </c>
      <c r="DF21" s="44" t="e">
        <f t="shared" ca="1" si="19"/>
        <v>#REF!</v>
      </c>
      <c r="DG21" s="44" t="e">
        <f t="shared" ca="1" si="19"/>
        <v>#REF!</v>
      </c>
      <c r="DH21" s="44" t="e">
        <f t="shared" ca="1" si="19"/>
        <v>#REF!</v>
      </c>
      <c r="DI21" s="44" t="e">
        <f t="shared" ca="1" si="19"/>
        <v>#REF!</v>
      </c>
      <c r="DJ21" s="44" t="e">
        <f t="shared" ca="1" si="19"/>
        <v>#REF!</v>
      </c>
      <c r="DK21" s="44" t="e">
        <f t="shared" ca="1" si="19"/>
        <v>#REF!</v>
      </c>
      <c r="DL21" s="44" t="e">
        <f t="shared" ca="1" si="20"/>
        <v>#REF!</v>
      </c>
      <c r="DM21" s="44" t="e">
        <f t="shared" ca="1" si="20"/>
        <v>#REF!</v>
      </c>
      <c r="DN21" s="44" t="e">
        <f t="shared" ca="1" si="20"/>
        <v>#REF!</v>
      </c>
      <c r="DO21" s="44" t="e">
        <f t="shared" ca="1" si="20"/>
        <v>#REF!</v>
      </c>
      <c r="DP21" s="44" t="e">
        <f t="shared" ca="1" si="20"/>
        <v>#REF!</v>
      </c>
      <c r="DQ21" s="44" t="e">
        <f t="shared" ca="1" si="20"/>
        <v>#REF!</v>
      </c>
      <c r="DR21" s="44" t="e">
        <f t="shared" ca="1" si="20"/>
        <v>#REF!</v>
      </c>
      <c r="DS21" t="e">
        <f t="shared" ca="1" si="20"/>
        <v>#REF!</v>
      </c>
      <c r="DT21" t="e">
        <f t="shared" ca="1" si="20"/>
        <v>#REF!</v>
      </c>
      <c r="DU21" t="e">
        <f t="shared" ca="1" si="20"/>
        <v>#REF!</v>
      </c>
      <c r="DV21" t="e">
        <f t="shared" ca="1" si="20"/>
        <v>#REF!</v>
      </c>
      <c r="DW21" t="e">
        <f t="shared" ca="1" si="20"/>
        <v>#REF!</v>
      </c>
      <c r="DX21" t="e">
        <f t="shared" ca="1" si="20"/>
        <v>#REF!</v>
      </c>
      <c r="DY21" t="e">
        <f t="shared" ca="1" si="20"/>
        <v>#REF!</v>
      </c>
      <c r="DZ21" t="e">
        <f t="shared" ca="1" si="20"/>
        <v>#REF!</v>
      </c>
      <c r="EA21" t="e">
        <f t="shared" ca="1" si="20"/>
        <v>#REF!</v>
      </c>
      <c r="EB21" t="e">
        <f t="shared" ca="1" si="21"/>
        <v>#REF!</v>
      </c>
      <c r="EC21" t="e">
        <f t="shared" ca="1" si="21"/>
        <v>#REF!</v>
      </c>
      <c r="ED21" t="e">
        <f t="shared" ca="1" si="21"/>
        <v>#REF!</v>
      </c>
      <c r="EE21" t="e">
        <f t="shared" ca="1" si="21"/>
        <v>#REF!</v>
      </c>
      <c r="EF21" t="e">
        <f t="shared" ca="1" si="21"/>
        <v>#REF!</v>
      </c>
      <c r="EG21" t="e">
        <f t="shared" ca="1" si="21"/>
        <v>#REF!</v>
      </c>
      <c r="EH21" t="e">
        <f t="shared" ca="1" si="21"/>
        <v>#REF!</v>
      </c>
      <c r="EI21" t="e">
        <f t="shared" ca="1" si="21"/>
        <v>#REF!</v>
      </c>
      <c r="EJ21" t="e">
        <f t="shared" ca="1" si="21"/>
        <v>#REF!</v>
      </c>
      <c r="EK21" s="44" t="e">
        <f t="shared" ca="1" si="21"/>
        <v>#REF!</v>
      </c>
      <c r="EL21" s="44" t="e">
        <f t="shared" ca="1" si="21"/>
        <v>#REF!</v>
      </c>
      <c r="EM21" s="44" t="e">
        <f t="shared" ca="1" si="21"/>
        <v>#REF!</v>
      </c>
      <c r="EN21" s="44" t="e">
        <f t="shared" ca="1" si="21"/>
        <v>#REF!</v>
      </c>
      <c r="EO21" s="44" t="e">
        <f t="shared" ca="1" si="21"/>
        <v>#REF!</v>
      </c>
      <c r="EP21" s="44" t="e">
        <f t="shared" ca="1" si="21"/>
        <v>#REF!</v>
      </c>
      <c r="EQ21" s="44" t="e">
        <f t="shared" ca="1" si="21"/>
        <v>#REF!</v>
      </c>
      <c r="ER21" s="44" t="e">
        <f t="shared" ca="1" si="22"/>
        <v>#REF!</v>
      </c>
      <c r="ES21" s="44" t="e">
        <f t="shared" ca="1" si="22"/>
        <v>#REF!</v>
      </c>
      <c r="ET21" s="44" t="e">
        <f t="shared" ca="1" si="22"/>
        <v>#REF!</v>
      </c>
      <c r="EU21" s="44" t="e">
        <f t="shared" ca="1" si="22"/>
        <v>#REF!</v>
      </c>
      <c r="EV21" s="44" t="e">
        <f t="shared" ca="1" si="22"/>
        <v>#REF!</v>
      </c>
      <c r="EW21" s="44" t="e">
        <f t="shared" ca="1" si="22"/>
        <v>#REF!</v>
      </c>
      <c r="EX21" s="44" t="e">
        <f t="shared" ca="1" si="22"/>
        <v>#REF!</v>
      </c>
      <c r="EY21" s="44" t="e">
        <f t="shared" ca="1" si="22"/>
        <v>#REF!</v>
      </c>
      <c r="EZ21" s="44" t="e">
        <f t="shared" ca="1" si="22"/>
        <v>#REF!</v>
      </c>
      <c r="FA21" s="44" t="e">
        <f t="shared" ca="1" si="22"/>
        <v>#REF!</v>
      </c>
      <c r="FB21" s="44" t="e">
        <f t="shared" ca="1" si="22"/>
        <v>#REF!</v>
      </c>
      <c r="FC21" s="56" t="e">
        <f t="shared" ca="1" si="22"/>
        <v>#REF!</v>
      </c>
      <c r="FD21" t="e">
        <f t="shared" ca="1" si="22"/>
        <v>#REF!</v>
      </c>
      <c r="FE21" t="e">
        <f t="shared" ca="1" si="22"/>
        <v>#REF!</v>
      </c>
      <c r="FF21" t="e">
        <f t="shared" ca="1" si="22"/>
        <v>#REF!</v>
      </c>
      <c r="FG21" t="e">
        <f t="shared" ca="1" si="22"/>
        <v>#REF!</v>
      </c>
      <c r="FH21" t="e">
        <f t="shared" ca="1" si="23"/>
        <v>#REF!</v>
      </c>
      <c r="FI21" t="e">
        <f t="shared" ca="1" si="23"/>
        <v>#REF!</v>
      </c>
      <c r="FJ21" t="e">
        <f t="shared" ca="1" si="23"/>
        <v>#REF!</v>
      </c>
      <c r="FK21" t="e">
        <f t="shared" ca="1" si="23"/>
        <v>#REF!</v>
      </c>
      <c r="FL21" t="e">
        <f t="shared" ca="1" si="23"/>
        <v>#REF!</v>
      </c>
      <c r="FM21" t="e">
        <f t="shared" ca="1" si="23"/>
        <v>#REF!</v>
      </c>
      <c r="FN21" t="e">
        <f t="shared" ca="1" si="23"/>
        <v>#REF!</v>
      </c>
      <c r="FO21" t="e">
        <f t="shared" ca="1" si="23"/>
        <v>#REF!</v>
      </c>
      <c r="FP21" t="e">
        <f t="shared" ca="1" si="23"/>
        <v>#REF!</v>
      </c>
      <c r="FQ21" t="e">
        <f t="shared" ca="1" si="23"/>
        <v>#REF!</v>
      </c>
      <c r="FR21" t="e">
        <f t="shared" ca="1" si="23"/>
        <v>#REF!</v>
      </c>
      <c r="FS21" t="e">
        <f t="shared" ca="1" si="23"/>
        <v>#REF!</v>
      </c>
      <c r="FT21" t="e">
        <f t="shared" ca="1" si="23"/>
        <v>#REF!</v>
      </c>
    </row>
    <row r="22" spans="1:176" ht="15" x14ac:dyDescent="0.25">
      <c r="A22" s="240">
        <v>151</v>
      </c>
      <c r="B22" t="e">
        <f t="shared" ca="1" si="25"/>
        <v>#REF!</v>
      </c>
      <c r="C22" t="e">
        <f t="shared" ca="1" si="25"/>
        <v>#REF!</v>
      </c>
      <c r="D22" t="e">
        <f t="shared" ca="1" si="25"/>
        <v>#REF!</v>
      </c>
      <c r="E22" t="e">
        <f t="shared" ca="1" si="25"/>
        <v>#REF!</v>
      </c>
      <c r="F22" t="e">
        <f t="shared" ca="1" si="13"/>
        <v>#REF!</v>
      </c>
      <c r="G22" t="e">
        <f t="shared" ca="1" si="13"/>
        <v>#REF!</v>
      </c>
      <c r="H22" t="e">
        <f t="shared" ca="1" si="13"/>
        <v>#REF!</v>
      </c>
      <c r="I22" t="e">
        <f t="shared" ca="1" si="25"/>
        <v>#REF!</v>
      </c>
      <c r="J22" t="e">
        <f t="shared" ca="1" si="25"/>
        <v>#REF!</v>
      </c>
      <c r="K22" t="e">
        <f t="shared" ca="1" si="25"/>
        <v>#REF!</v>
      </c>
      <c r="L22" t="e">
        <f t="shared" ca="1" si="25"/>
        <v>#REF!</v>
      </c>
      <c r="M22" t="e">
        <f t="shared" ca="1" si="25"/>
        <v>#REF!</v>
      </c>
      <c r="N22" t="e">
        <f t="shared" ca="1" si="25"/>
        <v>#REF!</v>
      </c>
      <c r="O22" t="e">
        <f t="shared" ca="1" si="25"/>
        <v>#REF!</v>
      </c>
      <c r="P22" t="e">
        <f t="shared" ca="1" si="25"/>
        <v>#REF!</v>
      </c>
      <c r="Q22" t="e">
        <f t="shared" ca="1" si="25"/>
        <v>#REF!</v>
      </c>
      <c r="R22" t="e">
        <f t="shared" ca="1" si="25"/>
        <v>#REF!</v>
      </c>
      <c r="S22" t="e">
        <f t="shared" ca="1" si="25"/>
        <v>#REF!</v>
      </c>
      <c r="T22" t="e">
        <f t="shared" ca="1" si="14"/>
        <v>#REF!</v>
      </c>
      <c r="U22" t="e">
        <f t="shared" ca="1" si="14"/>
        <v>#REF!</v>
      </c>
      <c r="V22" t="e">
        <f t="shared" ca="1" si="14"/>
        <v>#REF!</v>
      </c>
      <c r="W22" t="e">
        <f t="shared" ca="1" si="14"/>
        <v>#REF!</v>
      </c>
      <c r="X22" t="e">
        <f t="shared" ca="1" si="14"/>
        <v>#REF!</v>
      </c>
      <c r="Y22" t="e">
        <f t="shared" ca="1" si="14"/>
        <v>#REF!</v>
      </c>
      <c r="Z22" t="e">
        <f t="shared" ca="1" si="14"/>
        <v>#REF!</v>
      </c>
      <c r="AA22" t="e">
        <f t="shared" ca="1" si="14"/>
        <v>#REF!</v>
      </c>
      <c r="AB22" s="44" t="e">
        <f t="shared" ca="1" si="14"/>
        <v>#REF!</v>
      </c>
      <c r="AC22" s="44" t="e">
        <f t="shared" ca="1" si="14"/>
        <v>#REF!</v>
      </c>
      <c r="AD22" s="44" t="e">
        <f t="shared" ca="1" si="14"/>
        <v>#REF!</v>
      </c>
      <c r="AE22" s="44" t="e">
        <f t="shared" ca="1" si="14"/>
        <v>#REF!</v>
      </c>
      <c r="AF22" s="44" t="e">
        <f t="shared" ca="1" si="14"/>
        <v>#REF!</v>
      </c>
      <c r="AG22" s="44" t="e">
        <f t="shared" ca="1" si="14"/>
        <v>#REF!</v>
      </c>
      <c r="AH22" s="44" t="e">
        <f t="shared" ca="1" si="14"/>
        <v>#REF!</v>
      </c>
      <c r="AI22" s="44" t="e">
        <f t="shared" ca="1" si="14"/>
        <v>#REF!</v>
      </c>
      <c r="AJ22" s="44" t="e">
        <f t="shared" ca="1" si="15"/>
        <v>#REF!</v>
      </c>
      <c r="AK22" s="44" t="e">
        <f t="shared" ca="1" si="15"/>
        <v>#REF!</v>
      </c>
      <c r="AL22" s="44" t="e">
        <f t="shared" ca="1" si="15"/>
        <v>#REF!</v>
      </c>
      <c r="AM22" s="44" t="e">
        <f t="shared" ca="1" si="15"/>
        <v>#REF!</v>
      </c>
      <c r="AN22" s="44" t="e">
        <f t="shared" ca="1" si="15"/>
        <v>#REF!</v>
      </c>
      <c r="AO22" s="44" t="e">
        <f t="shared" ca="1" si="15"/>
        <v>#REF!</v>
      </c>
      <c r="AP22" s="44" t="e">
        <f t="shared" ca="1" si="15"/>
        <v>#REF!</v>
      </c>
      <c r="AQ22" s="44" t="e">
        <f t="shared" ca="1" si="15"/>
        <v>#REF!</v>
      </c>
      <c r="AR22" s="44" t="e">
        <f t="shared" ca="1" si="15"/>
        <v>#REF!</v>
      </c>
      <c r="AS22" s="44" t="e">
        <f t="shared" ca="1" si="15"/>
        <v>#REF!</v>
      </c>
      <c r="AT22" s="44" t="e">
        <f t="shared" ca="1" si="15"/>
        <v>#REF!</v>
      </c>
      <c r="AU22" t="e">
        <f t="shared" ca="1" si="15"/>
        <v>#REF!</v>
      </c>
      <c r="AV22" t="e">
        <f t="shared" ca="1" si="15"/>
        <v>#REF!</v>
      </c>
      <c r="AW22" t="e">
        <f t="shared" ca="1" si="15"/>
        <v>#REF!</v>
      </c>
      <c r="AX22" t="e">
        <f t="shared" ca="1" si="15"/>
        <v>#REF!</v>
      </c>
      <c r="AY22" t="e">
        <f t="shared" ca="1" si="15"/>
        <v>#REF!</v>
      </c>
      <c r="AZ22" t="e">
        <f t="shared" ca="1" si="16"/>
        <v>#REF!</v>
      </c>
      <c r="BA22" t="e">
        <f t="shared" ca="1" si="16"/>
        <v>#REF!</v>
      </c>
      <c r="BB22" t="e">
        <f t="shared" ca="1" si="16"/>
        <v>#REF!</v>
      </c>
      <c r="BC22" t="e">
        <f t="shared" ca="1" si="16"/>
        <v>#REF!</v>
      </c>
      <c r="BD22" t="e">
        <f t="shared" ca="1" si="16"/>
        <v>#REF!</v>
      </c>
      <c r="BE22" t="e">
        <f t="shared" ca="1" si="16"/>
        <v>#REF!</v>
      </c>
      <c r="BF22" t="e">
        <f t="shared" ca="1" si="16"/>
        <v>#REF!</v>
      </c>
      <c r="BG22" t="e">
        <f t="shared" ca="1" si="16"/>
        <v>#REF!</v>
      </c>
      <c r="BH22" t="e">
        <f t="shared" ca="1" si="16"/>
        <v>#REF!</v>
      </c>
      <c r="BI22" t="e">
        <f t="shared" ca="1" si="16"/>
        <v>#REF!</v>
      </c>
      <c r="BJ22" t="e">
        <f t="shared" ca="1" si="16"/>
        <v>#REF!</v>
      </c>
      <c r="BK22" t="e">
        <f t="shared" ca="1" si="16"/>
        <v>#REF!</v>
      </c>
      <c r="BL22" t="e">
        <f t="shared" ca="1" si="16"/>
        <v>#REF!</v>
      </c>
      <c r="BM22" t="e">
        <f t="shared" ca="1" si="16"/>
        <v>#REF!</v>
      </c>
      <c r="BN22" s="44" t="e">
        <f t="shared" ca="1" si="16"/>
        <v>#REF!</v>
      </c>
      <c r="BO22" s="44" t="e">
        <f t="shared" ca="1" si="16"/>
        <v>#REF!</v>
      </c>
      <c r="BP22" s="44" t="e">
        <f t="shared" ca="1" si="17"/>
        <v>#REF!</v>
      </c>
      <c r="BQ22" s="44" t="e">
        <f t="shared" ca="1" si="17"/>
        <v>#REF!</v>
      </c>
      <c r="BR22" s="44" t="e">
        <f t="shared" ca="1" si="17"/>
        <v>#REF!</v>
      </c>
      <c r="BS22" s="44" t="e">
        <f t="shared" ca="1" si="17"/>
        <v>#REF!</v>
      </c>
      <c r="BT22" s="44" t="e">
        <f t="shared" ca="1" si="17"/>
        <v>#REF!</v>
      </c>
      <c r="BU22" s="44" t="e">
        <f t="shared" ca="1" si="17"/>
        <v>#REF!</v>
      </c>
      <c r="BV22" s="44" t="e">
        <f t="shared" ca="1" si="17"/>
        <v>#REF!</v>
      </c>
      <c r="BW22" s="44" t="e">
        <f t="shared" ca="1" si="17"/>
        <v>#REF!</v>
      </c>
      <c r="BX22" s="44" t="e">
        <f t="shared" ca="1" si="17"/>
        <v>#REF!</v>
      </c>
      <c r="BY22" s="44" t="e">
        <f t="shared" ca="1" si="17"/>
        <v>#REF!</v>
      </c>
      <c r="BZ22" s="44" t="e">
        <f t="shared" ca="1" si="17"/>
        <v>#REF!</v>
      </c>
      <c r="CA22" s="44" t="e">
        <f t="shared" ca="1" si="17"/>
        <v>#REF!</v>
      </c>
      <c r="CB22" s="44" t="e">
        <f t="shared" ca="1" si="17"/>
        <v>#REF!</v>
      </c>
      <c r="CC22" s="44" t="e">
        <f t="shared" ca="1" si="17"/>
        <v>#REF!</v>
      </c>
      <c r="CD22" s="44" t="e">
        <f t="shared" ca="1" si="17"/>
        <v>#REF!</v>
      </c>
      <c r="CE22" s="44" t="e">
        <f t="shared" ca="1" si="17"/>
        <v>#REF!</v>
      </c>
      <c r="CF22" s="44" t="e">
        <f t="shared" ca="1" si="18"/>
        <v>#REF!</v>
      </c>
      <c r="CG22" t="e">
        <f t="shared" ca="1" si="18"/>
        <v>#REF!</v>
      </c>
      <c r="CH22" t="e">
        <f t="shared" ca="1" si="18"/>
        <v>#REF!</v>
      </c>
      <c r="CI22" t="e">
        <f t="shared" ca="1" si="18"/>
        <v>#REF!</v>
      </c>
      <c r="CJ22" t="e">
        <f t="shared" ca="1" si="18"/>
        <v>#REF!</v>
      </c>
      <c r="CK22" t="e">
        <f t="shared" ca="1" si="18"/>
        <v>#REF!</v>
      </c>
      <c r="CL22" t="e">
        <f t="shared" ca="1" si="18"/>
        <v>#REF!</v>
      </c>
      <c r="CM22" t="e">
        <f t="shared" ca="1" si="18"/>
        <v>#REF!</v>
      </c>
      <c r="CN22" t="e">
        <f t="shared" ca="1" si="18"/>
        <v>#REF!</v>
      </c>
      <c r="CO22" t="e">
        <f t="shared" ca="1" si="18"/>
        <v>#REF!</v>
      </c>
      <c r="CP22" t="e">
        <f t="shared" ca="1" si="18"/>
        <v>#REF!</v>
      </c>
      <c r="CQ22" t="e">
        <f t="shared" ca="1" si="18"/>
        <v>#REF!</v>
      </c>
      <c r="CR22" t="e">
        <f t="shared" ca="1" si="18"/>
        <v>#REF!</v>
      </c>
      <c r="CS22" t="e">
        <f t="shared" ca="1" si="18"/>
        <v>#REF!</v>
      </c>
      <c r="CT22" t="e">
        <f t="shared" ca="1" si="18"/>
        <v>#REF!</v>
      </c>
      <c r="CU22" t="e">
        <f t="shared" ca="1" si="18"/>
        <v>#REF!</v>
      </c>
      <c r="CV22" t="e">
        <f t="shared" ca="1" si="19"/>
        <v>#REF!</v>
      </c>
      <c r="CW22" t="e">
        <f t="shared" ca="1" si="19"/>
        <v>#REF!</v>
      </c>
      <c r="CX22" t="e">
        <f t="shared" ca="1" si="19"/>
        <v>#REF!</v>
      </c>
      <c r="CY22" t="e">
        <f t="shared" ca="1" si="19"/>
        <v>#REF!</v>
      </c>
      <c r="CZ22" s="44" t="e">
        <f t="shared" ca="1" si="19"/>
        <v>#REF!</v>
      </c>
      <c r="DA22" s="44" t="e">
        <f t="shared" ca="1" si="19"/>
        <v>#REF!</v>
      </c>
      <c r="DB22" s="44" t="e">
        <f t="shared" ca="1" si="19"/>
        <v>#REF!</v>
      </c>
      <c r="DC22" s="44" t="e">
        <f t="shared" ca="1" si="19"/>
        <v>#REF!</v>
      </c>
      <c r="DD22" s="44" t="e">
        <f t="shared" ca="1" si="19"/>
        <v>#REF!</v>
      </c>
      <c r="DE22" s="44" t="e">
        <f t="shared" ca="1" si="19"/>
        <v>#REF!</v>
      </c>
      <c r="DF22" s="44" t="e">
        <f t="shared" ca="1" si="19"/>
        <v>#REF!</v>
      </c>
      <c r="DG22" s="44" t="e">
        <f t="shared" ca="1" si="19"/>
        <v>#REF!</v>
      </c>
      <c r="DH22" s="44" t="e">
        <f t="shared" ca="1" si="19"/>
        <v>#REF!</v>
      </c>
      <c r="DI22" s="44" t="e">
        <f t="shared" ca="1" si="19"/>
        <v>#REF!</v>
      </c>
      <c r="DJ22" s="44" t="e">
        <f t="shared" ca="1" si="19"/>
        <v>#REF!</v>
      </c>
      <c r="DK22" s="44" t="e">
        <f t="shared" ca="1" si="19"/>
        <v>#REF!</v>
      </c>
      <c r="DL22" s="44" t="e">
        <f t="shared" ca="1" si="20"/>
        <v>#REF!</v>
      </c>
      <c r="DM22" s="44" t="e">
        <f t="shared" ca="1" si="20"/>
        <v>#REF!</v>
      </c>
      <c r="DN22" s="44" t="e">
        <f t="shared" ca="1" si="20"/>
        <v>#REF!</v>
      </c>
      <c r="DO22" s="44" t="e">
        <f t="shared" ca="1" si="20"/>
        <v>#REF!</v>
      </c>
      <c r="DP22" s="44" t="e">
        <f t="shared" ca="1" si="20"/>
        <v>#REF!</v>
      </c>
      <c r="DQ22" s="44" t="e">
        <f t="shared" ca="1" si="20"/>
        <v>#REF!</v>
      </c>
      <c r="DR22" s="44" t="e">
        <f t="shared" ca="1" si="20"/>
        <v>#REF!</v>
      </c>
      <c r="DS22" t="e">
        <f t="shared" ca="1" si="20"/>
        <v>#REF!</v>
      </c>
      <c r="DT22" t="e">
        <f t="shared" ca="1" si="20"/>
        <v>#REF!</v>
      </c>
      <c r="DU22" t="e">
        <f t="shared" ca="1" si="20"/>
        <v>#REF!</v>
      </c>
      <c r="DV22" t="e">
        <f t="shared" ca="1" si="20"/>
        <v>#REF!</v>
      </c>
      <c r="DW22" t="e">
        <f t="shared" ca="1" si="20"/>
        <v>#REF!</v>
      </c>
      <c r="DX22" t="e">
        <f t="shared" ca="1" si="20"/>
        <v>#REF!</v>
      </c>
      <c r="DY22" t="e">
        <f t="shared" ca="1" si="20"/>
        <v>#REF!</v>
      </c>
      <c r="DZ22" t="e">
        <f t="shared" ca="1" si="20"/>
        <v>#REF!</v>
      </c>
      <c r="EA22" t="e">
        <f t="shared" ca="1" si="20"/>
        <v>#REF!</v>
      </c>
      <c r="EB22" t="e">
        <f t="shared" ca="1" si="21"/>
        <v>#REF!</v>
      </c>
      <c r="EC22" t="e">
        <f t="shared" ca="1" si="21"/>
        <v>#REF!</v>
      </c>
      <c r="ED22" t="e">
        <f t="shared" ca="1" si="21"/>
        <v>#REF!</v>
      </c>
      <c r="EE22" t="e">
        <f t="shared" ca="1" si="21"/>
        <v>#REF!</v>
      </c>
      <c r="EF22" t="e">
        <f t="shared" ca="1" si="21"/>
        <v>#REF!</v>
      </c>
      <c r="EG22" t="e">
        <f t="shared" ca="1" si="21"/>
        <v>#REF!</v>
      </c>
      <c r="EH22" t="e">
        <f t="shared" ca="1" si="21"/>
        <v>#REF!</v>
      </c>
      <c r="EI22" t="e">
        <f t="shared" ca="1" si="21"/>
        <v>#REF!</v>
      </c>
      <c r="EJ22" t="e">
        <f t="shared" ca="1" si="21"/>
        <v>#REF!</v>
      </c>
      <c r="EK22" s="44" t="e">
        <f t="shared" ca="1" si="21"/>
        <v>#REF!</v>
      </c>
      <c r="EL22" s="44" t="e">
        <f t="shared" ca="1" si="21"/>
        <v>#REF!</v>
      </c>
      <c r="EM22" s="44" t="e">
        <f t="shared" ca="1" si="21"/>
        <v>#REF!</v>
      </c>
      <c r="EN22" s="44" t="e">
        <f t="shared" ca="1" si="21"/>
        <v>#REF!</v>
      </c>
      <c r="EO22" s="44" t="e">
        <f t="shared" ca="1" si="21"/>
        <v>#REF!</v>
      </c>
      <c r="EP22" s="44" t="e">
        <f t="shared" ca="1" si="21"/>
        <v>#REF!</v>
      </c>
      <c r="EQ22" s="44" t="e">
        <f t="shared" ca="1" si="21"/>
        <v>#REF!</v>
      </c>
      <c r="ER22" s="44" t="e">
        <f t="shared" ca="1" si="22"/>
        <v>#REF!</v>
      </c>
      <c r="ES22" s="44" t="e">
        <f t="shared" ca="1" si="22"/>
        <v>#REF!</v>
      </c>
      <c r="ET22" s="44" t="e">
        <f t="shared" ca="1" si="22"/>
        <v>#REF!</v>
      </c>
      <c r="EU22" s="44" t="e">
        <f t="shared" ca="1" si="22"/>
        <v>#REF!</v>
      </c>
      <c r="EV22" s="44" t="e">
        <f t="shared" ca="1" si="22"/>
        <v>#REF!</v>
      </c>
      <c r="EW22" s="44" t="e">
        <f t="shared" ca="1" si="22"/>
        <v>#REF!</v>
      </c>
      <c r="EX22" s="44" t="e">
        <f t="shared" ca="1" si="22"/>
        <v>#REF!</v>
      </c>
      <c r="EY22" s="44" t="e">
        <f t="shared" ca="1" si="22"/>
        <v>#REF!</v>
      </c>
      <c r="EZ22" s="44" t="e">
        <f t="shared" ca="1" si="22"/>
        <v>#REF!</v>
      </c>
      <c r="FA22" s="44" t="e">
        <f t="shared" ca="1" si="22"/>
        <v>#REF!</v>
      </c>
      <c r="FB22" s="44" t="e">
        <f t="shared" ca="1" si="22"/>
        <v>#REF!</v>
      </c>
      <c r="FC22" s="56" t="e">
        <f t="shared" ca="1" si="22"/>
        <v>#REF!</v>
      </c>
      <c r="FD22" t="e">
        <f t="shared" ca="1" si="22"/>
        <v>#REF!</v>
      </c>
      <c r="FE22" t="e">
        <f t="shared" ca="1" si="22"/>
        <v>#REF!</v>
      </c>
      <c r="FF22" t="e">
        <f t="shared" ca="1" si="22"/>
        <v>#REF!</v>
      </c>
      <c r="FG22" t="e">
        <f t="shared" ca="1" si="22"/>
        <v>#REF!</v>
      </c>
      <c r="FH22" t="e">
        <f t="shared" ca="1" si="23"/>
        <v>#REF!</v>
      </c>
      <c r="FI22" t="e">
        <f t="shared" ca="1" si="23"/>
        <v>#REF!</v>
      </c>
      <c r="FJ22" t="e">
        <f t="shared" ca="1" si="23"/>
        <v>#REF!</v>
      </c>
      <c r="FK22" t="e">
        <f t="shared" ca="1" si="23"/>
        <v>#REF!</v>
      </c>
      <c r="FL22" t="e">
        <f t="shared" ca="1" si="23"/>
        <v>#REF!</v>
      </c>
      <c r="FM22" t="e">
        <f t="shared" ca="1" si="23"/>
        <v>#REF!</v>
      </c>
      <c r="FN22" t="e">
        <f t="shared" ca="1" si="23"/>
        <v>#REF!</v>
      </c>
      <c r="FO22" t="e">
        <f t="shared" ca="1" si="23"/>
        <v>#REF!</v>
      </c>
      <c r="FP22" t="e">
        <f t="shared" ca="1" si="23"/>
        <v>#REF!</v>
      </c>
      <c r="FQ22" t="e">
        <f t="shared" ca="1" si="23"/>
        <v>#REF!</v>
      </c>
      <c r="FR22" t="e">
        <f t="shared" ca="1" si="23"/>
        <v>#REF!</v>
      </c>
      <c r="FS22" t="e">
        <f t="shared" ca="1" si="23"/>
        <v>#REF!</v>
      </c>
      <c r="FT22" t="e">
        <f t="shared" ca="1" si="23"/>
        <v>#REF!</v>
      </c>
    </row>
    <row r="23" spans="1:176" ht="15" x14ac:dyDescent="0.25">
      <c r="A23" s="240">
        <v>152</v>
      </c>
      <c r="B23" t="e">
        <f t="shared" ca="1" si="25"/>
        <v>#REF!</v>
      </c>
      <c r="C23" t="e">
        <f t="shared" ca="1" si="25"/>
        <v>#REF!</v>
      </c>
      <c r="D23" t="e">
        <f t="shared" ca="1" si="25"/>
        <v>#REF!</v>
      </c>
      <c r="E23" t="e">
        <f t="shared" ca="1" si="25"/>
        <v>#REF!</v>
      </c>
      <c r="F23" t="e">
        <f t="shared" ca="1" si="13"/>
        <v>#REF!</v>
      </c>
      <c r="G23" t="e">
        <f t="shared" ca="1" si="13"/>
        <v>#REF!</v>
      </c>
      <c r="H23" t="e">
        <f t="shared" ca="1" si="13"/>
        <v>#REF!</v>
      </c>
      <c r="I23" t="e">
        <f t="shared" ca="1" si="25"/>
        <v>#REF!</v>
      </c>
      <c r="J23" t="e">
        <f t="shared" ca="1" si="25"/>
        <v>#REF!</v>
      </c>
      <c r="K23" t="e">
        <f t="shared" ca="1" si="25"/>
        <v>#REF!</v>
      </c>
      <c r="L23" t="e">
        <f t="shared" ca="1" si="25"/>
        <v>#REF!</v>
      </c>
      <c r="M23" t="e">
        <f t="shared" ca="1" si="25"/>
        <v>#REF!</v>
      </c>
      <c r="N23" t="e">
        <f t="shared" ca="1" si="25"/>
        <v>#REF!</v>
      </c>
      <c r="O23" t="e">
        <f t="shared" ca="1" si="25"/>
        <v>#REF!</v>
      </c>
      <c r="P23" t="e">
        <f t="shared" ca="1" si="25"/>
        <v>#REF!</v>
      </c>
      <c r="Q23" t="e">
        <f t="shared" ca="1" si="25"/>
        <v>#REF!</v>
      </c>
      <c r="R23" t="e">
        <f t="shared" ca="1" si="25"/>
        <v>#REF!</v>
      </c>
      <c r="S23" t="e">
        <f t="shared" ca="1" si="25"/>
        <v>#REF!</v>
      </c>
      <c r="T23" t="e">
        <f t="shared" ca="1" si="14"/>
        <v>#REF!</v>
      </c>
      <c r="U23" t="e">
        <f t="shared" ca="1" si="14"/>
        <v>#REF!</v>
      </c>
      <c r="V23" t="e">
        <f t="shared" ca="1" si="14"/>
        <v>#REF!</v>
      </c>
      <c r="W23" t="e">
        <f t="shared" ca="1" si="14"/>
        <v>#REF!</v>
      </c>
      <c r="X23" t="e">
        <f t="shared" ca="1" si="14"/>
        <v>#REF!</v>
      </c>
      <c r="Y23" t="e">
        <f t="shared" ca="1" si="14"/>
        <v>#REF!</v>
      </c>
      <c r="Z23" t="e">
        <f t="shared" ca="1" si="14"/>
        <v>#REF!</v>
      </c>
      <c r="AA23" t="e">
        <f t="shared" ca="1" si="14"/>
        <v>#REF!</v>
      </c>
      <c r="AB23" s="44" t="e">
        <f t="shared" ca="1" si="14"/>
        <v>#REF!</v>
      </c>
      <c r="AC23" s="44" t="e">
        <f t="shared" ca="1" si="14"/>
        <v>#REF!</v>
      </c>
      <c r="AD23" s="44" t="e">
        <f t="shared" ca="1" si="14"/>
        <v>#REF!</v>
      </c>
      <c r="AE23" s="44" t="e">
        <f t="shared" ca="1" si="14"/>
        <v>#REF!</v>
      </c>
      <c r="AF23" s="44" t="e">
        <f t="shared" ca="1" si="14"/>
        <v>#REF!</v>
      </c>
      <c r="AG23" s="44" t="e">
        <f t="shared" ca="1" si="14"/>
        <v>#REF!</v>
      </c>
      <c r="AH23" s="44" t="e">
        <f t="shared" ca="1" si="14"/>
        <v>#REF!</v>
      </c>
      <c r="AI23" s="44" t="e">
        <f t="shared" ca="1" si="14"/>
        <v>#REF!</v>
      </c>
      <c r="AJ23" s="44" t="e">
        <f t="shared" ca="1" si="15"/>
        <v>#REF!</v>
      </c>
      <c r="AK23" s="44" t="e">
        <f t="shared" ca="1" si="15"/>
        <v>#REF!</v>
      </c>
      <c r="AL23" s="44" t="e">
        <f t="shared" ca="1" si="15"/>
        <v>#REF!</v>
      </c>
      <c r="AM23" s="44" t="e">
        <f t="shared" ca="1" si="15"/>
        <v>#REF!</v>
      </c>
      <c r="AN23" s="44" t="e">
        <f t="shared" ca="1" si="15"/>
        <v>#REF!</v>
      </c>
      <c r="AO23" s="44" t="e">
        <f t="shared" ca="1" si="15"/>
        <v>#REF!</v>
      </c>
      <c r="AP23" s="44" t="e">
        <f t="shared" ca="1" si="15"/>
        <v>#REF!</v>
      </c>
      <c r="AQ23" s="44" t="e">
        <f t="shared" ca="1" si="15"/>
        <v>#REF!</v>
      </c>
      <c r="AR23" s="44" t="e">
        <f t="shared" ca="1" si="15"/>
        <v>#REF!</v>
      </c>
      <c r="AS23" s="44" t="e">
        <f t="shared" ca="1" si="15"/>
        <v>#REF!</v>
      </c>
      <c r="AT23" s="44" t="e">
        <f t="shared" ca="1" si="15"/>
        <v>#REF!</v>
      </c>
      <c r="AU23" t="e">
        <f t="shared" ca="1" si="15"/>
        <v>#REF!</v>
      </c>
      <c r="AV23" t="e">
        <f t="shared" ca="1" si="15"/>
        <v>#REF!</v>
      </c>
      <c r="AW23" t="e">
        <f t="shared" ca="1" si="15"/>
        <v>#REF!</v>
      </c>
      <c r="AX23" t="e">
        <f t="shared" ca="1" si="15"/>
        <v>#REF!</v>
      </c>
      <c r="AY23" t="e">
        <f t="shared" ca="1" si="15"/>
        <v>#REF!</v>
      </c>
      <c r="AZ23" t="e">
        <f t="shared" ca="1" si="16"/>
        <v>#REF!</v>
      </c>
      <c r="BA23" t="e">
        <f t="shared" ca="1" si="16"/>
        <v>#REF!</v>
      </c>
      <c r="BB23" t="e">
        <f t="shared" ca="1" si="16"/>
        <v>#REF!</v>
      </c>
      <c r="BC23" t="e">
        <f t="shared" ca="1" si="16"/>
        <v>#REF!</v>
      </c>
      <c r="BD23" t="e">
        <f t="shared" ca="1" si="16"/>
        <v>#REF!</v>
      </c>
      <c r="BE23" t="e">
        <f t="shared" ca="1" si="16"/>
        <v>#REF!</v>
      </c>
      <c r="BF23" t="e">
        <f t="shared" ca="1" si="16"/>
        <v>#REF!</v>
      </c>
      <c r="BG23" t="e">
        <f t="shared" ca="1" si="16"/>
        <v>#REF!</v>
      </c>
      <c r="BH23" t="e">
        <f t="shared" ca="1" si="16"/>
        <v>#REF!</v>
      </c>
      <c r="BI23" t="e">
        <f t="shared" ca="1" si="16"/>
        <v>#REF!</v>
      </c>
      <c r="BJ23" t="e">
        <f t="shared" ca="1" si="16"/>
        <v>#REF!</v>
      </c>
      <c r="BK23" t="e">
        <f t="shared" ca="1" si="16"/>
        <v>#REF!</v>
      </c>
      <c r="BL23" t="e">
        <f t="shared" ca="1" si="16"/>
        <v>#REF!</v>
      </c>
      <c r="BM23" t="e">
        <f t="shared" ca="1" si="16"/>
        <v>#REF!</v>
      </c>
      <c r="BN23" s="44" t="e">
        <f t="shared" ca="1" si="16"/>
        <v>#REF!</v>
      </c>
      <c r="BO23" s="44" t="e">
        <f t="shared" ca="1" si="16"/>
        <v>#REF!</v>
      </c>
      <c r="BP23" s="44" t="e">
        <f t="shared" ca="1" si="17"/>
        <v>#REF!</v>
      </c>
      <c r="BQ23" s="44" t="e">
        <f t="shared" ca="1" si="17"/>
        <v>#REF!</v>
      </c>
      <c r="BR23" s="44" t="e">
        <f t="shared" ca="1" si="17"/>
        <v>#REF!</v>
      </c>
      <c r="BS23" s="44" t="e">
        <f t="shared" ca="1" si="17"/>
        <v>#REF!</v>
      </c>
      <c r="BT23" s="44" t="e">
        <f t="shared" ca="1" si="17"/>
        <v>#REF!</v>
      </c>
      <c r="BU23" s="44" t="e">
        <f t="shared" ca="1" si="17"/>
        <v>#REF!</v>
      </c>
      <c r="BV23" s="44" t="e">
        <f t="shared" ca="1" si="17"/>
        <v>#REF!</v>
      </c>
      <c r="BW23" s="44" t="e">
        <f t="shared" ca="1" si="17"/>
        <v>#REF!</v>
      </c>
      <c r="BX23" s="44" t="e">
        <f t="shared" ca="1" si="17"/>
        <v>#REF!</v>
      </c>
      <c r="BY23" s="44" t="e">
        <f t="shared" ca="1" si="17"/>
        <v>#REF!</v>
      </c>
      <c r="BZ23" s="44" t="e">
        <f t="shared" ca="1" si="17"/>
        <v>#REF!</v>
      </c>
      <c r="CA23" s="44" t="e">
        <f t="shared" ca="1" si="17"/>
        <v>#REF!</v>
      </c>
      <c r="CB23" s="44" t="e">
        <f t="shared" ca="1" si="17"/>
        <v>#REF!</v>
      </c>
      <c r="CC23" s="44" t="e">
        <f t="shared" ca="1" si="17"/>
        <v>#REF!</v>
      </c>
      <c r="CD23" s="44" t="e">
        <f t="shared" ca="1" si="17"/>
        <v>#REF!</v>
      </c>
      <c r="CE23" s="44" t="e">
        <f t="shared" ca="1" si="17"/>
        <v>#REF!</v>
      </c>
      <c r="CF23" s="44" t="e">
        <f t="shared" ca="1" si="18"/>
        <v>#REF!</v>
      </c>
      <c r="CG23" t="e">
        <f t="shared" ca="1" si="18"/>
        <v>#REF!</v>
      </c>
      <c r="CH23" t="e">
        <f t="shared" ca="1" si="18"/>
        <v>#REF!</v>
      </c>
      <c r="CI23" t="e">
        <f t="shared" ca="1" si="18"/>
        <v>#REF!</v>
      </c>
      <c r="CJ23" t="e">
        <f t="shared" ca="1" si="18"/>
        <v>#REF!</v>
      </c>
      <c r="CK23" t="e">
        <f t="shared" ca="1" si="18"/>
        <v>#REF!</v>
      </c>
      <c r="CL23" t="e">
        <f t="shared" ca="1" si="18"/>
        <v>#REF!</v>
      </c>
      <c r="CM23" t="e">
        <f t="shared" ca="1" si="18"/>
        <v>#REF!</v>
      </c>
      <c r="CN23" t="e">
        <f t="shared" ca="1" si="18"/>
        <v>#REF!</v>
      </c>
      <c r="CO23" t="e">
        <f t="shared" ca="1" si="18"/>
        <v>#REF!</v>
      </c>
      <c r="CP23" t="e">
        <f t="shared" ca="1" si="18"/>
        <v>#REF!</v>
      </c>
      <c r="CQ23" t="e">
        <f t="shared" ca="1" si="18"/>
        <v>#REF!</v>
      </c>
      <c r="CR23" t="e">
        <f t="shared" ca="1" si="18"/>
        <v>#REF!</v>
      </c>
      <c r="CS23" t="e">
        <f t="shared" ca="1" si="18"/>
        <v>#REF!</v>
      </c>
      <c r="CT23" t="e">
        <f t="shared" ca="1" si="18"/>
        <v>#REF!</v>
      </c>
      <c r="CU23" t="e">
        <f t="shared" ca="1" si="18"/>
        <v>#REF!</v>
      </c>
      <c r="CV23" t="e">
        <f t="shared" ca="1" si="19"/>
        <v>#REF!</v>
      </c>
      <c r="CW23" t="e">
        <f t="shared" ca="1" si="19"/>
        <v>#REF!</v>
      </c>
      <c r="CX23" t="e">
        <f t="shared" ca="1" si="19"/>
        <v>#REF!</v>
      </c>
      <c r="CY23" t="e">
        <f t="shared" ca="1" si="19"/>
        <v>#REF!</v>
      </c>
      <c r="CZ23" s="44" t="e">
        <f t="shared" ca="1" si="19"/>
        <v>#REF!</v>
      </c>
      <c r="DA23" s="44" t="e">
        <f t="shared" ca="1" si="19"/>
        <v>#REF!</v>
      </c>
      <c r="DB23" s="44" t="e">
        <f t="shared" ca="1" si="19"/>
        <v>#REF!</v>
      </c>
      <c r="DC23" s="44" t="e">
        <f t="shared" ca="1" si="19"/>
        <v>#REF!</v>
      </c>
      <c r="DD23" s="44" t="e">
        <f t="shared" ca="1" si="19"/>
        <v>#REF!</v>
      </c>
      <c r="DE23" s="44" t="e">
        <f t="shared" ca="1" si="19"/>
        <v>#REF!</v>
      </c>
      <c r="DF23" s="44" t="e">
        <f t="shared" ca="1" si="19"/>
        <v>#REF!</v>
      </c>
      <c r="DG23" s="44" t="e">
        <f t="shared" ca="1" si="19"/>
        <v>#REF!</v>
      </c>
      <c r="DH23" s="44" t="e">
        <f t="shared" ca="1" si="19"/>
        <v>#REF!</v>
      </c>
      <c r="DI23" s="44" t="e">
        <f t="shared" ca="1" si="19"/>
        <v>#REF!</v>
      </c>
      <c r="DJ23" s="44" t="e">
        <f t="shared" ca="1" si="19"/>
        <v>#REF!</v>
      </c>
      <c r="DK23" s="44" t="e">
        <f t="shared" ca="1" si="19"/>
        <v>#REF!</v>
      </c>
      <c r="DL23" s="44" t="e">
        <f t="shared" ca="1" si="20"/>
        <v>#REF!</v>
      </c>
      <c r="DM23" s="44" t="e">
        <f t="shared" ca="1" si="20"/>
        <v>#REF!</v>
      </c>
      <c r="DN23" s="44" t="e">
        <f t="shared" ca="1" si="20"/>
        <v>#REF!</v>
      </c>
      <c r="DO23" s="44" t="e">
        <f t="shared" ca="1" si="20"/>
        <v>#REF!</v>
      </c>
      <c r="DP23" s="44" t="e">
        <f t="shared" ca="1" si="20"/>
        <v>#REF!</v>
      </c>
      <c r="DQ23" s="44" t="e">
        <f t="shared" ca="1" si="20"/>
        <v>#REF!</v>
      </c>
      <c r="DR23" s="44" t="e">
        <f t="shared" ca="1" si="20"/>
        <v>#REF!</v>
      </c>
      <c r="DS23" t="e">
        <f t="shared" ca="1" si="20"/>
        <v>#REF!</v>
      </c>
      <c r="DT23" t="e">
        <f t="shared" ca="1" si="20"/>
        <v>#REF!</v>
      </c>
      <c r="DU23" t="e">
        <f t="shared" ca="1" si="20"/>
        <v>#REF!</v>
      </c>
      <c r="DV23" t="e">
        <f t="shared" ca="1" si="20"/>
        <v>#REF!</v>
      </c>
      <c r="DW23" t="e">
        <f t="shared" ca="1" si="20"/>
        <v>#REF!</v>
      </c>
      <c r="DX23" t="e">
        <f t="shared" ca="1" si="20"/>
        <v>#REF!</v>
      </c>
      <c r="DY23" t="e">
        <f t="shared" ca="1" si="20"/>
        <v>#REF!</v>
      </c>
      <c r="DZ23" t="e">
        <f t="shared" ca="1" si="20"/>
        <v>#REF!</v>
      </c>
      <c r="EA23" t="e">
        <f t="shared" ca="1" si="20"/>
        <v>#REF!</v>
      </c>
      <c r="EB23" t="e">
        <f t="shared" ca="1" si="21"/>
        <v>#REF!</v>
      </c>
      <c r="EC23" t="e">
        <f t="shared" ca="1" si="21"/>
        <v>#REF!</v>
      </c>
      <c r="ED23" t="e">
        <f t="shared" ca="1" si="21"/>
        <v>#REF!</v>
      </c>
      <c r="EE23" t="e">
        <f t="shared" ca="1" si="21"/>
        <v>#REF!</v>
      </c>
      <c r="EF23" t="e">
        <f t="shared" ca="1" si="21"/>
        <v>#REF!</v>
      </c>
      <c r="EG23" t="e">
        <f t="shared" ca="1" si="21"/>
        <v>#REF!</v>
      </c>
      <c r="EH23" t="e">
        <f t="shared" ca="1" si="21"/>
        <v>#REF!</v>
      </c>
      <c r="EI23" t="e">
        <f t="shared" ca="1" si="21"/>
        <v>#REF!</v>
      </c>
      <c r="EJ23" t="e">
        <f t="shared" ca="1" si="21"/>
        <v>#REF!</v>
      </c>
      <c r="EK23" s="44" t="e">
        <f t="shared" ca="1" si="21"/>
        <v>#REF!</v>
      </c>
      <c r="EL23" s="44" t="e">
        <f t="shared" ca="1" si="21"/>
        <v>#REF!</v>
      </c>
      <c r="EM23" s="44" t="e">
        <f t="shared" ca="1" si="21"/>
        <v>#REF!</v>
      </c>
      <c r="EN23" s="44" t="e">
        <f t="shared" ca="1" si="21"/>
        <v>#REF!</v>
      </c>
      <c r="EO23" s="44" t="e">
        <f t="shared" ca="1" si="21"/>
        <v>#REF!</v>
      </c>
      <c r="EP23" s="44" t="e">
        <f t="shared" ca="1" si="21"/>
        <v>#REF!</v>
      </c>
      <c r="EQ23" s="44" t="e">
        <f t="shared" ca="1" si="21"/>
        <v>#REF!</v>
      </c>
      <c r="ER23" s="44" t="e">
        <f t="shared" ca="1" si="22"/>
        <v>#REF!</v>
      </c>
      <c r="ES23" s="44" t="e">
        <f t="shared" ca="1" si="22"/>
        <v>#REF!</v>
      </c>
      <c r="ET23" s="44" t="e">
        <f t="shared" ca="1" si="22"/>
        <v>#REF!</v>
      </c>
      <c r="EU23" s="44" t="e">
        <f t="shared" ca="1" si="22"/>
        <v>#REF!</v>
      </c>
      <c r="EV23" s="44" t="e">
        <f t="shared" ca="1" si="22"/>
        <v>#REF!</v>
      </c>
      <c r="EW23" s="44" t="e">
        <f t="shared" ca="1" si="22"/>
        <v>#REF!</v>
      </c>
      <c r="EX23" s="44" t="e">
        <f t="shared" ca="1" si="22"/>
        <v>#REF!</v>
      </c>
      <c r="EY23" s="44" t="e">
        <f t="shared" ca="1" si="22"/>
        <v>#REF!</v>
      </c>
      <c r="EZ23" s="44" t="e">
        <f t="shared" ca="1" si="22"/>
        <v>#REF!</v>
      </c>
      <c r="FA23" s="44" t="e">
        <f t="shared" ca="1" si="22"/>
        <v>#REF!</v>
      </c>
      <c r="FB23" s="44" t="e">
        <f t="shared" ca="1" si="22"/>
        <v>#REF!</v>
      </c>
      <c r="FC23" s="56" t="e">
        <f t="shared" ca="1" si="22"/>
        <v>#REF!</v>
      </c>
      <c r="FD23" t="e">
        <f t="shared" ca="1" si="22"/>
        <v>#REF!</v>
      </c>
      <c r="FE23" t="e">
        <f t="shared" ca="1" si="22"/>
        <v>#REF!</v>
      </c>
      <c r="FF23" t="e">
        <f t="shared" ca="1" si="22"/>
        <v>#REF!</v>
      </c>
      <c r="FG23" t="e">
        <f t="shared" ca="1" si="22"/>
        <v>#REF!</v>
      </c>
      <c r="FH23" t="e">
        <f t="shared" ca="1" si="23"/>
        <v>#REF!</v>
      </c>
      <c r="FI23" t="e">
        <f t="shared" ca="1" si="23"/>
        <v>#REF!</v>
      </c>
      <c r="FJ23" t="e">
        <f t="shared" ca="1" si="23"/>
        <v>#REF!</v>
      </c>
      <c r="FK23" t="e">
        <f t="shared" ca="1" si="23"/>
        <v>#REF!</v>
      </c>
      <c r="FL23" t="e">
        <f t="shared" ca="1" si="23"/>
        <v>#REF!</v>
      </c>
      <c r="FM23" t="e">
        <f t="shared" ca="1" si="23"/>
        <v>#REF!</v>
      </c>
      <c r="FN23" t="e">
        <f t="shared" ca="1" si="23"/>
        <v>#REF!</v>
      </c>
      <c r="FO23" t="e">
        <f t="shared" ca="1" si="23"/>
        <v>#REF!</v>
      </c>
      <c r="FP23" t="e">
        <f t="shared" ca="1" si="23"/>
        <v>#REF!</v>
      </c>
      <c r="FQ23" t="e">
        <f t="shared" ca="1" si="23"/>
        <v>#REF!</v>
      </c>
      <c r="FR23" t="e">
        <f t="shared" ca="1" si="23"/>
        <v>#REF!</v>
      </c>
      <c r="FS23" t="e">
        <f t="shared" ca="1" si="23"/>
        <v>#REF!</v>
      </c>
      <c r="FT23" t="e">
        <f t="shared" ca="1" si="23"/>
        <v>#REF!</v>
      </c>
    </row>
    <row r="24" spans="1:176" ht="15" x14ac:dyDescent="0.25">
      <c r="A24" s="240">
        <v>153</v>
      </c>
      <c r="B24" t="e">
        <f t="shared" ca="1" si="25"/>
        <v>#REF!</v>
      </c>
      <c r="C24" t="e">
        <f t="shared" ca="1" si="25"/>
        <v>#REF!</v>
      </c>
      <c r="D24" t="e">
        <f t="shared" ca="1" si="25"/>
        <v>#REF!</v>
      </c>
      <c r="E24" t="e">
        <f t="shared" ca="1" si="25"/>
        <v>#REF!</v>
      </c>
      <c r="F24" t="e">
        <f t="shared" ca="1" si="13"/>
        <v>#REF!</v>
      </c>
      <c r="G24" t="e">
        <f t="shared" ca="1" si="13"/>
        <v>#REF!</v>
      </c>
      <c r="H24" t="e">
        <f t="shared" ca="1" si="13"/>
        <v>#REF!</v>
      </c>
      <c r="I24" t="e">
        <f t="shared" ca="1" si="25"/>
        <v>#REF!</v>
      </c>
      <c r="J24" t="e">
        <f t="shared" ca="1" si="25"/>
        <v>#REF!</v>
      </c>
      <c r="K24" t="e">
        <f t="shared" ca="1" si="25"/>
        <v>#REF!</v>
      </c>
      <c r="L24" t="e">
        <f t="shared" ca="1" si="25"/>
        <v>#REF!</v>
      </c>
      <c r="M24" t="e">
        <f t="shared" ca="1" si="25"/>
        <v>#REF!</v>
      </c>
      <c r="N24" t="e">
        <f t="shared" ca="1" si="25"/>
        <v>#REF!</v>
      </c>
      <c r="O24" t="e">
        <f t="shared" ca="1" si="25"/>
        <v>#REF!</v>
      </c>
      <c r="P24" t="e">
        <f t="shared" ca="1" si="25"/>
        <v>#REF!</v>
      </c>
      <c r="Q24" t="e">
        <f t="shared" ca="1" si="25"/>
        <v>#REF!</v>
      </c>
      <c r="R24" t="e">
        <f t="shared" ca="1" si="25"/>
        <v>#REF!</v>
      </c>
      <c r="S24" t="e">
        <f t="shared" ca="1" si="25"/>
        <v>#REF!</v>
      </c>
      <c r="T24" t="e">
        <f t="shared" ca="1" si="14"/>
        <v>#REF!</v>
      </c>
      <c r="U24" t="e">
        <f t="shared" ca="1" si="14"/>
        <v>#REF!</v>
      </c>
      <c r="V24" t="e">
        <f t="shared" ca="1" si="14"/>
        <v>#REF!</v>
      </c>
      <c r="W24" t="e">
        <f t="shared" ca="1" si="14"/>
        <v>#REF!</v>
      </c>
      <c r="X24" t="e">
        <f t="shared" ca="1" si="14"/>
        <v>#REF!</v>
      </c>
      <c r="Y24" t="e">
        <f t="shared" ca="1" si="14"/>
        <v>#REF!</v>
      </c>
      <c r="Z24" t="e">
        <f t="shared" ca="1" si="14"/>
        <v>#REF!</v>
      </c>
      <c r="AA24" t="e">
        <f t="shared" ca="1" si="14"/>
        <v>#REF!</v>
      </c>
      <c r="AB24" s="44" t="e">
        <f t="shared" ca="1" si="14"/>
        <v>#REF!</v>
      </c>
      <c r="AC24" s="44" t="e">
        <f t="shared" ca="1" si="14"/>
        <v>#REF!</v>
      </c>
      <c r="AD24" s="44" t="e">
        <f t="shared" ca="1" si="14"/>
        <v>#REF!</v>
      </c>
      <c r="AE24" s="44" t="e">
        <f t="shared" ca="1" si="14"/>
        <v>#REF!</v>
      </c>
      <c r="AF24" s="44" t="e">
        <f t="shared" ca="1" si="14"/>
        <v>#REF!</v>
      </c>
      <c r="AG24" s="44" t="e">
        <f t="shared" ca="1" si="14"/>
        <v>#REF!</v>
      </c>
      <c r="AH24" s="44" t="e">
        <f t="shared" ca="1" si="14"/>
        <v>#REF!</v>
      </c>
      <c r="AI24" s="44" t="e">
        <f t="shared" ca="1" si="14"/>
        <v>#REF!</v>
      </c>
      <c r="AJ24" s="44" t="e">
        <f t="shared" ca="1" si="15"/>
        <v>#REF!</v>
      </c>
      <c r="AK24" s="44" t="e">
        <f t="shared" ca="1" si="15"/>
        <v>#REF!</v>
      </c>
      <c r="AL24" s="44" t="e">
        <f t="shared" ca="1" si="15"/>
        <v>#REF!</v>
      </c>
      <c r="AM24" s="44" t="e">
        <f t="shared" ca="1" si="15"/>
        <v>#REF!</v>
      </c>
      <c r="AN24" s="44" t="e">
        <f t="shared" ca="1" si="15"/>
        <v>#REF!</v>
      </c>
      <c r="AO24" s="44" t="e">
        <f t="shared" ca="1" si="15"/>
        <v>#REF!</v>
      </c>
      <c r="AP24" s="44" t="e">
        <f t="shared" ca="1" si="15"/>
        <v>#REF!</v>
      </c>
      <c r="AQ24" s="44" t="e">
        <f t="shared" ca="1" si="15"/>
        <v>#REF!</v>
      </c>
      <c r="AR24" s="44" t="e">
        <f t="shared" ca="1" si="15"/>
        <v>#REF!</v>
      </c>
      <c r="AS24" s="44" t="e">
        <f t="shared" ca="1" si="15"/>
        <v>#REF!</v>
      </c>
      <c r="AT24" s="44" t="e">
        <f t="shared" ca="1" si="15"/>
        <v>#REF!</v>
      </c>
      <c r="AU24" t="e">
        <f t="shared" ca="1" si="15"/>
        <v>#REF!</v>
      </c>
      <c r="AV24" t="e">
        <f t="shared" ca="1" si="15"/>
        <v>#REF!</v>
      </c>
      <c r="AW24" t="e">
        <f t="shared" ca="1" si="15"/>
        <v>#REF!</v>
      </c>
      <c r="AX24" t="e">
        <f t="shared" ca="1" si="15"/>
        <v>#REF!</v>
      </c>
      <c r="AY24" t="e">
        <f t="shared" ca="1" si="15"/>
        <v>#REF!</v>
      </c>
      <c r="AZ24" t="e">
        <f t="shared" ca="1" si="16"/>
        <v>#REF!</v>
      </c>
      <c r="BA24" t="e">
        <f t="shared" ca="1" si="16"/>
        <v>#REF!</v>
      </c>
      <c r="BB24" t="e">
        <f t="shared" ca="1" si="16"/>
        <v>#REF!</v>
      </c>
      <c r="BC24" t="e">
        <f t="shared" ca="1" si="16"/>
        <v>#REF!</v>
      </c>
      <c r="BD24" t="e">
        <f t="shared" ca="1" si="16"/>
        <v>#REF!</v>
      </c>
      <c r="BE24" t="e">
        <f t="shared" ca="1" si="16"/>
        <v>#REF!</v>
      </c>
      <c r="BF24" t="e">
        <f t="shared" ca="1" si="16"/>
        <v>#REF!</v>
      </c>
      <c r="BG24" t="e">
        <f t="shared" ca="1" si="16"/>
        <v>#REF!</v>
      </c>
      <c r="BH24" t="e">
        <f t="shared" ca="1" si="16"/>
        <v>#REF!</v>
      </c>
      <c r="BI24" t="e">
        <f t="shared" ca="1" si="16"/>
        <v>#REF!</v>
      </c>
      <c r="BJ24" t="e">
        <f t="shared" ca="1" si="16"/>
        <v>#REF!</v>
      </c>
      <c r="BK24" t="e">
        <f t="shared" ca="1" si="16"/>
        <v>#REF!</v>
      </c>
      <c r="BL24" t="e">
        <f t="shared" ca="1" si="16"/>
        <v>#REF!</v>
      </c>
      <c r="BM24" t="e">
        <f t="shared" ca="1" si="16"/>
        <v>#REF!</v>
      </c>
      <c r="BN24" s="44" t="e">
        <f t="shared" ca="1" si="16"/>
        <v>#REF!</v>
      </c>
      <c r="BO24" s="44" t="e">
        <f t="shared" ca="1" si="16"/>
        <v>#REF!</v>
      </c>
      <c r="BP24" s="44" t="e">
        <f t="shared" ca="1" si="17"/>
        <v>#REF!</v>
      </c>
      <c r="BQ24" s="44" t="e">
        <f t="shared" ca="1" si="17"/>
        <v>#REF!</v>
      </c>
      <c r="BR24" s="44" t="e">
        <f t="shared" ca="1" si="17"/>
        <v>#REF!</v>
      </c>
      <c r="BS24" s="44" t="e">
        <f t="shared" ca="1" si="17"/>
        <v>#REF!</v>
      </c>
      <c r="BT24" s="44" t="e">
        <f t="shared" ca="1" si="17"/>
        <v>#REF!</v>
      </c>
      <c r="BU24" s="44" t="e">
        <f t="shared" ca="1" si="17"/>
        <v>#REF!</v>
      </c>
      <c r="BV24" s="44" t="e">
        <f t="shared" ca="1" si="17"/>
        <v>#REF!</v>
      </c>
      <c r="BW24" s="44" t="e">
        <f t="shared" ca="1" si="17"/>
        <v>#REF!</v>
      </c>
      <c r="BX24" s="44" t="e">
        <f t="shared" ca="1" si="17"/>
        <v>#REF!</v>
      </c>
      <c r="BY24" s="44" t="e">
        <f t="shared" ca="1" si="17"/>
        <v>#REF!</v>
      </c>
      <c r="BZ24" s="44" t="e">
        <f t="shared" ca="1" si="17"/>
        <v>#REF!</v>
      </c>
      <c r="CA24" s="44" t="e">
        <f t="shared" ca="1" si="17"/>
        <v>#REF!</v>
      </c>
      <c r="CB24" s="44" t="e">
        <f t="shared" ca="1" si="17"/>
        <v>#REF!</v>
      </c>
      <c r="CC24" s="44" t="e">
        <f t="shared" ca="1" si="17"/>
        <v>#REF!</v>
      </c>
      <c r="CD24" s="44" t="e">
        <f t="shared" ca="1" si="17"/>
        <v>#REF!</v>
      </c>
      <c r="CE24" s="44" t="e">
        <f t="shared" ca="1" si="17"/>
        <v>#REF!</v>
      </c>
      <c r="CF24" s="44" t="e">
        <f t="shared" ca="1" si="18"/>
        <v>#REF!</v>
      </c>
      <c r="CG24" t="e">
        <f t="shared" ca="1" si="18"/>
        <v>#REF!</v>
      </c>
      <c r="CH24" t="e">
        <f t="shared" ca="1" si="18"/>
        <v>#REF!</v>
      </c>
      <c r="CI24" t="e">
        <f t="shared" ca="1" si="18"/>
        <v>#REF!</v>
      </c>
      <c r="CJ24" t="e">
        <f t="shared" ca="1" si="18"/>
        <v>#REF!</v>
      </c>
      <c r="CK24" t="e">
        <f t="shared" ca="1" si="18"/>
        <v>#REF!</v>
      </c>
      <c r="CL24" t="e">
        <f t="shared" ca="1" si="18"/>
        <v>#REF!</v>
      </c>
      <c r="CM24" t="e">
        <f t="shared" ca="1" si="18"/>
        <v>#REF!</v>
      </c>
      <c r="CN24" t="e">
        <f t="shared" ca="1" si="18"/>
        <v>#REF!</v>
      </c>
      <c r="CO24" t="e">
        <f t="shared" ca="1" si="18"/>
        <v>#REF!</v>
      </c>
      <c r="CP24" t="e">
        <f t="shared" ca="1" si="18"/>
        <v>#REF!</v>
      </c>
      <c r="CQ24" t="e">
        <f t="shared" ca="1" si="18"/>
        <v>#REF!</v>
      </c>
      <c r="CR24" t="e">
        <f t="shared" ca="1" si="18"/>
        <v>#REF!</v>
      </c>
      <c r="CS24" t="e">
        <f t="shared" ca="1" si="18"/>
        <v>#REF!</v>
      </c>
      <c r="CT24" t="e">
        <f t="shared" ca="1" si="18"/>
        <v>#REF!</v>
      </c>
      <c r="CU24" t="e">
        <f t="shared" ca="1" si="18"/>
        <v>#REF!</v>
      </c>
      <c r="CV24" t="e">
        <f t="shared" ca="1" si="19"/>
        <v>#REF!</v>
      </c>
      <c r="CW24" t="e">
        <f t="shared" ca="1" si="19"/>
        <v>#REF!</v>
      </c>
      <c r="CX24" t="e">
        <f t="shared" ca="1" si="19"/>
        <v>#REF!</v>
      </c>
      <c r="CY24" t="e">
        <f t="shared" ca="1" si="19"/>
        <v>#REF!</v>
      </c>
      <c r="CZ24" s="44" t="e">
        <f t="shared" ca="1" si="19"/>
        <v>#REF!</v>
      </c>
      <c r="DA24" s="44" t="e">
        <f t="shared" ca="1" si="19"/>
        <v>#REF!</v>
      </c>
      <c r="DB24" s="44" t="e">
        <f t="shared" ca="1" si="19"/>
        <v>#REF!</v>
      </c>
      <c r="DC24" s="44" t="e">
        <f t="shared" ca="1" si="19"/>
        <v>#REF!</v>
      </c>
      <c r="DD24" s="44" t="e">
        <f t="shared" ca="1" si="19"/>
        <v>#REF!</v>
      </c>
      <c r="DE24" s="44" t="e">
        <f t="shared" ca="1" si="19"/>
        <v>#REF!</v>
      </c>
      <c r="DF24" s="44" t="e">
        <f t="shared" ca="1" si="19"/>
        <v>#REF!</v>
      </c>
      <c r="DG24" s="44" t="e">
        <f t="shared" ca="1" si="19"/>
        <v>#REF!</v>
      </c>
      <c r="DH24" s="44" t="e">
        <f t="shared" ca="1" si="19"/>
        <v>#REF!</v>
      </c>
      <c r="DI24" s="44" t="e">
        <f t="shared" ca="1" si="19"/>
        <v>#REF!</v>
      </c>
      <c r="DJ24" s="44" t="e">
        <f t="shared" ca="1" si="19"/>
        <v>#REF!</v>
      </c>
      <c r="DK24" s="44" t="e">
        <f t="shared" ca="1" si="19"/>
        <v>#REF!</v>
      </c>
      <c r="DL24" s="44" t="e">
        <f t="shared" ca="1" si="20"/>
        <v>#REF!</v>
      </c>
      <c r="DM24" s="44" t="e">
        <f t="shared" ca="1" si="20"/>
        <v>#REF!</v>
      </c>
      <c r="DN24" s="44" t="e">
        <f t="shared" ca="1" si="20"/>
        <v>#REF!</v>
      </c>
      <c r="DO24" s="44" t="e">
        <f t="shared" ca="1" si="20"/>
        <v>#REF!</v>
      </c>
      <c r="DP24" s="44" t="e">
        <f t="shared" ca="1" si="20"/>
        <v>#REF!</v>
      </c>
      <c r="DQ24" s="44" t="e">
        <f t="shared" ca="1" si="20"/>
        <v>#REF!</v>
      </c>
      <c r="DR24" s="44" t="e">
        <f t="shared" ca="1" si="20"/>
        <v>#REF!</v>
      </c>
      <c r="DS24" t="e">
        <f t="shared" ca="1" si="20"/>
        <v>#REF!</v>
      </c>
      <c r="DT24" t="e">
        <f t="shared" ca="1" si="20"/>
        <v>#REF!</v>
      </c>
      <c r="DU24" t="e">
        <f t="shared" ca="1" si="20"/>
        <v>#REF!</v>
      </c>
      <c r="DV24" t="e">
        <f t="shared" ca="1" si="20"/>
        <v>#REF!</v>
      </c>
      <c r="DW24" t="e">
        <f t="shared" ca="1" si="20"/>
        <v>#REF!</v>
      </c>
      <c r="DX24" t="e">
        <f t="shared" ca="1" si="20"/>
        <v>#REF!</v>
      </c>
      <c r="DY24" t="e">
        <f t="shared" ca="1" si="20"/>
        <v>#REF!</v>
      </c>
      <c r="DZ24" t="e">
        <f t="shared" ca="1" si="20"/>
        <v>#REF!</v>
      </c>
      <c r="EA24" t="e">
        <f t="shared" ca="1" si="20"/>
        <v>#REF!</v>
      </c>
      <c r="EB24" t="e">
        <f t="shared" ca="1" si="21"/>
        <v>#REF!</v>
      </c>
      <c r="EC24" t="e">
        <f t="shared" ca="1" si="21"/>
        <v>#REF!</v>
      </c>
      <c r="ED24" t="e">
        <f t="shared" ca="1" si="21"/>
        <v>#REF!</v>
      </c>
      <c r="EE24" t="e">
        <f t="shared" ca="1" si="21"/>
        <v>#REF!</v>
      </c>
      <c r="EF24" t="e">
        <f t="shared" ca="1" si="21"/>
        <v>#REF!</v>
      </c>
      <c r="EG24" t="e">
        <f t="shared" ca="1" si="21"/>
        <v>#REF!</v>
      </c>
      <c r="EH24" t="e">
        <f t="shared" ca="1" si="21"/>
        <v>#REF!</v>
      </c>
      <c r="EI24" t="e">
        <f t="shared" ca="1" si="21"/>
        <v>#REF!</v>
      </c>
      <c r="EJ24" t="e">
        <f t="shared" ca="1" si="21"/>
        <v>#REF!</v>
      </c>
      <c r="EK24" s="44" t="e">
        <f t="shared" ca="1" si="21"/>
        <v>#REF!</v>
      </c>
      <c r="EL24" s="44" t="e">
        <f t="shared" ca="1" si="21"/>
        <v>#REF!</v>
      </c>
      <c r="EM24" s="44" t="e">
        <f t="shared" ca="1" si="21"/>
        <v>#REF!</v>
      </c>
      <c r="EN24" s="44" t="e">
        <f t="shared" ca="1" si="21"/>
        <v>#REF!</v>
      </c>
      <c r="EO24" s="44" t="e">
        <f t="shared" ca="1" si="21"/>
        <v>#REF!</v>
      </c>
      <c r="EP24" s="44" t="e">
        <f t="shared" ca="1" si="21"/>
        <v>#REF!</v>
      </c>
      <c r="EQ24" s="44" t="e">
        <f t="shared" ca="1" si="21"/>
        <v>#REF!</v>
      </c>
      <c r="ER24" s="44" t="e">
        <f t="shared" ca="1" si="22"/>
        <v>#REF!</v>
      </c>
      <c r="ES24" s="44" t="e">
        <f t="shared" ca="1" si="22"/>
        <v>#REF!</v>
      </c>
      <c r="ET24" s="44" t="e">
        <f t="shared" ca="1" si="22"/>
        <v>#REF!</v>
      </c>
      <c r="EU24" s="44" t="e">
        <f t="shared" ca="1" si="22"/>
        <v>#REF!</v>
      </c>
      <c r="EV24" s="44" t="e">
        <f t="shared" ca="1" si="22"/>
        <v>#REF!</v>
      </c>
      <c r="EW24" s="44" t="e">
        <f t="shared" ca="1" si="22"/>
        <v>#REF!</v>
      </c>
      <c r="EX24" s="44" t="e">
        <f t="shared" ca="1" si="22"/>
        <v>#REF!</v>
      </c>
      <c r="EY24" s="44" t="e">
        <f t="shared" ca="1" si="22"/>
        <v>#REF!</v>
      </c>
      <c r="EZ24" s="44" t="e">
        <f t="shared" ca="1" si="22"/>
        <v>#REF!</v>
      </c>
      <c r="FA24" s="44" t="e">
        <f t="shared" ca="1" si="22"/>
        <v>#REF!</v>
      </c>
      <c r="FB24" s="44" t="e">
        <f t="shared" ca="1" si="22"/>
        <v>#REF!</v>
      </c>
      <c r="FC24" s="56" t="e">
        <f t="shared" ca="1" si="22"/>
        <v>#REF!</v>
      </c>
      <c r="FD24" t="e">
        <f t="shared" ca="1" si="22"/>
        <v>#REF!</v>
      </c>
      <c r="FE24" t="e">
        <f t="shared" ca="1" si="22"/>
        <v>#REF!</v>
      </c>
      <c r="FF24" t="e">
        <f t="shared" ca="1" si="22"/>
        <v>#REF!</v>
      </c>
      <c r="FG24" t="e">
        <f t="shared" ca="1" si="22"/>
        <v>#REF!</v>
      </c>
      <c r="FH24" t="e">
        <f t="shared" ca="1" si="23"/>
        <v>#REF!</v>
      </c>
      <c r="FI24" t="e">
        <f t="shared" ca="1" si="23"/>
        <v>#REF!</v>
      </c>
      <c r="FJ24" t="e">
        <f t="shared" ca="1" si="23"/>
        <v>#REF!</v>
      </c>
      <c r="FK24" t="e">
        <f t="shared" ca="1" si="23"/>
        <v>#REF!</v>
      </c>
      <c r="FL24" t="e">
        <f t="shared" ca="1" si="23"/>
        <v>#REF!</v>
      </c>
      <c r="FM24" t="e">
        <f t="shared" ca="1" si="23"/>
        <v>#REF!</v>
      </c>
      <c r="FN24" t="e">
        <f t="shared" ca="1" si="23"/>
        <v>#REF!</v>
      </c>
      <c r="FO24" t="e">
        <f t="shared" ca="1" si="23"/>
        <v>#REF!</v>
      </c>
      <c r="FP24" t="e">
        <f t="shared" ca="1" si="23"/>
        <v>#REF!</v>
      </c>
      <c r="FQ24" t="e">
        <f t="shared" ca="1" si="23"/>
        <v>#REF!</v>
      </c>
      <c r="FR24" t="e">
        <f t="shared" ca="1" si="23"/>
        <v>#REF!</v>
      </c>
      <c r="FS24" t="e">
        <f t="shared" ca="1" si="23"/>
        <v>#REF!</v>
      </c>
      <c r="FT24" t="e">
        <f t="shared" ca="1" si="23"/>
        <v>#REF!</v>
      </c>
    </row>
    <row r="25" spans="1:176" ht="15" x14ac:dyDescent="0.25">
      <c r="A25" s="240">
        <v>147</v>
      </c>
      <c r="B25" t="e">
        <f t="shared" ca="1" si="25"/>
        <v>#REF!</v>
      </c>
      <c r="C25" t="e">
        <f t="shared" ca="1" si="25"/>
        <v>#REF!</v>
      </c>
      <c r="D25" t="e">
        <f t="shared" ca="1" si="25"/>
        <v>#REF!</v>
      </c>
      <c r="E25" t="e">
        <f t="shared" ca="1" si="25"/>
        <v>#REF!</v>
      </c>
      <c r="F25" t="e">
        <f t="shared" ca="1" si="13"/>
        <v>#REF!</v>
      </c>
      <c r="G25" t="e">
        <f t="shared" ca="1" si="13"/>
        <v>#REF!</v>
      </c>
      <c r="H25" t="e">
        <f t="shared" ca="1" si="13"/>
        <v>#REF!</v>
      </c>
      <c r="I25" t="e">
        <f t="shared" ca="1" si="25"/>
        <v>#REF!</v>
      </c>
      <c r="J25" t="e">
        <f t="shared" ca="1" si="25"/>
        <v>#REF!</v>
      </c>
      <c r="K25" t="e">
        <f t="shared" ca="1" si="25"/>
        <v>#REF!</v>
      </c>
      <c r="L25" t="e">
        <f t="shared" ca="1" si="25"/>
        <v>#REF!</v>
      </c>
      <c r="M25" t="e">
        <f t="shared" ca="1" si="25"/>
        <v>#REF!</v>
      </c>
      <c r="N25" t="e">
        <f t="shared" ca="1" si="25"/>
        <v>#REF!</v>
      </c>
      <c r="O25" t="e">
        <f t="shared" ca="1" si="25"/>
        <v>#REF!</v>
      </c>
      <c r="P25" t="e">
        <f t="shared" ca="1" si="25"/>
        <v>#REF!</v>
      </c>
      <c r="Q25" t="e">
        <f t="shared" ca="1" si="25"/>
        <v>#REF!</v>
      </c>
      <c r="R25" t="e">
        <f t="shared" ca="1" si="25"/>
        <v>#REF!</v>
      </c>
      <c r="S25" t="e">
        <f t="shared" ca="1" si="25"/>
        <v>#REF!</v>
      </c>
      <c r="T25" t="e">
        <f t="shared" ca="1" si="14"/>
        <v>#REF!</v>
      </c>
      <c r="U25" t="e">
        <f t="shared" ca="1" si="14"/>
        <v>#REF!</v>
      </c>
      <c r="V25" t="e">
        <f t="shared" ca="1" si="14"/>
        <v>#REF!</v>
      </c>
      <c r="W25" t="e">
        <f t="shared" ca="1" si="14"/>
        <v>#REF!</v>
      </c>
      <c r="X25" t="e">
        <f t="shared" ca="1" si="14"/>
        <v>#REF!</v>
      </c>
      <c r="Y25" t="e">
        <f t="shared" ca="1" si="14"/>
        <v>#REF!</v>
      </c>
      <c r="Z25" t="e">
        <f t="shared" ca="1" si="14"/>
        <v>#REF!</v>
      </c>
      <c r="AA25" t="e">
        <f t="shared" ca="1" si="14"/>
        <v>#REF!</v>
      </c>
      <c r="AB25" s="44" t="e">
        <f t="shared" ca="1" si="14"/>
        <v>#REF!</v>
      </c>
      <c r="AC25" s="44" t="e">
        <f t="shared" ca="1" si="14"/>
        <v>#REF!</v>
      </c>
      <c r="AD25" s="44" t="e">
        <f t="shared" ca="1" si="14"/>
        <v>#REF!</v>
      </c>
      <c r="AE25" s="44" t="e">
        <f t="shared" ca="1" si="14"/>
        <v>#REF!</v>
      </c>
      <c r="AF25" s="44" t="e">
        <f t="shared" ca="1" si="14"/>
        <v>#REF!</v>
      </c>
      <c r="AG25" s="44" t="e">
        <f t="shared" ca="1" si="14"/>
        <v>#REF!</v>
      </c>
      <c r="AH25" s="44" t="e">
        <f t="shared" ca="1" si="14"/>
        <v>#REF!</v>
      </c>
      <c r="AI25" s="44" t="e">
        <f t="shared" ca="1" si="14"/>
        <v>#REF!</v>
      </c>
      <c r="AJ25" s="44" t="e">
        <f t="shared" ca="1" si="15"/>
        <v>#REF!</v>
      </c>
      <c r="AK25" s="44" t="e">
        <f t="shared" ca="1" si="15"/>
        <v>#REF!</v>
      </c>
      <c r="AL25" s="44" t="e">
        <f t="shared" ca="1" si="15"/>
        <v>#REF!</v>
      </c>
      <c r="AM25" s="44" t="e">
        <f t="shared" ca="1" si="15"/>
        <v>#REF!</v>
      </c>
      <c r="AN25" s="44" t="e">
        <f t="shared" ca="1" si="15"/>
        <v>#REF!</v>
      </c>
      <c r="AO25" s="44" t="e">
        <f t="shared" ca="1" si="15"/>
        <v>#REF!</v>
      </c>
      <c r="AP25" s="44" t="e">
        <f t="shared" ca="1" si="15"/>
        <v>#REF!</v>
      </c>
      <c r="AQ25" s="44" t="e">
        <f t="shared" ca="1" si="15"/>
        <v>#REF!</v>
      </c>
      <c r="AR25" s="44" t="e">
        <f t="shared" ca="1" si="15"/>
        <v>#REF!</v>
      </c>
      <c r="AS25" s="44" t="e">
        <f t="shared" ca="1" si="15"/>
        <v>#REF!</v>
      </c>
      <c r="AT25" s="44" t="e">
        <f t="shared" ca="1" si="15"/>
        <v>#REF!</v>
      </c>
      <c r="AU25" t="e">
        <f t="shared" ca="1" si="15"/>
        <v>#REF!</v>
      </c>
      <c r="AV25" t="e">
        <f t="shared" ca="1" si="15"/>
        <v>#REF!</v>
      </c>
      <c r="AW25" t="e">
        <f t="shared" ca="1" si="15"/>
        <v>#REF!</v>
      </c>
      <c r="AX25" t="e">
        <f t="shared" ca="1" si="15"/>
        <v>#REF!</v>
      </c>
      <c r="AY25" t="e">
        <f t="shared" ca="1" si="15"/>
        <v>#REF!</v>
      </c>
      <c r="AZ25" t="e">
        <f t="shared" ca="1" si="16"/>
        <v>#REF!</v>
      </c>
      <c r="BA25" t="e">
        <f t="shared" ca="1" si="16"/>
        <v>#REF!</v>
      </c>
      <c r="BB25" t="e">
        <f t="shared" ca="1" si="16"/>
        <v>#REF!</v>
      </c>
      <c r="BC25" t="e">
        <f t="shared" ca="1" si="16"/>
        <v>#REF!</v>
      </c>
      <c r="BD25" t="e">
        <f t="shared" ca="1" si="16"/>
        <v>#REF!</v>
      </c>
      <c r="BE25" t="e">
        <f t="shared" ca="1" si="16"/>
        <v>#REF!</v>
      </c>
      <c r="BF25" t="e">
        <f t="shared" ca="1" si="16"/>
        <v>#REF!</v>
      </c>
      <c r="BG25" t="e">
        <f t="shared" ca="1" si="16"/>
        <v>#REF!</v>
      </c>
      <c r="BH25" t="e">
        <f t="shared" ca="1" si="16"/>
        <v>#REF!</v>
      </c>
      <c r="BI25" t="e">
        <f t="shared" ca="1" si="16"/>
        <v>#REF!</v>
      </c>
      <c r="BJ25" t="e">
        <f t="shared" ca="1" si="16"/>
        <v>#REF!</v>
      </c>
      <c r="BK25" t="e">
        <f t="shared" ca="1" si="16"/>
        <v>#REF!</v>
      </c>
      <c r="BL25" t="e">
        <f t="shared" ca="1" si="16"/>
        <v>#REF!</v>
      </c>
      <c r="BM25" t="e">
        <f t="shared" ca="1" si="16"/>
        <v>#REF!</v>
      </c>
      <c r="BN25" s="44" t="e">
        <f t="shared" ca="1" si="16"/>
        <v>#REF!</v>
      </c>
      <c r="BO25" s="44" t="e">
        <f t="shared" ca="1" si="16"/>
        <v>#REF!</v>
      </c>
      <c r="BP25" s="44" t="e">
        <f t="shared" ca="1" si="17"/>
        <v>#REF!</v>
      </c>
      <c r="BQ25" s="44" t="e">
        <f t="shared" ca="1" si="17"/>
        <v>#REF!</v>
      </c>
      <c r="BR25" s="44" t="e">
        <f t="shared" ca="1" si="17"/>
        <v>#REF!</v>
      </c>
      <c r="BS25" s="44" t="e">
        <f t="shared" ca="1" si="17"/>
        <v>#REF!</v>
      </c>
      <c r="BT25" s="44" t="e">
        <f t="shared" ca="1" si="17"/>
        <v>#REF!</v>
      </c>
      <c r="BU25" s="44" t="e">
        <f t="shared" ca="1" si="17"/>
        <v>#REF!</v>
      </c>
      <c r="BV25" s="44" t="e">
        <f t="shared" ca="1" si="17"/>
        <v>#REF!</v>
      </c>
      <c r="BW25" s="44" t="e">
        <f t="shared" ca="1" si="17"/>
        <v>#REF!</v>
      </c>
      <c r="BX25" s="44" t="e">
        <f t="shared" ca="1" si="17"/>
        <v>#REF!</v>
      </c>
      <c r="BY25" s="44" t="e">
        <f t="shared" ca="1" si="17"/>
        <v>#REF!</v>
      </c>
      <c r="BZ25" s="44" t="e">
        <f t="shared" ca="1" si="17"/>
        <v>#REF!</v>
      </c>
      <c r="CA25" s="44" t="e">
        <f t="shared" ca="1" si="17"/>
        <v>#REF!</v>
      </c>
      <c r="CB25" s="44" t="e">
        <f t="shared" ca="1" si="17"/>
        <v>#REF!</v>
      </c>
      <c r="CC25" s="44" t="e">
        <f t="shared" ca="1" si="17"/>
        <v>#REF!</v>
      </c>
      <c r="CD25" s="44" t="e">
        <f t="shared" ca="1" si="17"/>
        <v>#REF!</v>
      </c>
      <c r="CE25" s="44" t="e">
        <f t="shared" ca="1" si="17"/>
        <v>#REF!</v>
      </c>
      <c r="CF25" s="44" t="e">
        <f t="shared" ca="1" si="18"/>
        <v>#REF!</v>
      </c>
      <c r="CG25" t="e">
        <f t="shared" ca="1" si="18"/>
        <v>#REF!</v>
      </c>
      <c r="CH25" t="e">
        <f t="shared" ca="1" si="18"/>
        <v>#REF!</v>
      </c>
      <c r="CI25" t="e">
        <f t="shared" ca="1" si="18"/>
        <v>#REF!</v>
      </c>
      <c r="CJ25" t="e">
        <f t="shared" ca="1" si="18"/>
        <v>#REF!</v>
      </c>
      <c r="CK25" t="e">
        <f t="shared" ca="1" si="18"/>
        <v>#REF!</v>
      </c>
      <c r="CL25" t="e">
        <f t="shared" ca="1" si="18"/>
        <v>#REF!</v>
      </c>
      <c r="CM25" t="e">
        <f t="shared" ca="1" si="18"/>
        <v>#REF!</v>
      </c>
      <c r="CN25" t="e">
        <f t="shared" ca="1" si="18"/>
        <v>#REF!</v>
      </c>
      <c r="CO25" t="e">
        <f t="shared" ca="1" si="18"/>
        <v>#REF!</v>
      </c>
      <c r="CP25" t="e">
        <f t="shared" ca="1" si="18"/>
        <v>#REF!</v>
      </c>
      <c r="CQ25" t="e">
        <f t="shared" ca="1" si="18"/>
        <v>#REF!</v>
      </c>
      <c r="CR25" t="e">
        <f t="shared" ca="1" si="18"/>
        <v>#REF!</v>
      </c>
      <c r="CS25" t="e">
        <f t="shared" ca="1" si="18"/>
        <v>#REF!</v>
      </c>
      <c r="CT25" t="e">
        <f t="shared" ca="1" si="18"/>
        <v>#REF!</v>
      </c>
      <c r="CU25" t="e">
        <f t="shared" ca="1" si="18"/>
        <v>#REF!</v>
      </c>
      <c r="CV25" t="e">
        <f t="shared" ca="1" si="19"/>
        <v>#REF!</v>
      </c>
      <c r="CW25" t="e">
        <f t="shared" ca="1" si="19"/>
        <v>#REF!</v>
      </c>
      <c r="CX25" t="e">
        <f t="shared" ca="1" si="19"/>
        <v>#REF!</v>
      </c>
      <c r="CY25" t="e">
        <f t="shared" ca="1" si="19"/>
        <v>#REF!</v>
      </c>
      <c r="CZ25" s="44" t="e">
        <f t="shared" ca="1" si="19"/>
        <v>#REF!</v>
      </c>
      <c r="DA25" s="44" t="e">
        <f t="shared" ca="1" si="19"/>
        <v>#REF!</v>
      </c>
      <c r="DB25" s="44" t="e">
        <f t="shared" ca="1" si="19"/>
        <v>#REF!</v>
      </c>
      <c r="DC25" s="44" t="e">
        <f t="shared" ca="1" si="19"/>
        <v>#REF!</v>
      </c>
      <c r="DD25" s="44" t="e">
        <f t="shared" ca="1" si="19"/>
        <v>#REF!</v>
      </c>
      <c r="DE25" s="44" t="e">
        <f t="shared" ca="1" si="19"/>
        <v>#REF!</v>
      </c>
      <c r="DF25" s="44" t="e">
        <f t="shared" ca="1" si="19"/>
        <v>#REF!</v>
      </c>
      <c r="DG25" s="44" t="e">
        <f t="shared" ca="1" si="19"/>
        <v>#REF!</v>
      </c>
      <c r="DH25" s="44" t="e">
        <f t="shared" ca="1" si="19"/>
        <v>#REF!</v>
      </c>
      <c r="DI25" s="44" t="e">
        <f t="shared" ca="1" si="19"/>
        <v>#REF!</v>
      </c>
      <c r="DJ25" s="44" t="e">
        <f t="shared" ca="1" si="19"/>
        <v>#REF!</v>
      </c>
      <c r="DK25" s="44" t="e">
        <f t="shared" ca="1" si="19"/>
        <v>#REF!</v>
      </c>
      <c r="DL25" s="44" t="e">
        <f t="shared" ca="1" si="20"/>
        <v>#REF!</v>
      </c>
      <c r="DM25" s="44" t="e">
        <f t="shared" ca="1" si="20"/>
        <v>#REF!</v>
      </c>
      <c r="DN25" s="44" t="e">
        <f t="shared" ca="1" si="20"/>
        <v>#REF!</v>
      </c>
      <c r="DO25" s="44" t="e">
        <f t="shared" ca="1" si="20"/>
        <v>#REF!</v>
      </c>
      <c r="DP25" s="44" t="e">
        <f t="shared" ca="1" si="20"/>
        <v>#REF!</v>
      </c>
      <c r="DQ25" s="44" t="e">
        <f t="shared" ca="1" si="20"/>
        <v>#REF!</v>
      </c>
      <c r="DR25" s="44" t="e">
        <f t="shared" ca="1" si="20"/>
        <v>#REF!</v>
      </c>
      <c r="DS25" t="e">
        <f t="shared" ca="1" si="20"/>
        <v>#REF!</v>
      </c>
      <c r="DT25" t="e">
        <f t="shared" ca="1" si="20"/>
        <v>#REF!</v>
      </c>
      <c r="DU25" t="e">
        <f t="shared" ca="1" si="20"/>
        <v>#REF!</v>
      </c>
      <c r="DV25" t="e">
        <f t="shared" ca="1" si="20"/>
        <v>#REF!</v>
      </c>
      <c r="DW25" t="e">
        <f t="shared" ca="1" si="20"/>
        <v>#REF!</v>
      </c>
      <c r="DX25" t="e">
        <f t="shared" ca="1" si="20"/>
        <v>#REF!</v>
      </c>
      <c r="DY25" t="e">
        <f t="shared" ca="1" si="20"/>
        <v>#REF!</v>
      </c>
      <c r="DZ25" t="e">
        <f t="shared" ca="1" si="20"/>
        <v>#REF!</v>
      </c>
      <c r="EA25" t="e">
        <f t="shared" ca="1" si="20"/>
        <v>#REF!</v>
      </c>
      <c r="EB25" t="e">
        <f t="shared" ca="1" si="21"/>
        <v>#REF!</v>
      </c>
      <c r="EC25" t="e">
        <f t="shared" ca="1" si="21"/>
        <v>#REF!</v>
      </c>
      <c r="ED25" t="e">
        <f t="shared" ca="1" si="21"/>
        <v>#REF!</v>
      </c>
      <c r="EE25" t="e">
        <f t="shared" ca="1" si="21"/>
        <v>#REF!</v>
      </c>
      <c r="EF25" t="e">
        <f t="shared" ca="1" si="21"/>
        <v>#REF!</v>
      </c>
      <c r="EG25" t="e">
        <f t="shared" ca="1" si="21"/>
        <v>#REF!</v>
      </c>
      <c r="EH25" t="e">
        <f t="shared" ca="1" si="21"/>
        <v>#REF!</v>
      </c>
      <c r="EI25" t="e">
        <f t="shared" ca="1" si="21"/>
        <v>#REF!</v>
      </c>
      <c r="EJ25" t="e">
        <f t="shared" ca="1" si="21"/>
        <v>#REF!</v>
      </c>
      <c r="EK25" s="44" t="e">
        <f t="shared" ca="1" si="21"/>
        <v>#REF!</v>
      </c>
      <c r="EL25" s="44" t="e">
        <f t="shared" ca="1" si="21"/>
        <v>#REF!</v>
      </c>
      <c r="EM25" s="44" t="e">
        <f t="shared" ca="1" si="21"/>
        <v>#REF!</v>
      </c>
      <c r="EN25" s="44" t="e">
        <f t="shared" ca="1" si="21"/>
        <v>#REF!</v>
      </c>
      <c r="EO25" s="44" t="e">
        <f t="shared" ca="1" si="21"/>
        <v>#REF!</v>
      </c>
      <c r="EP25" s="44" t="e">
        <f t="shared" ca="1" si="21"/>
        <v>#REF!</v>
      </c>
      <c r="EQ25" s="44" t="e">
        <f t="shared" ca="1" si="21"/>
        <v>#REF!</v>
      </c>
      <c r="ER25" s="44" t="e">
        <f t="shared" ca="1" si="22"/>
        <v>#REF!</v>
      </c>
      <c r="ES25" s="44" t="e">
        <f t="shared" ca="1" si="22"/>
        <v>#REF!</v>
      </c>
      <c r="ET25" s="44" t="e">
        <f t="shared" ca="1" si="22"/>
        <v>#REF!</v>
      </c>
      <c r="EU25" s="44" t="e">
        <f t="shared" ca="1" si="22"/>
        <v>#REF!</v>
      </c>
      <c r="EV25" s="44" t="e">
        <f t="shared" ca="1" si="22"/>
        <v>#REF!</v>
      </c>
      <c r="EW25" s="44" t="e">
        <f t="shared" ca="1" si="22"/>
        <v>#REF!</v>
      </c>
      <c r="EX25" s="44" t="e">
        <f t="shared" ca="1" si="22"/>
        <v>#REF!</v>
      </c>
      <c r="EY25" s="44" t="e">
        <f t="shared" ca="1" si="22"/>
        <v>#REF!</v>
      </c>
      <c r="EZ25" s="44" t="e">
        <f t="shared" ca="1" si="22"/>
        <v>#REF!</v>
      </c>
      <c r="FA25" s="44" t="e">
        <f t="shared" ca="1" si="22"/>
        <v>#REF!</v>
      </c>
      <c r="FB25" s="44" t="e">
        <f t="shared" ca="1" si="22"/>
        <v>#REF!</v>
      </c>
      <c r="FC25" s="56" t="e">
        <f t="shared" ca="1" si="22"/>
        <v>#REF!</v>
      </c>
      <c r="FD25" t="e">
        <f t="shared" ca="1" si="22"/>
        <v>#REF!</v>
      </c>
      <c r="FE25" t="e">
        <f t="shared" ca="1" si="22"/>
        <v>#REF!</v>
      </c>
      <c r="FF25" t="e">
        <f t="shared" ca="1" si="22"/>
        <v>#REF!</v>
      </c>
      <c r="FG25" t="e">
        <f t="shared" ca="1" si="22"/>
        <v>#REF!</v>
      </c>
      <c r="FH25" t="e">
        <f t="shared" ca="1" si="23"/>
        <v>#REF!</v>
      </c>
      <c r="FI25" t="e">
        <f t="shared" ca="1" si="23"/>
        <v>#REF!</v>
      </c>
      <c r="FJ25" t="e">
        <f t="shared" ca="1" si="23"/>
        <v>#REF!</v>
      </c>
      <c r="FK25" t="e">
        <f t="shared" ca="1" si="23"/>
        <v>#REF!</v>
      </c>
      <c r="FL25" t="e">
        <f t="shared" ca="1" si="23"/>
        <v>#REF!</v>
      </c>
      <c r="FM25" t="e">
        <f t="shared" ca="1" si="23"/>
        <v>#REF!</v>
      </c>
      <c r="FN25" t="e">
        <f t="shared" ca="1" si="23"/>
        <v>#REF!</v>
      </c>
      <c r="FO25" t="e">
        <f t="shared" ca="1" si="23"/>
        <v>#REF!</v>
      </c>
      <c r="FP25" t="e">
        <f t="shared" ca="1" si="23"/>
        <v>#REF!</v>
      </c>
      <c r="FQ25" t="e">
        <f t="shared" ca="1" si="23"/>
        <v>#REF!</v>
      </c>
      <c r="FR25" t="e">
        <f t="shared" ca="1" si="23"/>
        <v>#REF!</v>
      </c>
      <c r="FS25" t="e">
        <f t="shared" ca="1" si="23"/>
        <v>#REF!</v>
      </c>
      <c r="FT25" t="e">
        <f t="shared" ca="1" si="23"/>
        <v>#REF!</v>
      </c>
    </row>
    <row r="26" spans="1:176" ht="15" x14ac:dyDescent="0.25">
      <c r="A26" s="240">
        <v>269</v>
      </c>
      <c r="B26" t="e">
        <f t="shared" ca="1" si="25"/>
        <v>#REF!</v>
      </c>
      <c r="C26" t="e">
        <f t="shared" ca="1" si="25"/>
        <v>#REF!</v>
      </c>
      <c r="D26" t="e">
        <f t="shared" ca="1" si="25"/>
        <v>#REF!</v>
      </c>
      <c r="E26" t="e">
        <f t="shared" ca="1" si="25"/>
        <v>#REF!</v>
      </c>
      <c r="F26" t="e">
        <f t="shared" ca="1" si="13"/>
        <v>#REF!</v>
      </c>
      <c r="G26" t="e">
        <f t="shared" ca="1" si="13"/>
        <v>#REF!</v>
      </c>
      <c r="H26" t="e">
        <f t="shared" ca="1" si="13"/>
        <v>#REF!</v>
      </c>
      <c r="I26" t="e">
        <f t="shared" ca="1" si="25"/>
        <v>#REF!</v>
      </c>
      <c r="J26" t="e">
        <f t="shared" ca="1" si="25"/>
        <v>#REF!</v>
      </c>
      <c r="K26" t="e">
        <f t="shared" ca="1" si="25"/>
        <v>#REF!</v>
      </c>
      <c r="L26" t="e">
        <f t="shared" ca="1" si="25"/>
        <v>#REF!</v>
      </c>
      <c r="M26" t="e">
        <f t="shared" ca="1" si="25"/>
        <v>#REF!</v>
      </c>
      <c r="N26" t="e">
        <f t="shared" ca="1" si="25"/>
        <v>#REF!</v>
      </c>
      <c r="O26" t="e">
        <f t="shared" ca="1" si="25"/>
        <v>#REF!</v>
      </c>
      <c r="P26" t="e">
        <f t="shared" ca="1" si="25"/>
        <v>#REF!</v>
      </c>
      <c r="Q26" t="e">
        <f t="shared" ca="1" si="25"/>
        <v>#REF!</v>
      </c>
      <c r="R26" t="e">
        <f t="shared" ca="1" si="25"/>
        <v>#REF!</v>
      </c>
      <c r="S26" t="e">
        <f t="shared" ca="1" si="25"/>
        <v>#REF!</v>
      </c>
      <c r="T26" t="e">
        <f t="shared" ca="1" si="14"/>
        <v>#REF!</v>
      </c>
      <c r="U26" t="e">
        <f t="shared" ca="1" si="14"/>
        <v>#REF!</v>
      </c>
      <c r="V26" t="e">
        <f t="shared" ca="1" si="14"/>
        <v>#REF!</v>
      </c>
      <c r="W26" t="e">
        <f t="shared" ca="1" si="14"/>
        <v>#REF!</v>
      </c>
      <c r="X26" t="e">
        <f t="shared" ca="1" si="14"/>
        <v>#REF!</v>
      </c>
      <c r="Y26" t="e">
        <f t="shared" ca="1" si="14"/>
        <v>#REF!</v>
      </c>
      <c r="Z26" t="e">
        <f t="shared" ca="1" si="14"/>
        <v>#REF!</v>
      </c>
      <c r="AA26" t="e">
        <f t="shared" ca="1" si="14"/>
        <v>#REF!</v>
      </c>
      <c r="AB26" s="44" t="e">
        <f t="shared" ca="1" si="14"/>
        <v>#REF!</v>
      </c>
      <c r="AC26" s="44" t="e">
        <f t="shared" ca="1" si="14"/>
        <v>#REF!</v>
      </c>
      <c r="AD26" s="44" t="e">
        <f t="shared" ca="1" si="14"/>
        <v>#REF!</v>
      </c>
      <c r="AE26" s="44" t="e">
        <f t="shared" ca="1" si="14"/>
        <v>#REF!</v>
      </c>
      <c r="AF26" s="44" t="e">
        <f t="shared" ca="1" si="14"/>
        <v>#REF!</v>
      </c>
      <c r="AG26" s="44" t="e">
        <f t="shared" ca="1" si="14"/>
        <v>#REF!</v>
      </c>
      <c r="AH26" s="44" t="e">
        <f t="shared" ca="1" si="14"/>
        <v>#REF!</v>
      </c>
      <c r="AI26" s="44" t="e">
        <f t="shared" ca="1" si="14"/>
        <v>#REF!</v>
      </c>
      <c r="AJ26" s="44" t="e">
        <f t="shared" ca="1" si="15"/>
        <v>#REF!</v>
      </c>
      <c r="AK26" s="44" t="e">
        <f t="shared" ca="1" si="15"/>
        <v>#REF!</v>
      </c>
      <c r="AL26" s="44" t="e">
        <f t="shared" ca="1" si="15"/>
        <v>#REF!</v>
      </c>
      <c r="AM26" s="44" t="e">
        <f t="shared" ca="1" si="15"/>
        <v>#REF!</v>
      </c>
      <c r="AN26" s="44" t="e">
        <f t="shared" ca="1" si="15"/>
        <v>#REF!</v>
      </c>
      <c r="AO26" s="44" t="e">
        <f t="shared" ca="1" si="15"/>
        <v>#REF!</v>
      </c>
      <c r="AP26" s="44" t="e">
        <f t="shared" ca="1" si="15"/>
        <v>#REF!</v>
      </c>
      <c r="AQ26" s="44" t="e">
        <f t="shared" ca="1" si="15"/>
        <v>#REF!</v>
      </c>
      <c r="AR26" s="44" t="e">
        <f t="shared" ca="1" si="15"/>
        <v>#REF!</v>
      </c>
      <c r="AS26" s="44" t="e">
        <f t="shared" ca="1" si="15"/>
        <v>#REF!</v>
      </c>
      <c r="AT26" s="44" t="e">
        <f t="shared" ca="1" si="15"/>
        <v>#REF!</v>
      </c>
      <c r="AU26" t="e">
        <f t="shared" ca="1" si="15"/>
        <v>#REF!</v>
      </c>
      <c r="AV26" t="e">
        <f t="shared" ca="1" si="15"/>
        <v>#REF!</v>
      </c>
      <c r="AW26" t="e">
        <f t="shared" ca="1" si="15"/>
        <v>#REF!</v>
      </c>
      <c r="AX26" t="e">
        <f t="shared" ca="1" si="15"/>
        <v>#REF!</v>
      </c>
      <c r="AY26" t="e">
        <f t="shared" ca="1" si="15"/>
        <v>#REF!</v>
      </c>
      <c r="AZ26" t="e">
        <f t="shared" ca="1" si="16"/>
        <v>#REF!</v>
      </c>
      <c r="BA26" t="e">
        <f t="shared" ca="1" si="16"/>
        <v>#REF!</v>
      </c>
      <c r="BB26" t="e">
        <f t="shared" ca="1" si="16"/>
        <v>#REF!</v>
      </c>
      <c r="BC26" t="e">
        <f t="shared" ca="1" si="16"/>
        <v>#REF!</v>
      </c>
      <c r="BD26" t="e">
        <f t="shared" ca="1" si="16"/>
        <v>#REF!</v>
      </c>
      <c r="BE26" t="e">
        <f t="shared" ca="1" si="16"/>
        <v>#REF!</v>
      </c>
      <c r="BF26" t="e">
        <f t="shared" ca="1" si="16"/>
        <v>#REF!</v>
      </c>
      <c r="BG26" t="e">
        <f t="shared" ca="1" si="16"/>
        <v>#REF!</v>
      </c>
      <c r="BH26" t="e">
        <f t="shared" ca="1" si="16"/>
        <v>#REF!</v>
      </c>
      <c r="BI26" t="e">
        <f t="shared" ca="1" si="16"/>
        <v>#REF!</v>
      </c>
      <c r="BJ26" t="e">
        <f t="shared" ca="1" si="16"/>
        <v>#REF!</v>
      </c>
      <c r="BK26" t="e">
        <f t="shared" ca="1" si="16"/>
        <v>#REF!</v>
      </c>
      <c r="BL26" t="e">
        <f t="shared" ca="1" si="16"/>
        <v>#REF!</v>
      </c>
      <c r="BM26" t="e">
        <f t="shared" ca="1" si="16"/>
        <v>#REF!</v>
      </c>
      <c r="BN26" s="44" t="e">
        <f t="shared" ca="1" si="16"/>
        <v>#REF!</v>
      </c>
      <c r="BO26" s="44" t="e">
        <f t="shared" ca="1" si="16"/>
        <v>#REF!</v>
      </c>
      <c r="BP26" s="44" t="e">
        <f t="shared" ca="1" si="17"/>
        <v>#REF!</v>
      </c>
      <c r="BQ26" s="44" t="e">
        <f t="shared" ca="1" si="17"/>
        <v>#REF!</v>
      </c>
      <c r="BR26" s="44" t="e">
        <f t="shared" ca="1" si="17"/>
        <v>#REF!</v>
      </c>
      <c r="BS26" s="44" t="e">
        <f t="shared" ca="1" si="17"/>
        <v>#REF!</v>
      </c>
      <c r="BT26" s="44" t="e">
        <f t="shared" ca="1" si="17"/>
        <v>#REF!</v>
      </c>
      <c r="BU26" s="44" t="e">
        <f t="shared" ca="1" si="17"/>
        <v>#REF!</v>
      </c>
      <c r="BV26" s="44" t="e">
        <f t="shared" ca="1" si="17"/>
        <v>#REF!</v>
      </c>
      <c r="BW26" s="44" t="e">
        <f t="shared" ca="1" si="17"/>
        <v>#REF!</v>
      </c>
      <c r="BX26" s="44" t="e">
        <f t="shared" ca="1" si="17"/>
        <v>#REF!</v>
      </c>
      <c r="BY26" s="44" t="e">
        <f t="shared" ca="1" si="17"/>
        <v>#REF!</v>
      </c>
      <c r="BZ26" s="44" t="e">
        <f t="shared" ca="1" si="17"/>
        <v>#REF!</v>
      </c>
      <c r="CA26" s="44" t="e">
        <f t="shared" ca="1" si="17"/>
        <v>#REF!</v>
      </c>
      <c r="CB26" s="44" t="e">
        <f t="shared" ca="1" si="17"/>
        <v>#REF!</v>
      </c>
      <c r="CC26" s="44" t="e">
        <f t="shared" ca="1" si="17"/>
        <v>#REF!</v>
      </c>
      <c r="CD26" s="44" t="e">
        <f t="shared" ca="1" si="17"/>
        <v>#REF!</v>
      </c>
      <c r="CE26" s="44" t="e">
        <f t="shared" ca="1" si="17"/>
        <v>#REF!</v>
      </c>
      <c r="CF26" s="44" t="e">
        <f t="shared" ca="1" si="18"/>
        <v>#REF!</v>
      </c>
      <c r="CG26" t="e">
        <f t="shared" ca="1" si="18"/>
        <v>#REF!</v>
      </c>
      <c r="CH26" t="e">
        <f t="shared" ca="1" si="18"/>
        <v>#REF!</v>
      </c>
      <c r="CI26" t="e">
        <f t="shared" ca="1" si="18"/>
        <v>#REF!</v>
      </c>
      <c r="CJ26" t="e">
        <f t="shared" ca="1" si="18"/>
        <v>#REF!</v>
      </c>
      <c r="CK26" t="e">
        <f t="shared" ca="1" si="18"/>
        <v>#REF!</v>
      </c>
      <c r="CL26" t="e">
        <f t="shared" ca="1" si="18"/>
        <v>#REF!</v>
      </c>
      <c r="CM26" t="e">
        <f t="shared" ca="1" si="18"/>
        <v>#REF!</v>
      </c>
      <c r="CN26" t="e">
        <f t="shared" ca="1" si="18"/>
        <v>#REF!</v>
      </c>
      <c r="CO26" t="e">
        <f t="shared" ca="1" si="18"/>
        <v>#REF!</v>
      </c>
      <c r="CP26" t="e">
        <f t="shared" ca="1" si="18"/>
        <v>#REF!</v>
      </c>
      <c r="CQ26" t="e">
        <f t="shared" ca="1" si="18"/>
        <v>#REF!</v>
      </c>
      <c r="CR26" t="e">
        <f t="shared" ca="1" si="18"/>
        <v>#REF!</v>
      </c>
      <c r="CS26" t="e">
        <f t="shared" ca="1" si="18"/>
        <v>#REF!</v>
      </c>
      <c r="CT26" t="e">
        <f t="shared" ca="1" si="18"/>
        <v>#REF!</v>
      </c>
      <c r="CU26" t="e">
        <f t="shared" ca="1" si="18"/>
        <v>#REF!</v>
      </c>
      <c r="CV26" t="e">
        <f t="shared" ca="1" si="19"/>
        <v>#REF!</v>
      </c>
      <c r="CW26" t="e">
        <f t="shared" ca="1" si="19"/>
        <v>#REF!</v>
      </c>
      <c r="CX26" t="e">
        <f t="shared" ca="1" si="19"/>
        <v>#REF!</v>
      </c>
      <c r="CY26" t="e">
        <f t="shared" ca="1" si="19"/>
        <v>#REF!</v>
      </c>
      <c r="CZ26" s="44" t="e">
        <f t="shared" ca="1" si="19"/>
        <v>#REF!</v>
      </c>
      <c r="DA26" s="44" t="e">
        <f t="shared" ca="1" si="19"/>
        <v>#REF!</v>
      </c>
      <c r="DB26" s="44" t="e">
        <f t="shared" ca="1" si="19"/>
        <v>#REF!</v>
      </c>
      <c r="DC26" s="44" t="e">
        <f t="shared" ca="1" si="19"/>
        <v>#REF!</v>
      </c>
      <c r="DD26" s="44" t="e">
        <f t="shared" ca="1" si="19"/>
        <v>#REF!</v>
      </c>
      <c r="DE26" s="44" t="e">
        <f t="shared" ca="1" si="19"/>
        <v>#REF!</v>
      </c>
      <c r="DF26" s="44" t="e">
        <f t="shared" ca="1" si="19"/>
        <v>#REF!</v>
      </c>
      <c r="DG26" s="44" t="e">
        <f t="shared" ca="1" si="19"/>
        <v>#REF!</v>
      </c>
      <c r="DH26" s="44" t="e">
        <f t="shared" ca="1" si="19"/>
        <v>#REF!</v>
      </c>
      <c r="DI26" s="44" t="e">
        <f t="shared" ca="1" si="19"/>
        <v>#REF!</v>
      </c>
      <c r="DJ26" s="44" t="e">
        <f t="shared" ca="1" si="19"/>
        <v>#REF!</v>
      </c>
      <c r="DK26" s="44" t="e">
        <f t="shared" ca="1" si="19"/>
        <v>#REF!</v>
      </c>
      <c r="DL26" s="44" t="e">
        <f t="shared" ca="1" si="20"/>
        <v>#REF!</v>
      </c>
      <c r="DM26" s="44" t="e">
        <f t="shared" ca="1" si="20"/>
        <v>#REF!</v>
      </c>
      <c r="DN26" s="44" t="e">
        <f t="shared" ca="1" si="20"/>
        <v>#REF!</v>
      </c>
      <c r="DO26" s="44" t="e">
        <f t="shared" ca="1" si="20"/>
        <v>#REF!</v>
      </c>
      <c r="DP26" s="44" t="e">
        <f t="shared" ca="1" si="20"/>
        <v>#REF!</v>
      </c>
      <c r="DQ26" s="44" t="e">
        <f t="shared" ca="1" si="20"/>
        <v>#REF!</v>
      </c>
      <c r="DR26" s="44" t="e">
        <f t="shared" ca="1" si="20"/>
        <v>#REF!</v>
      </c>
      <c r="DS26" t="e">
        <f t="shared" ca="1" si="20"/>
        <v>#REF!</v>
      </c>
      <c r="DT26" t="e">
        <f t="shared" ca="1" si="20"/>
        <v>#REF!</v>
      </c>
      <c r="DU26" t="e">
        <f t="shared" ca="1" si="20"/>
        <v>#REF!</v>
      </c>
      <c r="DV26" t="e">
        <f t="shared" ca="1" si="20"/>
        <v>#REF!</v>
      </c>
      <c r="DW26" t="e">
        <f t="shared" ca="1" si="20"/>
        <v>#REF!</v>
      </c>
      <c r="DX26" t="e">
        <f t="shared" ca="1" si="20"/>
        <v>#REF!</v>
      </c>
      <c r="DY26" t="e">
        <f t="shared" ca="1" si="20"/>
        <v>#REF!</v>
      </c>
      <c r="DZ26" t="e">
        <f t="shared" ca="1" si="20"/>
        <v>#REF!</v>
      </c>
      <c r="EA26" t="e">
        <f t="shared" ca="1" si="20"/>
        <v>#REF!</v>
      </c>
      <c r="EB26" t="e">
        <f t="shared" ca="1" si="21"/>
        <v>#REF!</v>
      </c>
      <c r="EC26" t="e">
        <f t="shared" ca="1" si="21"/>
        <v>#REF!</v>
      </c>
      <c r="ED26" t="e">
        <f t="shared" ca="1" si="21"/>
        <v>#REF!</v>
      </c>
      <c r="EE26" t="e">
        <f t="shared" ca="1" si="21"/>
        <v>#REF!</v>
      </c>
      <c r="EF26" t="e">
        <f t="shared" ca="1" si="21"/>
        <v>#REF!</v>
      </c>
      <c r="EG26" t="e">
        <f t="shared" ca="1" si="21"/>
        <v>#REF!</v>
      </c>
      <c r="EH26" t="e">
        <f t="shared" ca="1" si="21"/>
        <v>#REF!</v>
      </c>
      <c r="EI26" t="e">
        <f t="shared" ca="1" si="21"/>
        <v>#REF!</v>
      </c>
      <c r="EJ26" t="e">
        <f t="shared" ca="1" si="21"/>
        <v>#REF!</v>
      </c>
      <c r="EK26" s="44" t="e">
        <f t="shared" ca="1" si="21"/>
        <v>#REF!</v>
      </c>
      <c r="EL26" s="44" t="e">
        <f t="shared" ca="1" si="21"/>
        <v>#REF!</v>
      </c>
      <c r="EM26" s="44" t="e">
        <f t="shared" ca="1" si="21"/>
        <v>#REF!</v>
      </c>
      <c r="EN26" s="44" t="e">
        <f t="shared" ca="1" si="21"/>
        <v>#REF!</v>
      </c>
      <c r="EO26" s="44" t="e">
        <f t="shared" ca="1" si="21"/>
        <v>#REF!</v>
      </c>
      <c r="EP26" s="44" t="e">
        <f t="shared" ca="1" si="21"/>
        <v>#REF!</v>
      </c>
      <c r="EQ26" s="44" t="e">
        <f t="shared" ca="1" si="21"/>
        <v>#REF!</v>
      </c>
      <c r="ER26" s="44" t="e">
        <f t="shared" ca="1" si="22"/>
        <v>#REF!</v>
      </c>
      <c r="ES26" s="44" t="e">
        <f t="shared" ca="1" si="22"/>
        <v>#REF!</v>
      </c>
      <c r="ET26" s="44" t="e">
        <f t="shared" ca="1" si="22"/>
        <v>#REF!</v>
      </c>
      <c r="EU26" s="44" t="e">
        <f t="shared" ca="1" si="22"/>
        <v>#REF!</v>
      </c>
      <c r="EV26" s="44" t="e">
        <f t="shared" ca="1" si="22"/>
        <v>#REF!</v>
      </c>
      <c r="EW26" s="44" t="e">
        <f t="shared" ca="1" si="22"/>
        <v>#REF!</v>
      </c>
      <c r="EX26" s="44" t="e">
        <f t="shared" ca="1" si="22"/>
        <v>#REF!</v>
      </c>
      <c r="EY26" s="44" t="e">
        <f t="shared" ca="1" si="22"/>
        <v>#REF!</v>
      </c>
      <c r="EZ26" s="44" t="e">
        <f t="shared" ca="1" si="22"/>
        <v>#REF!</v>
      </c>
      <c r="FA26" s="44" t="e">
        <f t="shared" ca="1" si="22"/>
        <v>#REF!</v>
      </c>
      <c r="FB26" s="44" t="e">
        <f t="shared" ca="1" si="22"/>
        <v>#REF!</v>
      </c>
      <c r="FC26" s="56" t="e">
        <f t="shared" ca="1" si="22"/>
        <v>#REF!</v>
      </c>
      <c r="FD26" t="e">
        <f t="shared" ca="1" si="22"/>
        <v>#REF!</v>
      </c>
      <c r="FE26" t="e">
        <f t="shared" ca="1" si="22"/>
        <v>#REF!</v>
      </c>
      <c r="FF26" t="e">
        <f t="shared" ca="1" si="22"/>
        <v>#REF!</v>
      </c>
      <c r="FG26" t="e">
        <f t="shared" ca="1" si="22"/>
        <v>#REF!</v>
      </c>
      <c r="FH26" t="e">
        <f t="shared" ca="1" si="23"/>
        <v>#REF!</v>
      </c>
      <c r="FI26" t="e">
        <f t="shared" ca="1" si="23"/>
        <v>#REF!</v>
      </c>
      <c r="FJ26" t="e">
        <f t="shared" ca="1" si="23"/>
        <v>#REF!</v>
      </c>
      <c r="FK26" t="e">
        <f t="shared" ca="1" si="23"/>
        <v>#REF!</v>
      </c>
      <c r="FL26" t="e">
        <f t="shared" ca="1" si="23"/>
        <v>#REF!</v>
      </c>
      <c r="FM26" t="e">
        <f t="shared" ca="1" si="23"/>
        <v>#REF!</v>
      </c>
      <c r="FN26" t="e">
        <f t="shared" ca="1" si="23"/>
        <v>#REF!</v>
      </c>
      <c r="FO26" t="e">
        <f t="shared" ca="1" si="23"/>
        <v>#REF!</v>
      </c>
      <c r="FP26" t="e">
        <f t="shared" ca="1" si="23"/>
        <v>#REF!</v>
      </c>
      <c r="FQ26" t="e">
        <f t="shared" ca="1" si="23"/>
        <v>#REF!</v>
      </c>
      <c r="FR26" t="e">
        <f t="shared" ca="1" si="23"/>
        <v>#REF!</v>
      </c>
      <c r="FS26" t="e">
        <f t="shared" ca="1" si="23"/>
        <v>#REF!</v>
      </c>
      <c r="FT26" t="e">
        <f t="shared" ca="1" si="23"/>
        <v>#REF!</v>
      </c>
    </row>
    <row r="27" spans="1:176" ht="15" x14ac:dyDescent="0.25">
      <c r="A27" s="240">
        <v>187</v>
      </c>
      <c r="B27" t="str">
        <f t="shared" ca="1" si="25"/>
        <v>Additive Manufacturing in Wind Turbine Components and Tooling</v>
      </c>
      <c r="C27" t="str">
        <f t="shared" ca="1" si="25"/>
        <v>187</v>
      </c>
      <c r="D27" t="str">
        <f t="shared" ca="1" si="25"/>
        <v>Mike Kelly</v>
      </c>
      <c r="E27" t="str">
        <f t="shared" ca="1" si="25"/>
        <v>Brian Post</v>
      </c>
      <c r="F27" t="str">
        <f t="shared" ca="1" si="13"/>
        <v>ORNL</v>
      </c>
      <c r="G27" t="str">
        <f t="shared" ca="1" si="13"/>
        <v/>
      </c>
      <c r="H27" t="str">
        <f t="shared" ca="1" si="13"/>
        <v>Conflict Note: Replace this text with conflict notes if desired.</v>
      </c>
      <c r="I27">
        <f t="shared" ca="1" si="25"/>
        <v>4.5</v>
      </c>
      <c r="J27" t="str">
        <f t="shared" ca="1" si="25"/>
        <v/>
      </c>
      <c r="K27" t="str">
        <f t="shared" ca="1" si="25"/>
        <v>Impressive innovation and advancement of developing technology.</v>
      </c>
      <c r="L27" t="str">
        <f t="shared" ca="1" si="25"/>
        <v/>
      </c>
      <c r="M27" t="str">
        <f t="shared" ca="1" si="25"/>
        <v/>
      </c>
      <c r="N27" t="str">
        <f t="shared" ca="1" si="25"/>
        <v/>
      </c>
      <c r="O27" t="str">
        <f t="shared" ca="1" si="25"/>
        <v/>
      </c>
      <c r="P27" t="str">
        <f t="shared" ca="1" si="25"/>
        <v/>
      </c>
      <c r="Q27" t="str">
        <f t="shared" ca="1" si="25"/>
        <v/>
      </c>
      <c r="R27" t="str">
        <f t="shared" ca="1" si="25"/>
        <v/>
      </c>
      <c r="S27" t="str">
        <f t="shared" ca="1" si="25"/>
        <v/>
      </c>
      <c r="T27" t="str">
        <f t="shared" ca="1" si="14"/>
        <v/>
      </c>
      <c r="U27" t="str">
        <f t="shared" ca="1" si="14"/>
        <v/>
      </c>
      <c r="V27" t="str">
        <f t="shared" ca="1" si="14"/>
        <v/>
      </c>
      <c r="W27" t="str">
        <f t="shared" ca="1" si="14"/>
        <v/>
      </c>
      <c r="X27" t="str">
        <f t="shared" ca="1" si="14"/>
        <v/>
      </c>
      <c r="Y27" t="str">
        <f t="shared" ca="1" si="14"/>
        <v/>
      </c>
      <c r="Z27" t="str">
        <f t="shared" ca="1" si="14"/>
        <v/>
      </c>
      <c r="AA27" t="str">
        <f t="shared" ca="1" si="14"/>
        <v/>
      </c>
      <c r="AB27" s="44">
        <f t="shared" ca="1" si="14"/>
        <v>4.7</v>
      </c>
      <c r="AC27" s="44" t="str">
        <f t="shared" ca="1" si="14"/>
        <v/>
      </c>
      <c r="AD27" s="44" t="str">
        <f t="shared" ca="1" si="14"/>
        <v>Solid approach to understanding industry needs/opportunities</v>
      </c>
      <c r="AE27" s="44" t="str">
        <f t="shared" ca="1" si="14"/>
        <v/>
      </c>
      <c r="AF27" s="44" t="str">
        <f t="shared" ca="1" si="14"/>
        <v/>
      </c>
      <c r="AG27" s="44" t="str">
        <f t="shared" ca="1" si="14"/>
        <v>Process is multi-step, mold part initiall manufactured and they requires subsequent fiberglassing and machining to be usable.</v>
      </c>
      <c r="AH27" s="44" t="str">
        <f t="shared" ca="1" si="14"/>
        <v/>
      </c>
      <c r="AI27" s="44" t="str">
        <f t="shared" ca="1" si="14"/>
        <v/>
      </c>
      <c r="AJ27" s="44" t="str">
        <f t="shared" ca="1" si="15"/>
        <v xml:space="preserve">Much potential, can be used for site,near-site mfg'g.  Material 30% and machine time 30% and are related. Glass vs. carbon fiber material.  </v>
      </c>
      <c r="AK27" s="44" t="str">
        <f t="shared" ca="1" si="15"/>
        <v/>
      </c>
      <c r="AL27" s="44" t="str">
        <f t="shared" ca="1" si="15"/>
        <v/>
      </c>
      <c r="AM27" s="44" t="str">
        <f t="shared" ca="1" si="15"/>
        <v xml:space="preserve">Originally cost effectiveness not a priority but part of next steps.  What about just printing blades directly vs. indirection through mold mfg'g.  Big design challenge with material orientation.  Can control metal rate of cooling to effect grain orientation.  </v>
      </c>
      <c r="AN27" s="44" t="str">
        <f t="shared" ca="1" si="15"/>
        <v/>
      </c>
      <c r="AO27" s="44" t="str">
        <f t="shared" ca="1" si="15"/>
        <v/>
      </c>
      <c r="AP27" s="44" t="str">
        <f t="shared" ca="1" si="15"/>
        <v/>
      </c>
      <c r="AQ27" s="44" t="str">
        <f t="shared" ca="1" si="15"/>
        <v/>
      </c>
      <c r="AR27" s="44" t="str">
        <f t="shared" ca="1" si="15"/>
        <v/>
      </c>
      <c r="AS27" s="44" t="str">
        <f t="shared" ca="1" si="15"/>
        <v/>
      </c>
      <c r="AT27" s="44" t="str">
        <f t="shared" ca="1" si="15"/>
        <v/>
      </c>
      <c r="AU27">
        <f t="shared" ca="1" si="15"/>
        <v>4.5</v>
      </c>
      <c r="AV27" t="str">
        <f t="shared" ca="1" si="15"/>
        <v/>
      </c>
      <c r="AW27" t="str">
        <f t="shared" ca="1" si="15"/>
        <v>Continuous development/improvement/scaling.  Blades currently being made by TPI.</v>
      </c>
      <c r="AX27" t="str">
        <f t="shared" ca="1" si="15"/>
        <v/>
      </c>
      <c r="AY27" t="str">
        <f t="shared" ca="1" si="15"/>
        <v/>
      </c>
      <c r="AZ27" t="str">
        <f t="shared" ca="1" si="16"/>
        <v/>
      </c>
      <c r="BA27" t="str">
        <f t="shared" ca="1" si="16"/>
        <v/>
      </c>
      <c r="BB27" t="str">
        <f t="shared" ca="1" si="16"/>
        <v/>
      </c>
      <c r="BC27" t="str">
        <f t="shared" ca="1" si="16"/>
        <v/>
      </c>
      <c r="BD27" t="str">
        <f t="shared" ca="1" si="16"/>
        <v/>
      </c>
      <c r="BE27" t="str">
        <f t="shared" ca="1" si="16"/>
        <v/>
      </c>
      <c r="BF27" t="str">
        <f t="shared" ca="1" si="16"/>
        <v/>
      </c>
      <c r="BG27" t="str">
        <f t="shared" ca="1" si="16"/>
        <v/>
      </c>
      <c r="BH27" t="str">
        <f t="shared" ca="1" si="16"/>
        <v/>
      </c>
      <c r="BI27" t="str">
        <f t="shared" ca="1" si="16"/>
        <v/>
      </c>
      <c r="BJ27" t="str">
        <f t="shared" ca="1" si="16"/>
        <v/>
      </c>
      <c r="BK27" t="str">
        <f t="shared" ca="1" si="16"/>
        <v/>
      </c>
      <c r="BL27" t="str">
        <f t="shared" ca="1" si="16"/>
        <v/>
      </c>
      <c r="BM27" t="str">
        <f t="shared" ca="1" si="16"/>
        <v/>
      </c>
      <c r="BN27" s="44">
        <f t="shared" ca="1" si="16"/>
        <v>4</v>
      </c>
      <c r="BO27" s="44" t="str">
        <f t="shared" ca="1" si="16"/>
        <v/>
      </c>
      <c r="BP27" s="44" t="str">
        <f t="shared" ca="1" si="17"/>
        <v>The project's success to date, as clearly indicated by actual industry deployment, speaks fo being well managed</v>
      </c>
      <c r="BQ27" s="44" t="str">
        <f t="shared" ca="1" si="17"/>
        <v/>
      </c>
      <c r="BR27" s="44" t="str">
        <f t="shared" ca="1" si="17"/>
        <v/>
      </c>
      <c r="BS27" s="44" t="str">
        <f t="shared" ca="1" si="17"/>
        <v/>
      </c>
      <c r="BT27" s="44" t="str">
        <f t="shared" ca="1" si="17"/>
        <v/>
      </c>
      <c r="BU27" s="44" t="str">
        <f t="shared" ca="1" si="17"/>
        <v/>
      </c>
      <c r="BV27" s="44" t="str">
        <f t="shared" ca="1" si="17"/>
        <v/>
      </c>
      <c r="BW27" s="44" t="str">
        <f t="shared" ca="1" si="17"/>
        <v/>
      </c>
      <c r="BX27" s="44" t="str">
        <f t="shared" ca="1" si="17"/>
        <v/>
      </c>
      <c r="BY27" s="44" t="str">
        <f t="shared" ca="1" si="17"/>
        <v/>
      </c>
      <c r="BZ27" s="44" t="str">
        <f t="shared" ca="1" si="17"/>
        <v/>
      </c>
      <c r="CA27" s="44" t="str">
        <f t="shared" ca="1" si="17"/>
        <v/>
      </c>
      <c r="CB27" s="44" t="str">
        <f t="shared" ca="1" si="17"/>
        <v/>
      </c>
      <c r="CC27" s="44" t="str">
        <f t="shared" ca="1" si="17"/>
        <v/>
      </c>
      <c r="CD27" s="44" t="str">
        <f t="shared" ca="1" si="17"/>
        <v/>
      </c>
      <c r="CE27" s="44" t="str">
        <f t="shared" ca="1" si="17"/>
        <v/>
      </c>
      <c r="CF27" s="44" t="str">
        <f t="shared" ca="1" si="18"/>
        <v/>
      </c>
      <c r="CG27">
        <f t="shared" ca="1" si="18"/>
        <v>4.5</v>
      </c>
      <c r="CH27" t="str">
        <f t="shared" ca="1" si="18"/>
        <v/>
      </c>
      <c r="CI27" t="str">
        <f t="shared" ca="1" si="18"/>
        <v/>
      </c>
      <c r="CJ27" t="str">
        <f t="shared" ca="1" si="18"/>
        <v/>
      </c>
      <c r="CK27" t="str">
        <f t="shared" ca="1" si="18"/>
        <v/>
      </c>
      <c r="CL27" t="str">
        <f t="shared" ca="1" si="18"/>
        <v/>
      </c>
      <c r="CM27" t="str">
        <f t="shared" ca="1" si="18"/>
        <v/>
      </c>
      <c r="CN27" t="str">
        <f t="shared" ca="1" si="18"/>
        <v/>
      </c>
      <c r="CO27" t="str">
        <f t="shared" ca="1" si="18"/>
        <v/>
      </c>
      <c r="CP27" t="str">
        <f t="shared" ca="1" si="18"/>
        <v/>
      </c>
      <c r="CQ27" t="str">
        <f t="shared" ca="1" si="18"/>
        <v/>
      </c>
      <c r="CR27" t="str">
        <f t="shared" ca="1" si="18"/>
        <v/>
      </c>
      <c r="CS27" t="str">
        <f t="shared" ca="1" si="18"/>
        <v/>
      </c>
      <c r="CT27" t="str">
        <f t="shared" ca="1" si="18"/>
        <v/>
      </c>
      <c r="CU27" t="str">
        <f t="shared" ca="1" si="18"/>
        <v/>
      </c>
      <c r="CV27" t="str">
        <f t="shared" ca="1" si="19"/>
        <v/>
      </c>
      <c r="CW27" t="str">
        <f t="shared" ca="1" si="19"/>
        <v/>
      </c>
      <c r="CX27" t="str">
        <f t="shared" ca="1" si="19"/>
        <v/>
      </c>
      <c r="CY27" t="str">
        <f t="shared" ca="1" si="19"/>
        <v/>
      </c>
      <c r="CZ27" s="44">
        <f t="shared" ca="1" si="19"/>
        <v>4.8</v>
      </c>
      <c r="DA27" s="44" t="str">
        <f t="shared" ca="1" si="19"/>
        <v/>
      </c>
      <c r="DB27" s="44" t="str">
        <f t="shared" ca="1" si="19"/>
        <v/>
      </c>
      <c r="DC27" s="44" t="str">
        <f t="shared" ca="1" si="19"/>
        <v/>
      </c>
      <c r="DD27" s="44" t="str">
        <f t="shared" ca="1" si="19"/>
        <v/>
      </c>
      <c r="DE27" s="44" t="str">
        <f t="shared" ca="1" si="19"/>
        <v/>
      </c>
      <c r="DF27" s="44" t="str">
        <f t="shared" ca="1" si="19"/>
        <v/>
      </c>
      <c r="DG27" s="44" t="str">
        <f t="shared" ca="1" si="19"/>
        <v/>
      </c>
      <c r="DH27" s="44" t="str">
        <f t="shared" ca="1" si="19"/>
        <v/>
      </c>
      <c r="DI27" s="44" t="str">
        <f t="shared" ca="1" si="19"/>
        <v/>
      </c>
      <c r="DJ27" s="44" t="str">
        <f t="shared" ca="1" si="19"/>
        <v/>
      </c>
      <c r="DK27" s="44" t="str">
        <f t="shared" ca="1" si="19"/>
        <v/>
      </c>
      <c r="DL27" s="44" t="str">
        <f t="shared" ca="1" si="20"/>
        <v/>
      </c>
      <c r="DM27" s="44" t="str">
        <f t="shared" ca="1" si="20"/>
        <v/>
      </c>
      <c r="DN27" s="44" t="str">
        <f t="shared" ca="1" si="20"/>
        <v/>
      </c>
      <c r="DO27" s="44" t="str">
        <f t="shared" ca="1" si="20"/>
        <v/>
      </c>
      <c r="DP27" s="44" t="str">
        <f t="shared" ca="1" si="20"/>
        <v/>
      </c>
      <c r="DQ27" s="44" t="str">
        <f t="shared" ca="1" si="20"/>
        <v/>
      </c>
      <c r="DR27" s="44" t="str">
        <f t="shared" ca="1" si="20"/>
        <v/>
      </c>
      <c r="DS27" t="str">
        <f t="shared" ca="1" si="20"/>
        <v/>
      </c>
      <c r="DT27" t="str">
        <f t="shared" ca="1" si="20"/>
        <v/>
      </c>
      <c r="DU27" t="str">
        <f t="shared" ca="1" si="20"/>
        <v/>
      </c>
      <c r="DV27" t="str">
        <f t="shared" ca="1" si="20"/>
        <v/>
      </c>
      <c r="DW27" t="str">
        <f t="shared" ca="1" si="20"/>
        <v>Clear industry value-add opportunity.</v>
      </c>
      <c r="DX27" t="str">
        <f t="shared" ca="1" si="20"/>
        <v/>
      </c>
      <c r="DY27" t="str">
        <f t="shared" ca="1" si="20"/>
        <v/>
      </c>
      <c r="DZ27" t="str">
        <f t="shared" ca="1" si="20"/>
        <v>Further opportunities for incremental value-add improvements exist.</v>
      </c>
      <c r="EA27" t="str">
        <f t="shared" ca="1" si="20"/>
        <v/>
      </c>
      <c r="EB27" t="str">
        <f t="shared" ca="1" si="21"/>
        <v/>
      </c>
      <c r="EC27" t="str">
        <f t="shared" ca="1" si="21"/>
        <v/>
      </c>
      <c r="ED27" t="str">
        <f t="shared" ca="1" si="21"/>
        <v/>
      </c>
      <c r="EE27" t="str">
        <f t="shared" ca="1" si="21"/>
        <v/>
      </c>
      <c r="EF27" t="str">
        <f t="shared" ca="1" si="21"/>
        <v/>
      </c>
      <c r="EG27" t="str">
        <f t="shared" ca="1" si="21"/>
        <v/>
      </c>
      <c r="EH27" t="str">
        <f t="shared" ca="1" si="21"/>
        <v/>
      </c>
      <c r="EI27" t="str">
        <f t="shared" ca="1" si="21"/>
        <v/>
      </c>
      <c r="EJ27" t="str">
        <f t="shared" ca="1" si="21"/>
        <v/>
      </c>
      <c r="EK27" s="44" t="str">
        <f t="shared" ca="1" si="21"/>
        <v/>
      </c>
      <c r="EL27" s="44" t="str">
        <f t="shared" ca="1" si="21"/>
        <v xml:space="preserve">No weaknesses detected beyond normal uncertainties.    </v>
      </c>
      <c r="EM27" s="44" t="str">
        <f t="shared" ca="1" si="21"/>
        <v/>
      </c>
      <c r="EN27" s="44" t="str">
        <f t="shared" ca="1" si="21"/>
        <v/>
      </c>
      <c r="EO27" s="44" t="str">
        <f t="shared" ca="1" si="21"/>
        <v/>
      </c>
      <c r="EP27" s="44" t="str">
        <f t="shared" ca="1" si="21"/>
        <v/>
      </c>
      <c r="EQ27" s="44" t="str">
        <f t="shared" ca="1" si="21"/>
        <v/>
      </c>
      <c r="ER27" s="44" t="str">
        <f t="shared" ca="1" si="22"/>
        <v/>
      </c>
      <c r="ES27" s="44" t="str">
        <f t="shared" ca="1" si="22"/>
        <v/>
      </c>
      <c r="ET27" s="44" t="str">
        <f t="shared" ca="1" si="22"/>
        <v/>
      </c>
      <c r="EU27" s="44" t="str">
        <f t="shared" ca="1" si="22"/>
        <v/>
      </c>
      <c r="EV27" s="44" t="str">
        <f t="shared" ca="1" si="22"/>
        <v/>
      </c>
      <c r="EW27" s="44" t="str">
        <f t="shared" ca="1" si="22"/>
        <v/>
      </c>
      <c r="EX27" s="44" t="str">
        <f t="shared" ca="1" si="22"/>
        <v/>
      </c>
      <c r="EY27" s="44" t="str">
        <f t="shared" ca="1" si="22"/>
        <v/>
      </c>
      <c r="EZ27" s="44" t="str">
        <f t="shared" ca="1" si="22"/>
        <v/>
      </c>
      <c r="FA27" s="44" t="str">
        <f t="shared" ca="1" si="22"/>
        <v/>
      </c>
      <c r="FB27" s="44" t="str">
        <f t="shared" ca="1" si="22"/>
        <v/>
      </c>
      <c r="FC27" s="56" t="str">
        <f t="shared" ca="1" si="22"/>
        <v/>
      </c>
      <c r="FD27" t="str">
        <f t="shared" ca="1" si="22"/>
        <v>Pursue accuracy improvements in fabrication and assembly processes to reduce incremental machinging, etc. steps</v>
      </c>
      <c r="FE27" t="str">
        <f t="shared" ca="1" si="22"/>
        <v/>
      </c>
      <c r="FF27" t="str">
        <f t="shared" ca="1" si="22"/>
        <v/>
      </c>
      <c r="FG27" t="str">
        <f t="shared" ca="1" si="22"/>
        <v/>
      </c>
      <c r="FH27" t="str">
        <f t="shared" ca="1" si="23"/>
        <v/>
      </c>
      <c r="FI27" t="str">
        <f t="shared" ca="1" si="23"/>
        <v/>
      </c>
      <c r="FJ27" t="str">
        <f t="shared" ca="1" si="23"/>
        <v/>
      </c>
      <c r="FK27" t="str">
        <f t="shared" ca="1" si="23"/>
        <v/>
      </c>
      <c r="FL27" t="str">
        <f t="shared" ca="1" si="23"/>
        <v/>
      </c>
      <c r="FM27" t="str">
        <f t="shared" ca="1" si="23"/>
        <v/>
      </c>
      <c r="FN27" t="str">
        <f t="shared" ca="1" si="23"/>
        <v/>
      </c>
      <c r="FO27" t="str">
        <f t="shared" ca="1" si="23"/>
        <v/>
      </c>
      <c r="FP27" t="str">
        <f t="shared" ca="1" si="23"/>
        <v/>
      </c>
      <c r="FQ27" t="str">
        <f t="shared" ca="1" si="23"/>
        <v/>
      </c>
      <c r="FR27" t="str">
        <f t="shared" ca="1" si="23"/>
        <v/>
      </c>
      <c r="FS27" t="str">
        <f t="shared" ca="1" si="23"/>
        <v/>
      </c>
      <c r="FT27" t="str">
        <f t="shared" ca="1" si="23"/>
        <v/>
      </c>
    </row>
    <row r="28" spans="1:176" ht="15" x14ac:dyDescent="0.25">
      <c r="A28" s="240">
        <v>237</v>
      </c>
      <c r="B28" t="str">
        <f t="shared" ca="1" si="25"/>
        <v>Development of On-Site Tapered Spiral Welding for Large Turbine Towers</v>
      </c>
      <c r="C28" t="str">
        <f t="shared" ca="1" si="25"/>
        <v>237</v>
      </c>
      <c r="D28" t="str">
        <f t="shared" ca="1" si="25"/>
        <v>Mike Kelly</v>
      </c>
      <c r="E28" t="str">
        <f t="shared" ca="1" si="25"/>
        <v>Eric Smith</v>
      </c>
      <c r="F28" t="str">
        <f t="shared" ca="1" si="13"/>
        <v>Keystone Tower Systems</v>
      </c>
      <c r="G28" t="str">
        <f t="shared" ca="1" si="13"/>
        <v/>
      </c>
      <c r="H28" t="str">
        <f t="shared" ca="1" si="13"/>
        <v>Conflict Note: Replace this text with conflict notes if desired.</v>
      </c>
      <c r="I28">
        <f t="shared" ca="1" si="25"/>
        <v>4.5</v>
      </c>
      <c r="J28" t="str">
        <f t="shared" ca="1" si="25"/>
        <v/>
      </c>
      <c r="K28" t="str">
        <f t="shared" ca="1" si="25"/>
        <v>Extreemly relevent to industry and market needs and DOE objectives</v>
      </c>
      <c r="L28" t="str">
        <f t="shared" ca="1" si="25"/>
        <v/>
      </c>
      <c r="M28" t="str">
        <f t="shared" ca="1" si="25"/>
        <v/>
      </c>
      <c r="N28" t="str">
        <f t="shared" ca="1" si="25"/>
        <v/>
      </c>
      <c r="O28" t="str">
        <f t="shared" ca="1" si="25"/>
        <v/>
      </c>
      <c r="P28" t="str">
        <f t="shared" ca="1" si="25"/>
        <v/>
      </c>
      <c r="Q28" t="str">
        <f t="shared" ca="1" si="25"/>
        <v/>
      </c>
      <c r="R28" t="str">
        <f t="shared" ca="1" si="25"/>
        <v/>
      </c>
      <c r="S28" t="str">
        <f t="shared" ca="1" si="25"/>
        <v/>
      </c>
      <c r="T28" t="str">
        <f t="shared" ca="1" si="14"/>
        <v/>
      </c>
      <c r="U28" t="str">
        <f t="shared" ca="1" si="14"/>
        <v/>
      </c>
      <c r="V28" t="str">
        <f t="shared" ca="1" si="14"/>
        <v/>
      </c>
      <c r="W28" t="str">
        <f t="shared" ca="1" si="14"/>
        <v/>
      </c>
      <c r="X28" t="str">
        <f t="shared" ca="1" si="14"/>
        <v/>
      </c>
      <c r="Y28" t="str">
        <f t="shared" ca="1" si="14"/>
        <v/>
      </c>
      <c r="Z28" t="str">
        <f t="shared" ca="1" si="14"/>
        <v/>
      </c>
      <c r="AA28" t="str">
        <f t="shared" ca="1" si="14"/>
        <v/>
      </c>
      <c r="AB28" s="44">
        <f t="shared" ca="1" si="14"/>
        <v>4.8</v>
      </c>
      <c r="AC28" s="44" t="str">
        <f t="shared" ca="1" si="14"/>
        <v/>
      </c>
      <c r="AD28" s="44" t="str">
        <f t="shared" ca="1" si="14"/>
        <v>Spiral welding comes from pipeline industry.  Leveraged bridge industry and oil&amp;gas recovery industries.</v>
      </c>
      <c r="AE28" s="44" t="str">
        <f t="shared" ca="1" si="14"/>
        <v/>
      </c>
      <c r="AF28" s="44" t="str">
        <f t="shared" ca="1" si="14"/>
        <v/>
      </c>
      <c r="AG28" s="44" t="str">
        <f t="shared" ca="1" si="14"/>
        <v>Focused on meeting tollerences and specifications.  Initially working with Vestas buy also working with other OEMs.  Attention to certificaiton neeeds of towers.</v>
      </c>
      <c r="AH28" s="44" t="str">
        <f t="shared" ca="1" si="14"/>
        <v/>
      </c>
      <c r="AI28" s="44" t="str">
        <f t="shared" ca="1" si="14"/>
        <v/>
      </c>
      <c r="AJ28" s="44" t="str">
        <f t="shared" ca="1" si="15"/>
        <v xml:space="preserve">Can take 200T out of tower weight.  Cost increase less than energy increase of turbine.  </v>
      </c>
      <c r="AK28" s="44" t="str">
        <f t="shared" ca="1" si="15"/>
        <v/>
      </c>
      <c r="AL28" s="44" t="str">
        <f t="shared" ca="1" si="15"/>
        <v/>
      </c>
      <c r="AM28" s="44" t="str">
        <f t="shared" ca="1" si="15"/>
        <v/>
      </c>
      <c r="AN28" s="44" t="str">
        <f t="shared" ca="1" si="15"/>
        <v/>
      </c>
      <c r="AO28" s="44" t="str">
        <f t="shared" ca="1" si="15"/>
        <v/>
      </c>
      <c r="AP28" s="44" t="str">
        <f t="shared" ca="1" si="15"/>
        <v/>
      </c>
      <c r="AQ28" s="44" t="str">
        <f t="shared" ca="1" si="15"/>
        <v/>
      </c>
      <c r="AR28" s="44" t="str">
        <f t="shared" ca="1" si="15"/>
        <v/>
      </c>
      <c r="AS28" s="44" t="str">
        <f t="shared" ca="1" si="15"/>
        <v/>
      </c>
      <c r="AT28" s="44" t="str">
        <f t="shared" ca="1" si="15"/>
        <v/>
      </c>
      <c r="AU28">
        <f t="shared" ca="1" si="15"/>
        <v>4</v>
      </c>
      <c r="AV28" t="str">
        <f t="shared" ca="1" si="15"/>
        <v/>
      </c>
      <c r="AW28" t="str">
        <f t="shared" ca="1" si="15"/>
        <v>Mfg'g aligned with field deployment.</v>
      </c>
      <c r="AX28" t="str">
        <f t="shared" ca="1" si="15"/>
        <v/>
      </c>
      <c r="AY28" t="str">
        <f t="shared" ca="1" si="15"/>
        <v/>
      </c>
      <c r="AZ28" t="str">
        <f t="shared" ca="1" si="16"/>
        <v xml:space="preserve">3MW turbine project.  Construction time and quanity reduction, can cut turbine requirement in half for same energy delivery.  40% reduction in LCOE.  8%-10% added cost for 20-yr to 40-yr life.  Working with tooling mfg's </v>
      </c>
      <c r="BA28" t="str">
        <f t="shared" ca="1" si="16"/>
        <v/>
      </c>
      <c r="BB28" t="str">
        <f t="shared" ca="1" si="16"/>
        <v/>
      </c>
      <c r="BC28" t="str">
        <f t="shared" ca="1" si="16"/>
        <v xml:space="preserve">Can do inline inspection along with the welding process.  Spiral welding is 3x faster and 20% cheaper.  </v>
      </c>
      <c r="BD28" t="str">
        <f t="shared" ca="1" si="16"/>
        <v/>
      </c>
      <c r="BE28" t="str">
        <f t="shared" ca="1" si="16"/>
        <v/>
      </c>
      <c r="BF28" t="str">
        <f t="shared" ca="1" si="16"/>
        <v/>
      </c>
      <c r="BG28" t="str">
        <f t="shared" ca="1" si="16"/>
        <v/>
      </c>
      <c r="BH28" t="str">
        <f t="shared" ca="1" si="16"/>
        <v/>
      </c>
      <c r="BI28" t="str">
        <f t="shared" ca="1" si="16"/>
        <v/>
      </c>
      <c r="BJ28" t="str">
        <f t="shared" ca="1" si="16"/>
        <v/>
      </c>
      <c r="BK28" t="str">
        <f t="shared" ca="1" si="16"/>
        <v/>
      </c>
      <c r="BL28" t="str">
        <f t="shared" ca="1" si="16"/>
        <v/>
      </c>
      <c r="BM28" t="str">
        <f t="shared" ca="1" si="16"/>
        <v/>
      </c>
      <c r="BN28" s="44">
        <f t="shared" ca="1" si="16"/>
        <v>4</v>
      </c>
      <c r="BO28" s="44" t="str">
        <f t="shared" ca="1" si="16"/>
        <v/>
      </c>
      <c r="BP28" s="44" t="str">
        <f t="shared" ca="1" si="17"/>
        <v/>
      </c>
      <c r="BQ28" s="44" t="str">
        <f t="shared" ca="1" si="17"/>
        <v/>
      </c>
      <c r="BR28" s="44" t="str">
        <f t="shared" ca="1" si="17"/>
        <v/>
      </c>
      <c r="BS28" s="44" t="str">
        <f t="shared" ca="1" si="17"/>
        <v/>
      </c>
      <c r="BT28" s="44" t="str">
        <f t="shared" ca="1" si="17"/>
        <v/>
      </c>
      <c r="BU28" s="44" t="str">
        <f t="shared" ca="1" si="17"/>
        <v/>
      </c>
      <c r="BV28" s="44" t="str">
        <f t="shared" ca="1" si="17"/>
        <v/>
      </c>
      <c r="BW28" s="44" t="str">
        <f t="shared" ca="1" si="17"/>
        <v/>
      </c>
      <c r="BX28" s="44" t="str">
        <f t="shared" ca="1" si="17"/>
        <v/>
      </c>
      <c r="BY28" s="44" t="str">
        <f t="shared" ca="1" si="17"/>
        <v/>
      </c>
      <c r="BZ28" s="44" t="str">
        <f t="shared" ca="1" si="17"/>
        <v/>
      </c>
      <c r="CA28" s="44" t="str">
        <f t="shared" ca="1" si="17"/>
        <v/>
      </c>
      <c r="CB28" s="44" t="str">
        <f t="shared" ca="1" si="17"/>
        <v/>
      </c>
      <c r="CC28" s="44" t="str">
        <f t="shared" ca="1" si="17"/>
        <v/>
      </c>
      <c r="CD28" s="44" t="str">
        <f t="shared" ca="1" si="17"/>
        <v/>
      </c>
      <c r="CE28" s="44" t="str">
        <f t="shared" ca="1" si="17"/>
        <v/>
      </c>
      <c r="CF28" s="44" t="str">
        <f t="shared" ca="1" si="18"/>
        <v/>
      </c>
      <c r="CG28">
        <f t="shared" ca="1" si="18"/>
        <v>4</v>
      </c>
      <c r="CH28" t="str">
        <f t="shared" ca="1" si="18"/>
        <v/>
      </c>
      <c r="CI28" t="str">
        <f t="shared" ca="1" si="18"/>
        <v/>
      </c>
      <c r="CJ28" t="str">
        <f t="shared" ca="1" si="18"/>
        <v/>
      </c>
      <c r="CK28" t="str">
        <f t="shared" ca="1" si="18"/>
        <v/>
      </c>
      <c r="CL28" t="str">
        <f t="shared" ca="1" si="18"/>
        <v/>
      </c>
      <c r="CM28" t="str">
        <f t="shared" ca="1" si="18"/>
        <v/>
      </c>
      <c r="CN28" t="str">
        <f t="shared" ca="1" si="18"/>
        <v/>
      </c>
      <c r="CO28" t="str">
        <f t="shared" ca="1" si="18"/>
        <v/>
      </c>
      <c r="CP28" t="str">
        <f t="shared" ca="1" si="18"/>
        <v/>
      </c>
      <c r="CQ28" t="str">
        <f t="shared" ca="1" si="18"/>
        <v/>
      </c>
      <c r="CR28" t="str">
        <f t="shared" ca="1" si="18"/>
        <v/>
      </c>
      <c r="CS28" t="str">
        <f t="shared" ca="1" si="18"/>
        <v/>
      </c>
      <c r="CT28" t="str">
        <f t="shared" ca="1" si="18"/>
        <v/>
      </c>
      <c r="CU28" t="str">
        <f t="shared" ca="1" si="18"/>
        <v/>
      </c>
      <c r="CV28" t="str">
        <f t="shared" ca="1" si="19"/>
        <v/>
      </c>
      <c r="CW28" t="str">
        <f t="shared" ca="1" si="19"/>
        <v/>
      </c>
      <c r="CX28" t="str">
        <f t="shared" ca="1" si="19"/>
        <v/>
      </c>
      <c r="CY28" t="str">
        <f t="shared" ca="1" si="19"/>
        <v/>
      </c>
      <c r="CZ28" s="44">
        <f t="shared" ca="1" si="19"/>
        <v>5</v>
      </c>
      <c r="DA28" s="44" t="str">
        <f t="shared" ca="1" si="19"/>
        <v/>
      </c>
      <c r="DB28" s="44" t="str">
        <f t="shared" ca="1" si="19"/>
        <v/>
      </c>
      <c r="DC28" s="44" t="str">
        <f t="shared" ca="1" si="19"/>
        <v/>
      </c>
      <c r="DD28" s="44" t="str">
        <f t="shared" ca="1" si="19"/>
        <v/>
      </c>
      <c r="DE28" s="44" t="str">
        <f t="shared" ca="1" si="19"/>
        <v/>
      </c>
      <c r="DF28" s="44" t="str">
        <f t="shared" ca="1" si="19"/>
        <v/>
      </c>
      <c r="DG28" s="44" t="str">
        <f t="shared" ca="1" si="19"/>
        <v/>
      </c>
      <c r="DH28" s="44" t="str">
        <f t="shared" ca="1" si="19"/>
        <v/>
      </c>
      <c r="DI28" s="44" t="str">
        <f t="shared" ca="1" si="19"/>
        <v/>
      </c>
      <c r="DJ28" s="44" t="str">
        <f t="shared" ca="1" si="19"/>
        <v/>
      </c>
      <c r="DK28" s="44" t="str">
        <f t="shared" ca="1" si="19"/>
        <v/>
      </c>
      <c r="DL28" s="44" t="str">
        <f t="shared" ca="1" si="20"/>
        <v/>
      </c>
      <c r="DM28" s="44" t="str">
        <f t="shared" ca="1" si="20"/>
        <v/>
      </c>
      <c r="DN28" s="44" t="str">
        <f t="shared" ca="1" si="20"/>
        <v/>
      </c>
      <c r="DO28" s="44" t="str">
        <f t="shared" ca="1" si="20"/>
        <v/>
      </c>
      <c r="DP28" s="44" t="str">
        <f t="shared" ca="1" si="20"/>
        <v/>
      </c>
      <c r="DQ28" s="44" t="str">
        <f t="shared" ca="1" si="20"/>
        <v/>
      </c>
      <c r="DR28" s="44" t="str">
        <f t="shared" ca="1" si="20"/>
        <v/>
      </c>
      <c r="DS28" t="str">
        <f t="shared" ca="1" si="20"/>
        <v/>
      </c>
      <c r="DT28" t="str">
        <f t="shared" ca="1" si="20"/>
        <v>Leverages existing technology.</v>
      </c>
      <c r="DU28" t="str">
        <f t="shared" ca="1" si="20"/>
        <v/>
      </c>
      <c r="DV28" t="str">
        <f t="shared" ca="1" si="20"/>
        <v/>
      </c>
      <c r="DW28" t="str">
        <f t="shared" ca="1" si="20"/>
        <v>More of a logistical than a technical challenge</v>
      </c>
      <c r="DX28" t="str">
        <f t="shared" ca="1" si="20"/>
        <v/>
      </c>
      <c r="DY28" t="str">
        <f t="shared" ca="1" si="20"/>
        <v/>
      </c>
      <c r="DZ28" t="str">
        <f t="shared" ca="1" si="20"/>
        <v>Highly promissing opportunity to provide subtantial LCOE reductions</v>
      </c>
      <c r="EA28" t="str">
        <f t="shared" ca="1" si="20"/>
        <v/>
      </c>
      <c r="EB28" t="str">
        <f t="shared" ca="1" si="21"/>
        <v/>
      </c>
      <c r="EC28" t="str">
        <f t="shared" ca="1" si="21"/>
        <v>Highly enables lower wind resource regions to deliver wind energy competitively.</v>
      </c>
      <c r="ED28" t="str">
        <f t="shared" ca="1" si="21"/>
        <v/>
      </c>
      <c r="EE28" t="str">
        <f t="shared" ca="1" si="21"/>
        <v/>
      </c>
      <c r="EF28" t="str">
        <f t="shared" ca="1" si="21"/>
        <v>More asthetically pleasing finished product than other tall tower options.</v>
      </c>
      <c r="EG28" t="str">
        <f t="shared" ca="1" si="21"/>
        <v/>
      </c>
      <c r="EH28" t="str">
        <f t="shared" ca="1" si="21"/>
        <v/>
      </c>
      <c r="EI28" t="str">
        <f t="shared" ca="1" si="21"/>
        <v/>
      </c>
      <c r="EJ28" t="str">
        <f t="shared" ca="1" si="21"/>
        <v/>
      </c>
      <c r="EK28" s="44" t="str">
        <f t="shared" ca="1" si="21"/>
        <v/>
      </c>
      <c r="EL28" s="44" t="str">
        <f t="shared" ca="1" si="21"/>
        <v>Portable factories require substantial, temporary space.</v>
      </c>
      <c r="EM28" s="44" t="str">
        <f t="shared" ca="1" si="21"/>
        <v/>
      </c>
      <c r="EN28" s="44" t="str">
        <f t="shared" ca="1" si="21"/>
        <v/>
      </c>
      <c r="EO28" s="44" t="str">
        <f t="shared" ca="1" si="21"/>
        <v>Portable factory setup/storage/relocation is a substantial effort and cost.</v>
      </c>
      <c r="EP28" s="44" t="str">
        <f t="shared" ca="1" si="21"/>
        <v/>
      </c>
      <c r="EQ28" s="44" t="str">
        <f t="shared" ca="1" si="21"/>
        <v/>
      </c>
      <c r="ER28" s="44" t="str">
        <f t="shared" ca="1" si="22"/>
        <v>Produce quality assurance has added challenges for in-field/portable manufacturing facilities.</v>
      </c>
      <c r="ES28" s="44" t="str">
        <f t="shared" ca="1" si="22"/>
        <v/>
      </c>
      <c r="ET28" s="44" t="str">
        <f t="shared" ca="1" si="22"/>
        <v/>
      </c>
      <c r="EU28" s="44" t="str">
        <f t="shared" ca="1" si="22"/>
        <v/>
      </c>
      <c r="EV28" s="44" t="str">
        <f t="shared" ca="1" si="22"/>
        <v/>
      </c>
      <c r="EW28" s="44" t="str">
        <f t="shared" ca="1" si="22"/>
        <v/>
      </c>
      <c r="EX28" s="44" t="str">
        <f t="shared" ca="1" si="22"/>
        <v/>
      </c>
      <c r="EY28" s="44" t="str">
        <f t="shared" ca="1" si="22"/>
        <v/>
      </c>
      <c r="EZ28" s="44" t="str">
        <f t="shared" ca="1" si="22"/>
        <v/>
      </c>
      <c r="FA28" s="44" t="str">
        <f t="shared" ca="1" si="22"/>
        <v/>
      </c>
      <c r="FB28" s="44" t="str">
        <f t="shared" ca="1" si="22"/>
        <v/>
      </c>
      <c r="FC28" s="56" t="str">
        <f t="shared" ca="1" si="22"/>
        <v/>
      </c>
      <c r="FD28" t="str">
        <f t="shared" ca="1" si="22"/>
        <v>Invest in dialogues with wind project developers and constructors from multiple organizations for exchanges of information on temporary land use, logistics and costs.</v>
      </c>
      <c r="FE28" t="str">
        <f t="shared" ca="1" si="22"/>
        <v/>
      </c>
      <c r="FF28" t="str">
        <f t="shared" ca="1" si="22"/>
        <v/>
      </c>
      <c r="FG28" t="str">
        <f t="shared" ca="1" si="22"/>
        <v/>
      </c>
      <c r="FH28" t="str">
        <f t="shared" ca="1" si="23"/>
        <v/>
      </c>
      <c r="FI28" t="str">
        <f t="shared" ca="1" si="23"/>
        <v/>
      </c>
      <c r="FJ28" t="str">
        <f t="shared" ca="1" si="23"/>
        <v/>
      </c>
      <c r="FK28" t="str">
        <f t="shared" ca="1" si="23"/>
        <v/>
      </c>
      <c r="FL28" t="str">
        <f t="shared" ca="1" si="23"/>
        <v/>
      </c>
      <c r="FM28" t="str">
        <f t="shared" ca="1" si="23"/>
        <v/>
      </c>
      <c r="FN28" t="str">
        <f t="shared" ca="1" si="23"/>
        <v/>
      </c>
      <c r="FO28" t="str">
        <f t="shared" ca="1" si="23"/>
        <v/>
      </c>
      <c r="FP28" t="str">
        <f t="shared" ca="1" si="23"/>
        <v/>
      </c>
      <c r="FQ28" t="str">
        <f t="shared" ca="1" si="23"/>
        <v/>
      </c>
      <c r="FR28" t="str">
        <f t="shared" ca="1" si="23"/>
        <v/>
      </c>
      <c r="FS28" t="str">
        <f t="shared" ca="1" si="23"/>
        <v/>
      </c>
      <c r="FT28" t="str">
        <f t="shared" ca="1" si="23"/>
        <v/>
      </c>
    </row>
    <row r="29" spans="1:176" ht="15" x14ac:dyDescent="0.25">
      <c r="A29" s="240">
        <v>238</v>
      </c>
      <c r="B29" t="str">
        <f t="shared" ca="1" si="25"/>
        <v>Hexcrete Tower for Harvesting Wind Energy at Taller Hub Heights</v>
      </c>
      <c r="C29" t="str">
        <f t="shared" ca="1" si="25"/>
        <v>238</v>
      </c>
      <c r="D29" t="str">
        <f t="shared" ca="1" si="25"/>
        <v>Mike Kelly</v>
      </c>
      <c r="E29" t="str">
        <f t="shared" ca="1" si="25"/>
        <v>Sri Sritharan</v>
      </c>
      <c r="F29" t="str">
        <f t="shared" ca="1" si="13"/>
        <v>Iowa State University</v>
      </c>
      <c r="G29" t="str">
        <f t="shared" ca="1" si="13"/>
        <v/>
      </c>
      <c r="H29" t="str">
        <f t="shared" ca="1" si="13"/>
        <v>Conflict Note: Replace this text with conflict notes if desired.</v>
      </c>
      <c r="I29">
        <f t="shared" ca="1" si="25"/>
        <v>3</v>
      </c>
      <c r="J29" t="str">
        <f t="shared" ca="1" si="25"/>
        <v/>
      </c>
      <c r="K29" t="str">
        <f t="shared" ca="1" si="25"/>
        <v xml:space="preserve">Leveraging of bridge/bldg design and technology and existing precast industry reduces risk.. </v>
      </c>
      <c r="L29" t="str">
        <f t="shared" ca="1" si="25"/>
        <v/>
      </c>
      <c r="M29" t="str">
        <f t="shared" ca="1" si="25"/>
        <v/>
      </c>
      <c r="N29" t="str">
        <f t="shared" ca="1" si="25"/>
        <v>While tower height has DOE goal relevance, objectionable aesthetics is a substantial distractor.</v>
      </c>
      <c r="O29" t="str">
        <f t="shared" ca="1" si="25"/>
        <v/>
      </c>
      <c r="P29" t="str">
        <f t="shared" ca="1" si="25"/>
        <v/>
      </c>
      <c r="Q29" t="str">
        <f t="shared" ca="1" si="25"/>
        <v/>
      </c>
      <c r="R29" t="str">
        <f t="shared" ca="1" si="25"/>
        <v/>
      </c>
      <c r="S29" t="str">
        <f t="shared" ca="1" si="25"/>
        <v/>
      </c>
      <c r="T29" t="str">
        <f t="shared" ca="1" si="14"/>
        <v/>
      </c>
      <c r="U29" t="str">
        <f t="shared" ca="1" si="14"/>
        <v/>
      </c>
      <c r="V29" t="str">
        <f t="shared" ca="1" si="14"/>
        <v/>
      </c>
      <c r="W29" t="str">
        <f t="shared" ca="1" si="14"/>
        <v/>
      </c>
      <c r="X29" t="str">
        <f t="shared" ca="1" si="14"/>
        <v/>
      </c>
      <c r="Y29" t="str">
        <f t="shared" ca="1" si="14"/>
        <v/>
      </c>
      <c r="Z29" t="str">
        <f t="shared" ca="1" si="14"/>
        <v/>
      </c>
      <c r="AA29" t="str">
        <f t="shared" ca="1" si="14"/>
        <v/>
      </c>
      <c r="AB29" s="44">
        <f t="shared" ca="1" si="14"/>
        <v>3.5</v>
      </c>
      <c r="AC29" s="44" t="str">
        <f t="shared" ca="1" si="14"/>
        <v/>
      </c>
      <c r="AD29" s="44" t="str">
        <f t="shared" ca="1" si="14"/>
        <v>Solid engineering approach.  Targets comprehensive needs.</v>
      </c>
      <c r="AE29" s="44" t="str">
        <f t="shared" ca="1" si="14"/>
        <v/>
      </c>
      <c r="AF29" s="44" t="str">
        <f t="shared" ca="1" si="14"/>
        <v/>
      </c>
      <c r="AG29" s="44" t="str">
        <f t="shared" ca="1" si="14"/>
        <v/>
      </c>
      <c r="AH29" s="44" t="str">
        <f t="shared" ca="1" si="14"/>
        <v/>
      </c>
      <c r="AI29" s="44" t="str">
        <f t="shared" ca="1" si="14"/>
        <v/>
      </c>
      <c r="AJ29" s="44" t="str">
        <f t="shared" ca="1" si="15"/>
        <v>Technically feasible design, however, continued investment not recommended.</v>
      </c>
      <c r="AK29" s="44" t="str">
        <f t="shared" ca="1" si="15"/>
        <v/>
      </c>
      <c r="AL29" s="44" t="str">
        <f t="shared" ca="1" si="15"/>
        <v/>
      </c>
      <c r="AM29" s="44" t="str">
        <f t="shared" ca="1" si="15"/>
        <v/>
      </c>
      <c r="AN29" s="44" t="str">
        <f t="shared" ca="1" si="15"/>
        <v/>
      </c>
      <c r="AO29" s="44" t="str">
        <f t="shared" ca="1" si="15"/>
        <v/>
      </c>
      <c r="AP29" s="44" t="str">
        <f t="shared" ca="1" si="15"/>
        <v/>
      </c>
      <c r="AQ29" s="44" t="str">
        <f t="shared" ca="1" si="15"/>
        <v/>
      </c>
      <c r="AR29" s="44" t="str">
        <f t="shared" ca="1" si="15"/>
        <v/>
      </c>
      <c r="AS29" s="44" t="str">
        <f t="shared" ca="1" si="15"/>
        <v/>
      </c>
      <c r="AT29" s="44" t="str">
        <f t="shared" ca="1" si="15"/>
        <v/>
      </c>
      <c r="AU29">
        <f t="shared" ca="1" si="15"/>
        <v>4</v>
      </c>
      <c r="AV29" t="str">
        <f t="shared" ca="1" si="15"/>
        <v/>
      </c>
      <c r="AW29" t="str">
        <f t="shared" ca="1" si="15"/>
        <v/>
      </c>
      <c r="AX29" t="str">
        <f t="shared" ca="1" si="15"/>
        <v/>
      </c>
      <c r="AY29" t="str">
        <f t="shared" ca="1" si="15"/>
        <v/>
      </c>
      <c r="AZ29" t="str">
        <f t="shared" ca="1" si="16"/>
        <v/>
      </c>
      <c r="BA29" t="str">
        <f t="shared" ca="1" si="16"/>
        <v/>
      </c>
      <c r="BB29" t="str">
        <f t="shared" ca="1" si="16"/>
        <v/>
      </c>
      <c r="BC29" t="str">
        <f t="shared" ca="1" si="16"/>
        <v/>
      </c>
      <c r="BD29" t="str">
        <f t="shared" ca="1" si="16"/>
        <v/>
      </c>
      <c r="BE29" t="str">
        <f t="shared" ca="1" si="16"/>
        <v/>
      </c>
      <c r="BF29" t="str">
        <f t="shared" ca="1" si="16"/>
        <v/>
      </c>
      <c r="BG29" t="str">
        <f t="shared" ca="1" si="16"/>
        <v/>
      </c>
      <c r="BH29" t="str">
        <f t="shared" ca="1" si="16"/>
        <v/>
      </c>
      <c r="BI29" t="str">
        <f t="shared" ca="1" si="16"/>
        <v/>
      </c>
      <c r="BJ29" t="str">
        <f t="shared" ca="1" si="16"/>
        <v/>
      </c>
      <c r="BK29" t="str">
        <f t="shared" ca="1" si="16"/>
        <v/>
      </c>
      <c r="BL29" t="str">
        <f t="shared" ca="1" si="16"/>
        <v/>
      </c>
      <c r="BM29" t="str">
        <f t="shared" ca="1" si="16"/>
        <v/>
      </c>
      <c r="BN29" s="44">
        <f t="shared" ca="1" si="16"/>
        <v>3</v>
      </c>
      <c r="BO29" s="44" t="str">
        <f t="shared" ca="1" si="16"/>
        <v/>
      </c>
      <c r="BP29" s="44" t="str">
        <f t="shared" ca="1" si="17"/>
        <v>Appears technically well managed but public acceptance overlooked.</v>
      </c>
      <c r="BQ29" s="44" t="str">
        <f t="shared" ca="1" si="17"/>
        <v/>
      </c>
      <c r="BR29" s="44" t="str">
        <f t="shared" ca="1" si="17"/>
        <v/>
      </c>
      <c r="BS29" s="44" t="str">
        <f t="shared" ca="1" si="17"/>
        <v/>
      </c>
      <c r="BT29" s="44" t="str">
        <f t="shared" ca="1" si="17"/>
        <v/>
      </c>
      <c r="BU29" s="44" t="str">
        <f t="shared" ca="1" si="17"/>
        <v/>
      </c>
      <c r="BV29" s="44" t="str">
        <f t="shared" ca="1" si="17"/>
        <v/>
      </c>
      <c r="BW29" s="44" t="str">
        <f t="shared" ca="1" si="17"/>
        <v/>
      </c>
      <c r="BX29" s="44" t="str">
        <f t="shared" ca="1" si="17"/>
        <v/>
      </c>
      <c r="BY29" s="44" t="str">
        <f t="shared" ca="1" si="17"/>
        <v/>
      </c>
      <c r="BZ29" s="44" t="str">
        <f t="shared" ca="1" si="17"/>
        <v/>
      </c>
      <c r="CA29" s="44" t="str">
        <f t="shared" ca="1" si="17"/>
        <v/>
      </c>
      <c r="CB29" s="44" t="str">
        <f t="shared" ca="1" si="17"/>
        <v/>
      </c>
      <c r="CC29" s="44" t="str">
        <f t="shared" ca="1" si="17"/>
        <v/>
      </c>
      <c r="CD29" s="44" t="str">
        <f t="shared" ca="1" si="17"/>
        <v/>
      </c>
      <c r="CE29" s="44" t="str">
        <f t="shared" ca="1" si="17"/>
        <v/>
      </c>
      <c r="CF29" s="44" t="str">
        <f t="shared" ca="1" si="18"/>
        <v/>
      </c>
      <c r="CG29">
        <f t="shared" ca="1" si="18"/>
        <v>4</v>
      </c>
      <c r="CH29" t="str">
        <f t="shared" ca="1" si="18"/>
        <v/>
      </c>
      <c r="CI29" t="str">
        <f t="shared" ca="1" si="18"/>
        <v/>
      </c>
      <c r="CJ29" t="str">
        <f t="shared" ca="1" si="18"/>
        <v/>
      </c>
      <c r="CK29" t="str">
        <f t="shared" ca="1" si="18"/>
        <v/>
      </c>
      <c r="CL29" t="str">
        <f t="shared" ca="1" si="18"/>
        <v/>
      </c>
      <c r="CM29" t="str">
        <f t="shared" ca="1" si="18"/>
        <v/>
      </c>
      <c r="CN29" t="str">
        <f t="shared" ca="1" si="18"/>
        <v/>
      </c>
      <c r="CO29" t="str">
        <f t="shared" ca="1" si="18"/>
        <v/>
      </c>
      <c r="CP29" t="str">
        <f t="shared" ca="1" si="18"/>
        <v/>
      </c>
      <c r="CQ29" t="str">
        <f t="shared" ca="1" si="18"/>
        <v/>
      </c>
      <c r="CR29" t="str">
        <f t="shared" ca="1" si="18"/>
        <v/>
      </c>
      <c r="CS29" t="str">
        <f t="shared" ca="1" si="18"/>
        <v/>
      </c>
      <c r="CT29" t="str">
        <f t="shared" ca="1" si="18"/>
        <v/>
      </c>
      <c r="CU29" t="str">
        <f t="shared" ca="1" si="18"/>
        <v/>
      </c>
      <c r="CV29" t="str">
        <f t="shared" ca="1" si="19"/>
        <v/>
      </c>
      <c r="CW29" t="str">
        <f t="shared" ca="1" si="19"/>
        <v/>
      </c>
      <c r="CX29" t="str">
        <f t="shared" ca="1" si="19"/>
        <v/>
      </c>
      <c r="CY29" t="str">
        <f t="shared" ca="1" si="19"/>
        <v/>
      </c>
      <c r="CZ29" s="44">
        <f t="shared" ca="1" si="19"/>
        <v>1</v>
      </c>
      <c r="DA29" s="44" t="str">
        <f t="shared" ca="1" si="19"/>
        <v/>
      </c>
      <c r="DB29" s="44" t="str">
        <f t="shared" ca="1" si="19"/>
        <v>Defunding of current approach recommended due to objectionable aesthetics.</v>
      </c>
      <c r="DC29" s="44" t="str">
        <f t="shared" ca="1" si="19"/>
        <v/>
      </c>
      <c r="DD29" s="44" t="str">
        <f t="shared" ca="1" si="19"/>
        <v/>
      </c>
      <c r="DE29" s="44" t="str">
        <f t="shared" ca="1" si="19"/>
        <v/>
      </c>
      <c r="DF29" s="44" t="str">
        <f t="shared" ca="1" si="19"/>
        <v/>
      </c>
      <c r="DG29" s="44" t="str">
        <f t="shared" ca="1" si="19"/>
        <v/>
      </c>
      <c r="DH29" s="44" t="str">
        <f t="shared" ca="1" si="19"/>
        <v/>
      </c>
      <c r="DI29" s="44" t="str">
        <f t="shared" ca="1" si="19"/>
        <v/>
      </c>
      <c r="DJ29" s="44" t="str">
        <f t="shared" ca="1" si="19"/>
        <v/>
      </c>
      <c r="DK29" s="44" t="str">
        <f t="shared" ca="1" si="19"/>
        <v/>
      </c>
      <c r="DL29" s="44" t="str">
        <f t="shared" ca="1" si="20"/>
        <v/>
      </c>
      <c r="DM29" s="44" t="str">
        <f t="shared" ca="1" si="20"/>
        <v/>
      </c>
      <c r="DN29" s="44" t="str">
        <f t="shared" ca="1" si="20"/>
        <v/>
      </c>
      <c r="DO29" s="44" t="str">
        <f t="shared" ca="1" si="20"/>
        <v/>
      </c>
      <c r="DP29" s="44" t="str">
        <f t="shared" ca="1" si="20"/>
        <v/>
      </c>
      <c r="DQ29" s="44" t="str">
        <f t="shared" ca="1" si="20"/>
        <v/>
      </c>
      <c r="DR29" s="44" t="str">
        <f t="shared" ca="1" si="20"/>
        <v/>
      </c>
      <c r="DS29" t="str">
        <f t="shared" ca="1" si="20"/>
        <v/>
      </c>
      <c r="DT29" t="str">
        <f t="shared" ca="1" si="20"/>
        <v>Leverages bridge/bldg design and technology and existing precast industry.  Enables local manufacturing. Addresses transportation challenges</v>
      </c>
      <c r="DU29" t="str">
        <f t="shared" ca="1" si="20"/>
        <v/>
      </c>
      <c r="DV29" t="str">
        <f t="shared" ca="1" si="20"/>
        <v/>
      </c>
      <c r="DW29" t="str">
        <f t="shared" ca="1" si="20"/>
        <v xml:space="preserve">Leverages existing precast concrete industry. </v>
      </c>
      <c r="DX29" t="str">
        <f t="shared" ca="1" si="20"/>
        <v/>
      </c>
      <c r="DY29" t="str">
        <f t="shared" ca="1" si="20"/>
        <v/>
      </c>
      <c r="DZ29" t="str">
        <f t="shared" ca="1" si="20"/>
        <v xml:space="preserve"> </v>
      </c>
      <c r="EA29" t="str">
        <f t="shared" ca="1" si="20"/>
        <v/>
      </c>
      <c r="EB29" t="str">
        <f t="shared" ca="1" si="21"/>
        <v/>
      </c>
      <c r="EC29" t="str">
        <f t="shared" ca="1" si="21"/>
        <v/>
      </c>
      <c r="ED29" t="str">
        <f t="shared" ca="1" si="21"/>
        <v/>
      </c>
      <c r="EE29" t="str">
        <f t="shared" ca="1" si="21"/>
        <v/>
      </c>
      <c r="EF29" t="str">
        <f t="shared" ca="1" si="21"/>
        <v/>
      </c>
      <c r="EG29" t="str">
        <f t="shared" ca="1" si="21"/>
        <v/>
      </c>
      <c r="EH29" t="str">
        <f t="shared" ca="1" si="21"/>
        <v/>
      </c>
      <c r="EI29" t="str">
        <f t="shared" ca="1" si="21"/>
        <v/>
      </c>
      <c r="EJ29" t="str">
        <f t="shared" ca="1" si="21"/>
        <v/>
      </c>
      <c r="EK29" s="44" t="str">
        <f t="shared" ca="1" si="21"/>
        <v/>
      </c>
      <c r="EL29" s="44" t="str">
        <f t="shared" ca="1" si="21"/>
        <v xml:space="preserve">The wind industry has been and remains challenged with public acceptance most significantely due to visual impact and what is sometimes charactorized as "industrialization". </v>
      </c>
      <c r="EM29" s="44" t="str">
        <f t="shared" ca="1" si="21"/>
        <v/>
      </c>
      <c r="EN29" s="44" t="str">
        <f t="shared" ca="1" si="21"/>
        <v/>
      </c>
      <c r="EO29" s="44" t="str">
        <f t="shared" ca="1" si="21"/>
        <v>Albeit subjective, and precisely the point, individual turbine and tower and overall plant design must include a high degree of sensitivity to aesthetics to maintain and improve public acceptance.  Clean, smooth, less industrial shapes, transitions and symetry are necessary for visual acceptance, even attractiveness.  This project's efforts are not sufficiently sensitive to this point.</v>
      </c>
      <c r="EP29" s="44" t="str">
        <f t="shared" ca="1" si="21"/>
        <v/>
      </c>
      <c r="EQ29" s="44" t="str">
        <f t="shared" ca="1" si="21"/>
        <v/>
      </c>
      <c r="ER29" s="44" t="str">
        <f t="shared" ca="1" si="22"/>
        <v/>
      </c>
      <c r="ES29" s="44" t="str">
        <f t="shared" ca="1" si="22"/>
        <v/>
      </c>
      <c r="ET29" s="44" t="str">
        <f t="shared" ca="1" si="22"/>
        <v/>
      </c>
      <c r="EU29" s="44" t="str">
        <f t="shared" ca="1" si="22"/>
        <v/>
      </c>
      <c r="EV29" s="44" t="str">
        <f t="shared" ca="1" si="22"/>
        <v/>
      </c>
      <c r="EW29" s="44" t="str">
        <f t="shared" ca="1" si="22"/>
        <v/>
      </c>
      <c r="EX29" s="44" t="str">
        <f t="shared" ca="1" si="22"/>
        <v/>
      </c>
      <c r="EY29" s="44" t="str">
        <f t="shared" ca="1" si="22"/>
        <v/>
      </c>
      <c r="EZ29" s="44" t="str">
        <f t="shared" ca="1" si="22"/>
        <v/>
      </c>
      <c r="FA29" s="44" t="str">
        <f t="shared" ca="1" si="22"/>
        <v/>
      </c>
      <c r="FB29" s="44" t="str">
        <f t="shared" ca="1" si="22"/>
        <v/>
      </c>
      <c r="FC29" s="56" t="str">
        <f t="shared" ca="1" si="22"/>
        <v/>
      </c>
      <c r="FD29" t="str">
        <f t="shared" ca="1" si="22"/>
        <v>Consider a design approach that provides smooth, clean visual lines.</v>
      </c>
      <c r="FE29" t="str">
        <f t="shared" ca="1" si="22"/>
        <v/>
      </c>
      <c r="FF29" t="str">
        <f t="shared" ca="1" si="22"/>
        <v/>
      </c>
      <c r="FG29" t="str">
        <f t="shared" ca="1" si="22"/>
        <v>Consider larger footprint to reduce costs.</v>
      </c>
      <c r="FH29" t="str">
        <f t="shared" ca="1" si="23"/>
        <v/>
      </c>
      <c r="FI29" t="str">
        <f t="shared" ca="1" si="23"/>
        <v/>
      </c>
      <c r="FJ29" t="str">
        <f t="shared" ca="1" si="23"/>
        <v/>
      </c>
      <c r="FK29" t="str">
        <f t="shared" ca="1" si="23"/>
        <v/>
      </c>
      <c r="FL29" t="str">
        <f t="shared" ca="1" si="23"/>
        <v/>
      </c>
      <c r="FM29" t="str">
        <f t="shared" ca="1" si="23"/>
        <v/>
      </c>
      <c r="FN29" t="str">
        <f t="shared" ca="1" si="23"/>
        <v/>
      </c>
      <c r="FO29" t="str">
        <f t="shared" ca="1" si="23"/>
        <v/>
      </c>
      <c r="FP29" t="str">
        <f t="shared" ca="1" si="23"/>
        <v/>
      </c>
      <c r="FQ29" t="str">
        <f t="shared" ca="1" si="23"/>
        <v/>
      </c>
      <c r="FR29" t="str">
        <f t="shared" ca="1" si="23"/>
        <v/>
      </c>
      <c r="FS29" t="str">
        <f t="shared" ca="1" si="23"/>
        <v/>
      </c>
      <c r="FT29" t="str">
        <f t="shared" ca="1" si="23"/>
        <v/>
      </c>
    </row>
    <row r="30" spans="1:176" ht="15" x14ac:dyDescent="0.25">
      <c r="A30" s="240">
        <v>223</v>
      </c>
      <c r="B30" t="e">
        <f t="shared" ca="1" si="25"/>
        <v>#REF!</v>
      </c>
      <c r="C30" t="e">
        <f t="shared" ca="1" si="25"/>
        <v>#REF!</v>
      </c>
      <c r="D30" t="e">
        <f t="shared" ca="1" si="25"/>
        <v>#REF!</v>
      </c>
      <c r="E30" t="e">
        <f t="shared" ca="1" si="25"/>
        <v>#REF!</v>
      </c>
      <c r="F30" t="e">
        <f t="shared" ca="1" si="13"/>
        <v>#REF!</v>
      </c>
      <c r="G30" t="e">
        <f t="shared" ca="1" si="13"/>
        <v>#REF!</v>
      </c>
      <c r="H30" t="e">
        <f t="shared" ca="1" si="13"/>
        <v>#REF!</v>
      </c>
      <c r="I30" t="e">
        <f t="shared" ca="1" si="25"/>
        <v>#REF!</v>
      </c>
      <c r="J30" t="e">
        <f t="shared" ca="1" si="25"/>
        <v>#REF!</v>
      </c>
      <c r="K30" t="e">
        <f t="shared" ca="1" si="25"/>
        <v>#REF!</v>
      </c>
      <c r="L30" t="e">
        <f t="shared" ca="1" si="25"/>
        <v>#REF!</v>
      </c>
      <c r="M30" t="e">
        <f t="shared" ca="1" si="25"/>
        <v>#REF!</v>
      </c>
      <c r="N30" t="e">
        <f t="shared" ca="1" si="25"/>
        <v>#REF!</v>
      </c>
      <c r="O30" t="e">
        <f t="shared" ca="1" si="25"/>
        <v>#REF!</v>
      </c>
      <c r="P30" t="e">
        <f t="shared" ca="1" si="25"/>
        <v>#REF!</v>
      </c>
      <c r="Q30" t="e">
        <f t="shared" ca="1" si="25"/>
        <v>#REF!</v>
      </c>
      <c r="R30" t="e">
        <f t="shared" ca="1" si="25"/>
        <v>#REF!</v>
      </c>
      <c r="S30" t="e">
        <f t="shared" ca="1" si="25"/>
        <v>#REF!</v>
      </c>
      <c r="T30" t="e">
        <f t="shared" ca="1" si="14"/>
        <v>#REF!</v>
      </c>
      <c r="U30" t="e">
        <f t="shared" ca="1" si="14"/>
        <v>#REF!</v>
      </c>
      <c r="V30" t="e">
        <f t="shared" ca="1" si="14"/>
        <v>#REF!</v>
      </c>
      <c r="W30" t="e">
        <f t="shared" ca="1" si="14"/>
        <v>#REF!</v>
      </c>
      <c r="X30" t="e">
        <f t="shared" ca="1" si="14"/>
        <v>#REF!</v>
      </c>
      <c r="Y30" t="e">
        <f t="shared" ca="1" si="14"/>
        <v>#REF!</v>
      </c>
      <c r="Z30" t="e">
        <f t="shared" ca="1" si="14"/>
        <v>#REF!</v>
      </c>
      <c r="AA30" t="e">
        <f t="shared" ca="1" si="14"/>
        <v>#REF!</v>
      </c>
      <c r="AB30" s="44" t="e">
        <f t="shared" ca="1" si="14"/>
        <v>#REF!</v>
      </c>
      <c r="AC30" s="44" t="e">
        <f t="shared" ca="1" si="14"/>
        <v>#REF!</v>
      </c>
      <c r="AD30" s="44" t="e">
        <f t="shared" ca="1" si="14"/>
        <v>#REF!</v>
      </c>
      <c r="AE30" s="44" t="e">
        <f t="shared" ca="1" si="14"/>
        <v>#REF!</v>
      </c>
      <c r="AF30" s="44" t="e">
        <f t="shared" ca="1" si="14"/>
        <v>#REF!</v>
      </c>
      <c r="AG30" s="44" t="e">
        <f t="shared" ca="1" si="14"/>
        <v>#REF!</v>
      </c>
      <c r="AH30" s="44" t="e">
        <f t="shared" ca="1" si="14"/>
        <v>#REF!</v>
      </c>
      <c r="AI30" s="44" t="e">
        <f t="shared" ca="1" si="14"/>
        <v>#REF!</v>
      </c>
      <c r="AJ30" s="44" t="e">
        <f t="shared" ca="1" si="15"/>
        <v>#REF!</v>
      </c>
      <c r="AK30" s="44" t="e">
        <f t="shared" ca="1" si="15"/>
        <v>#REF!</v>
      </c>
      <c r="AL30" s="44" t="e">
        <f t="shared" ca="1" si="15"/>
        <v>#REF!</v>
      </c>
      <c r="AM30" s="44" t="e">
        <f t="shared" ca="1" si="15"/>
        <v>#REF!</v>
      </c>
      <c r="AN30" s="44" t="e">
        <f t="shared" ca="1" si="15"/>
        <v>#REF!</v>
      </c>
      <c r="AO30" s="44" t="e">
        <f t="shared" ca="1" si="15"/>
        <v>#REF!</v>
      </c>
      <c r="AP30" s="44" t="e">
        <f t="shared" ca="1" si="15"/>
        <v>#REF!</v>
      </c>
      <c r="AQ30" s="44" t="e">
        <f t="shared" ca="1" si="15"/>
        <v>#REF!</v>
      </c>
      <c r="AR30" s="44" t="e">
        <f t="shared" ca="1" si="15"/>
        <v>#REF!</v>
      </c>
      <c r="AS30" s="44" t="e">
        <f t="shared" ca="1" si="15"/>
        <v>#REF!</v>
      </c>
      <c r="AT30" s="44" t="e">
        <f t="shared" ca="1" si="15"/>
        <v>#REF!</v>
      </c>
      <c r="AU30" t="e">
        <f t="shared" ca="1" si="15"/>
        <v>#REF!</v>
      </c>
      <c r="AV30" t="e">
        <f t="shared" ca="1" si="15"/>
        <v>#REF!</v>
      </c>
      <c r="AW30" t="e">
        <f t="shared" ca="1" si="15"/>
        <v>#REF!</v>
      </c>
      <c r="AX30" t="e">
        <f t="shared" ca="1" si="15"/>
        <v>#REF!</v>
      </c>
      <c r="AY30" t="e">
        <f t="shared" ca="1" si="15"/>
        <v>#REF!</v>
      </c>
      <c r="AZ30" t="e">
        <f t="shared" ca="1" si="16"/>
        <v>#REF!</v>
      </c>
      <c r="BA30" t="e">
        <f t="shared" ca="1" si="16"/>
        <v>#REF!</v>
      </c>
      <c r="BB30" t="e">
        <f t="shared" ca="1" si="16"/>
        <v>#REF!</v>
      </c>
      <c r="BC30" t="e">
        <f t="shared" ca="1" si="16"/>
        <v>#REF!</v>
      </c>
      <c r="BD30" t="e">
        <f t="shared" ca="1" si="16"/>
        <v>#REF!</v>
      </c>
      <c r="BE30" t="e">
        <f t="shared" ca="1" si="16"/>
        <v>#REF!</v>
      </c>
      <c r="BF30" t="e">
        <f t="shared" ca="1" si="16"/>
        <v>#REF!</v>
      </c>
      <c r="BG30" t="e">
        <f t="shared" ca="1" si="16"/>
        <v>#REF!</v>
      </c>
      <c r="BH30" t="e">
        <f t="shared" ca="1" si="16"/>
        <v>#REF!</v>
      </c>
      <c r="BI30" t="e">
        <f t="shared" ca="1" si="16"/>
        <v>#REF!</v>
      </c>
      <c r="BJ30" t="e">
        <f t="shared" ca="1" si="16"/>
        <v>#REF!</v>
      </c>
      <c r="BK30" t="e">
        <f t="shared" ca="1" si="16"/>
        <v>#REF!</v>
      </c>
      <c r="BL30" t="e">
        <f t="shared" ca="1" si="16"/>
        <v>#REF!</v>
      </c>
      <c r="BM30" t="e">
        <f t="shared" ca="1" si="16"/>
        <v>#REF!</v>
      </c>
      <c r="BN30" s="44" t="e">
        <f t="shared" ca="1" si="16"/>
        <v>#REF!</v>
      </c>
      <c r="BO30" s="44" t="e">
        <f t="shared" ca="1" si="16"/>
        <v>#REF!</v>
      </c>
      <c r="BP30" s="44" t="e">
        <f t="shared" ca="1" si="17"/>
        <v>#REF!</v>
      </c>
      <c r="BQ30" s="44" t="e">
        <f t="shared" ca="1" si="17"/>
        <v>#REF!</v>
      </c>
      <c r="BR30" s="44" t="e">
        <f t="shared" ca="1" si="17"/>
        <v>#REF!</v>
      </c>
      <c r="BS30" s="44" t="e">
        <f t="shared" ca="1" si="17"/>
        <v>#REF!</v>
      </c>
      <c r="BT30" s="44" t="e">
        <f t="shared" ca="1" si="17"/>
        <v>#REF!</v>
      </c>
      <c r="BU30" s="44" t="e">
        <f t="shared" ca="1" si="17"/>
        <v>#REF!</v>
      </c>
      <c r="BV30" s="44" t="e">
        <f t="shared" ca="1" si="17"/>
        <v>#REF!</v>
      </c>
      <c r="BW30" s="44" t="e">
        <f t="shared" ca="1" si="17"/>
        <v>#REF!</v>
      </c>
      <c r="BX30" s="44" t="e">
        <f t="shared" ca="1" si="17"/>
        <v>#REF!</v>
      </c>
      <c r="BY30" s="44" t="e">
        <f t="shared" ca="1" si="17"/>
        <v>#REF!</v>
      </c>
      <c r="BZ30" s="44" t="e">
        <f t="shared" ca="1" si="17"/>
        <v>#REF!</v>
      </c>
      <c r="CA30" s="44" t="e">
        <f t="shared" ca="1" si="17"/>
        <v>#REF!</v>
      </c>
      <c r="CB30" s="44" t="e">
        <f t="shared" ca="1" si="17"/>
        <v>#REF!</v>
      </c>
      <c r="CC30" s="44" t="e">
        <f t="shared" ca="1" si="17"/>
        <v>#REF!</v>
      </c>
      <c r="CD30" s="44" t="e">
        <f t="shared" ca="1" si="17"/>
        <v>#REF!</v>
      </c>
      <c r="CE30" s="44" t="e">
        <f t="shared" ca="1" si="17"/>
        <v>#REF!</v>
      </c>
      <c r="CF30" s="44" t="e">
        <f t="shared" ca="1" si="18"/>
        <v>#REF!</v>
      </c>
      <c r="CG30" t="e">
        <f t="shared" ca="1" si="18"/>
        <v>#REF!</v>
      </c>
      <c r="CH30" t="e">
        <f t="shared" ca="1" si="18"/>
        <v>#REF!</v>
      </c>
      <c r="CI30" t="e">
        <f t="shared" ca="1" si="18"/>
        <v>#REF!</v>
      </c>
      <c r="CJ30" t="e">
        <f t="shared" ca="1" si="18"/>
        <v>#REF!</v>
      </c>
      <c r="CK30" t="e">
        <f t="shared" ca="1" si="18"/>
        <v>#REF!</v>
      </c>
      <c r="CL30" t="e">
        <f t="shared" ca="1" si="18"/>
        <v>#REF!</v>
      </c>
      <c r="CM30" t="e">
        <f t="shared" ca="1" si="18"/>
        <v>#REF!</v>
      </c>
      <c r="CN30" t="e">
        <f t="shared" ca="1" si="18"/>
        <v>#REF!</v>
      </c>
      <c r="CO30" t="e">
        <f t="shared" ca="1" si="18"/>
        <v>#REF!</v>
      </c>
      <c r="CP30" t="e">
        <f t="shared" ca="1" si="18"/>
        <v>#REF!</v>
      </c>
      <c r="CQ30" t="e">
        <f t="shared" ca="1" si="18"/>
        <v>#REF!</v>
      </c>
      <c r="CR30" t="e">
        <f t="shared" ca="1" si="18"/>
        <v>#REF!</v>
      </c>
      <c r="CS30" t="e">
        <f t="shared" ca="1" si="18"/>
        <v>#REF!</v>
      </c>
      <c r="CT30" t="e">
        <f t="shared" ca="1" si="18"/>
        <v>#REF!</v>
      </c>
      <c r="CU30" t="e">
        <f t="shared" ca="1" si="18"/>
        <v>#REF!</v>
      </c>
      <c r="CV30" t="e">
        <f t="shared" ca="1" si="19"/>
        <v>#REF!</v>
      </c>
      <c r="CW30" t="e">
        <f t="shared" ca="1" si="19"/>
        <v>#REF!</v>
      </c>
      <c r="CX30" t="e">
        <f t="shared" ca="1" si="19"/>
        <v>#REF!</v>
      </c>
      <c r="CY30" t="e">
        <f t="shared" ca="1" si="19"/>
        <v>#REF!</v>
      </c>
      <c r="CZ30" s="44" t="e">
        <f t="shared" ca="1" si="19"/>
        <v>#REF!</v>
      </c>
      <c r="DA30" s="44" t="e">
        <f t="shared" ca="1" si="19"/>
        <v>#REF!</v>
      </c>
      <c r="DB30" s="44" t="e">
        <f t="shared" ca="1" si="19"/>
        <v>#REF!</v>
      </c>
      <c r="DC30" s="44" t="e">
        <f t="shared" ca="1" si="19"/>
        <v>#REF!</v>
      </c>
      <c r="DD30" s="44" t="e">
        <f t="shared" ca="1" si="19"/>
        <v>#REF!</v>
      </c>
      <c r="DE30" s="44" t="e">
        <f t="shared" ca="1" si="19"/>
        <v>#REF!</v>
      </c>
      <c r="DF30" s="44" t="e">
        <f t="shared" ca="1" si="19"/>
        <v>#REF!</v>
      </c>
      <c r="DG30" s="44" t="e">
        <f t="shared" ca="1" si="19"/>
        <v>#REF!</v>
      </c>
      <c r="DH30" s="44" t="e">
        <f t="shared" ca="1" si="19"/>
        <v>#REF!</v>
      </c>
      <c r="DI30" s="44" t="e">
        <f t="shared" ca="1" si="19"/>
        <v>#REF!</v>
      </c>
      <c r="DJ30" s="44" t="e">
        <f t="shared" ca="1" si="19"/>
        <v>#REF!</v>
      </c>
      <c r="DK30" s="44" t="e">
        <f t="shared" ca="1" si="19"/>
        <v>#REF!</v>
      </c>
      <c r="DL30" s="44" t="e">
        <f t="shared" ca="1" si="20"/>
        <v>#REF!</v>
      </c>
      <c r="DM30" s="44" t="e">
        <f t="shared" ca="1" si="20"/>
        <v>#REF!</v>
      </c>
      <c r="DN30" s="44" t="e">
        <f t="shared" ca="1" si="20"/>
        <v>#REF!</v>
      </c>
      <c r="DO30" s="44" t="e">
        <f t="shared" ca="1" si="20"/>
        <v>#REF!</v>
      </c>
      <c r="DP30" s="44" t="e">
        <f t="shared" ca="1" si="20"/>
        <v>#REF!</v>
      </c>
      <c r="DQ30" s="44" t="e">
        <f t="shared" ca="1" si="20"/>
        <v>#REF!</v>
      </c>
      <c r="DR30" s="44" t="e">
        <f t="shared" ca="1" si="20"/>
        <v>#REF!</v>
      </c>
      <c r="DS30" t="e">
        <f t="shared" ca="1" si="20"/>
        <v>#REF!</v>
      </c>
      <c r="DT30" t="e">
        <f t="shared" ca="1" si="20"/>
        <v>#REF!</v>
      </c>
      <c r="DU30" t="e">
        <f t="shared" ca="1" si="20"/>
        <v>#REF!</v>
      </c>
      <c r="DV30" t="e">
        <f t="shared" ca="1" si="20"/>
        <v>#REF!</v>
      </c>
      <c r="DW30" t="e">
        <f t="shared" ca="1" si="20"/>
        <v>#REF!</v>
      </c>
      <c r="DX30" t="e">
        <f t="shared" ca="1" si="20"/>
        <v>#REF!</v>
      </c>
      <c r="DY30" t="e">
        <f t="shared" ca="1" si="20"/>
        <v>#REF!</v>
      </c>
      <c r="DZ30" t="e">
        <f t="shared" ca="1" si="20"/>
        <v>#REF!</v>
      </c>
      <c r="EA30" t="e">
        <f t="shared" ca="1" si="20"/>
        <v>#REF!</v>
      </c>
      <c r="EB30" t="e">
        <f t="shared" ca="1" si="21"/>
        <v>#REF!</v>
      </c>
      <c r="EC30" t="e">
        <f t="shared" ca="1" si="21"/>
        <v>#REF!</v>
      </c>
      <c r="ED30" t="e">
        <f t="shared" ca="1" si="21"/>
        <v>#REF!</v>
      </c>
      <c r="EE30" t="e">
        <f t="shared" ca="1" si="21"/>
        <v>#REF!</v>
      </c>
      <c r="EF30" t="e">
        <f t="shared" ca="1" si="21"/>
        <v>#REF!</v>
      </c>
      <c r="EG30" t="e">
        <f t="shared" ca="1" si="21"/>
        <v>#REF!</v>
      </c>
      <c r="EH30" t="e">
        <f t="shared" ca="1" si="21"/>
        <v>#REF!</v>
      </c>
      <c r="EI30" t="e">
        <f t="shared" ca="1" si="21"/>
        <v>#REF!</v>
      </c>
      <c r="EJ30" t="e">
        <f t="shared" ca="1" si="21"/>
        <v>#REF!</v>
      </c>
      <c r="EK30" s="44" t="e">
        <f t="shared" ca="1" si="21"/>
        <v>#REF!</v>
      </c>
      <c r="EL30" s="44" t="e">
        <f t="shared" ca="1" si="21"/>
        <v>#REF!</v>
      </c>
      <c r="EM30" s="44" t="e">
        <f t="shared" ca="1" si="21"/>
        <v>#REF!</v>
      </c>
      <c r="EN30" s="44" t="e">
        <f t="shared" ca="1" si="21"/>
        <v>#REF!</v>
      </c>
      <c r="EO30" s="44" t="e">
        <f t="shared" ca="1" si="21"/>
        <v>#REF!</v>
      </c>
      <c r="EP30" s="44" t="e">
        <f t="shared" ca="1" si="21"/>
        <v>#REF!</v>
      </c>
      <c r="EQ30" s="44" t="e">
        <f t="shared" ca="1" si="21"/>
        <v>#REF!</v>
      </c>
      <c r="ER30" s="44" t="e">
        <f t="shared" ca="1" si="22"/>
        <v>#REF!</v>
      </c>
      <c r="ES30" s="44" t="e">
        <f t="shared" ca="1" si="22"/>
        <v>#REF!</v>
      </c>
      <c r="ET30" s="44" t="e">
        <f t="shared" ca="1" si="22"/>
        <v>#REF!</v>
      </c>
      <c r="EU30" s="44" t="e">
        <f t="shared" ca="1" si="22"/>
        <v>#REF!</v>
      </c>
      <c r="EV30" s="44" t="e">
        <f t="shared" ca="1" si="22"/>
        <v>#REF!</v>
      </c>
      <c r="EW30" s="44" t="e">
        <f t="shared" ca="1" si="22"/>
        <v>#REF!</v>
      </c>
      <c r="EX30" s="44" t="e">
        <f t="shared" ca="1" si="22"/>
        <v>#REF!</v>
      </c>
      <c r="EY30" s="44" t="e">
        <f t="shared" ca="1" si="22"/>
        <v>#REF!</v>
      </c>
      <c r="EZ30" s="44" t="e">
        <f t="shared" ca="1" si="22"/>
        <v>#REF!</v>
      </c>
      <c r="FA30" s="44" t="e">
        <f t="shared" ca="1" si="22"/>
        <v>#REF!</v>
      </c>
      <c r="FB30" s="44" t="e">
        <f t="shared" ca="1" si="22"/>
        <v>#REF!</v>
      </c>
      <c r="FC30" s="56" t="e">
        <f t="shared" ca="1" si="22"/>
        <v>#REF!</v>
      </c>
      <c r="FD30" t="e">
        <f t="shared" ca="1" si="22"/>
        <v>#REF!</v>
      </c>
      <c r="FE30" t="e">
        <f t="shared" ca="1" si="22"/>
        <v>#REF!</v>
      </c>
      <c r="FF30" t="e">
        <f t="shared" ca="1" si="22"/>
        <v>#REF!</v>
      </c>
      <c r="FG30" t="e">
        <f t="shared" ca="1" si="22"/>
        <v>#REF!</v>
      </c>
      <c r="FH30" t="e">
        <f t="shared" ca="1" si="23"/>
        <v>#REF!</v>
      </c>
      <c r="FI30" t="e">
        <f t="shared" ca="1" si="23"/>
        <v>#REF!</v>
      </c>
      <c r="FJ30" t="e">
        <f t="shared" ca="1" si="23"/>
        <v>#REF!</v>
      </c>
      <c r="FK30" t="e">
        <f t="shared" ca="1" si="23"/>
        <v>#REF!</v>
      </c>
      <c r="FL30" t="e">
        <f t="shared" ca="1" si="23"/>
        <v>#REF!</v>
      </c>
      <c r="FM30" t="e">
        <f t="shared" ca="1" si="23"/>
        <v>#REF!</v>
      </c>
      <c r="FN30" t="e">
        <f t="shared" ca="1" si="23"/>
        <v>#REF!</v>
      </c>
      <c r="FO30" t="e">
        <f t="shared" ca="1" si="23"/>
        <v>#REF!</v>
      </c>
      <c r="FP30" t="e">
        <f t="shared" ca="1" si="23"/>
        <v>#REF!</v>
      </c>
      <c r="FQ30" t="e">
        <f t="shared" ca="1" si="23"/>
        <v>#REF!</v>
      </c>
      <c r="FR30" t="e">
        <f t="shared" ca="1" si="23"/>
        <v>#REF!</v>
      </c>
      <c r="FS30" t="e">
        <f t="shared" ca="1" si="23"/>
        <v>#REF!</v>
      </c>
      <c r="FT30" t="e">
        <f t="shared" ca="1" si="23"/>
        <v>#REF!</v>
      </c>
    </row>
    <row r="31" spans="1:176" ht="15" x14ac:dyDescent="0.25">
      <c r="A31" s="240">
        <v>210</v>
      </c>
      <c r="B31" t="e">
        <f t="shared" ca="1" si="25"/>
        <v>#REF!</v>
      </c>
      <c r="C31" t="e">
        <f t="shared" ca="1" si="25"/>
        <v>#REF!</v>
      </c>
      <c r="D31" t="e">
        <f t="shared" ca="1" si="25"/>
        <v>#REF!</v>
      </c>
      <c r="E31" t="e">
        <f t="shared" ca="1" si="25"/>
        <v>#REF!</v>
      </c>
      <c r="F31" t="e">
        <f t="shared" ca="1" si="13"/>
        <v>#REF!</v>
      </c>
      <c r="G31" t="e">
        <f t="shared" ca="1" si="13"/>
        <v>#REF!</v>
      </c>
      <c r="H31" t="e">
        <f t="shared" ca="1" si="13"/>
        <v>#REF!</v>
      </c>
      <c r="I31" t="e">
        <f t="shared" ca="1" si="25"/>
        <v>#REF!</v>
      </c>
      <c r="J31" t="e">
        <f t="shared" ca="1" si="25"/>
        <v>#REF!</v>
      </c>
      <c r="K31" t="e">
        <f t="shared" ca="1" si="25"/>
        <v>#REF!</v>
      </c>
      <c r="L31" t="e">
        <f t="shared" ca="1" si="25"/>
        <v>#REF!</v>
      </c>
      <c r="M31" t="e">
        <f t="shared" ca="1" si="25"/>
        <v>#REF!</v>
      </c>
      <c r="N31" t="e">
        <f t="shared" ca="1" si="25"/>
        <v>#REF!</v>
      </c>
      <c r="O31" t="e">
        <f t="shared" ca="1" si="25"/>
        <v>#REF!</v>
      </c>
      <c r="P31" t="e">
        <f t="shared" ca="1" si="25"/>
        <v>#REF!</v>
      </c>
      <c r="Q31" t="e">
        <f t="shared" ca="1" si="25"/>
        <v>#REF!</v>
      </c>
      <c r="R31" t="e">
        <f t="shared" ca="1" si="25"/>
        <v>#REF!</v>
      </c>
      <c r="S31" t="e">
        <f t="shared" ca="1" si="25"/>
        <v>#REF!</v>
      </c>
      <c r="T31" t="e">
        <f t="shared" ca="1" si="14"/>
        <v>#REF!</v>
      </c>
      <c r="U31" t="e">
        <f t="shared" ca="1" si="14"/>
        <v>#REF!</v>
      </c>
      <c r="V31" t="e">
        <f t="shared" ca="1" si="14"/>
        <v>#REF!</v>
      </c>
      <c r="W31" t="e">
        <f t="shared" ca="1" si="14"/>
        <v>#REF!</v>
      </c>
      <c r="X31" t="e">
        <f t="shared" ca="1" si="14"/>
        <v>#REF!</v>
      </c>
      <c r="Y31" t="e">
        <f t="shared" ca="1" si="14"/>
        <v>#REF!</v>
      </c>
      <c r="Z31" t="e">
        <f t="shared" ca="1" si="14"/>
        <v>#REF!</v>
      </c>
      <c r="AA31" t="e">
        <f t="shared" ca="1" si="14"/>
        <v>#REF!</v>
      </c>
      <c r="AB31" s="44" t="e">
        <f t="shared" ca="1" si="14"/>
        <v>#REF!</v>
      </c>
      <c r="AC31" s="44" t="e">
        <f t="shared" ca="1" si="14"/>
        <v>#REF!</v>
      </c>
      <c r="AD31" s="44" t="e">
        <f t="shared" ca="1" si="14"/>
        <v>#REF!</v>
      </c>
      <c r="AE31" s="44" t="e">
        <f t="shared" ca="1" si="14"/>
        <v>#REF!</v>
      </c>
      <c r="AF31" s="44" t="e">
        <f t="shared" ca="1" si="14"/>
        <v>#REF!</v>
      </c>
      <c r="AG31" s="44" t="e">
        <f t="shared" ca="1" si="14"/>
        <v>#REF!</v>
      </c>
      <c r="AH31" s="44" t="e">
        <f t="shared" ca="1" si="14"/>
        <v>#REF!</v>
      </c>
      <c r="AI31" s="44" t="e">
        <f t="shared" ca="1" si="14"/>
        <v>#REF!</v>
      </c>
      <c r="AJ31" s="44" t="e">
        <f t="shared" ca="1" si="15"/>
        <v>#REF!</v>
      </c>
      <c r="AK31" s="44" t="e">
        <f t="shared" ca="1" si="15"/>
        <v>#REF!</v>
      </c>
      <c r="AL31" s="44" t="e">
        <f t="shared" ca="1" si="15"/>
        <v>#REF!</v>
      </c>
      <c r="AM31" s="44" t="e">
        <f t="shared" ca="1" si="15"/>
        <v>#REF!</v>
      </c>
      <c r="AN31" s="44" t="e">
        <f t="shared" ca="1" si="15"/>
        <v>#REF!</v>
      </c>
      <c r="AO31" s="44" t="e">
        <f t="shared" ca="1" si="15"/>
        <v>#REF!</v>
      </c>
      <c r="AP31" s="44" t="e">
        <f t="shared" ca="1" si="15"/>
        <v>#REF!</v>
      </c>
      <c r="AQ31" s="44" t="e">
        <f t="shared" ca="1" si="15"/>
        <v>#REF!</v>
      </c>
      <c r="AR31" s="44" t="e">
        <f t="shared" ca="1" si="15"/>
        <v>#REF!</v>
      </c>
      <c r="AS31" s="44" t="e">
        <f t="shared" ca="1" si="15"/>
        <v>#REF!</v>
      </c>
      <c r="AT31" s="44" t="e">
        <f t="shared" ca="1" si="15"/>
        <v>#REF!</v>
      </c>
      <c r="AU31" t="e">
        <f t="shared" ca="1" si="15"/>
        <v>#REF!</v>
      </c>
      <c r="AV31" t="e">
        <f t="shared" ca="1" si="15"/>
        <v>#REF!</v>
      </c>
      <c r="AW31" t="e">
        <f t="shared" ca="1" si="15"/>
        <v>#REF!</v>
      </c>
      <c r="AX31" t="e">
        <f t="shared" ca="1" si="15"/>
        <v>#REF!</v>
      </c>
      <c r="AY31" t="e">
        <f t="shared" ca="1" si="15"/>
        <v>#REF!</v>
      </c>
      <c r="AZ31" t="e">
        <f t="shared" ca="1" si="16"/>
        <v>#REF!</v>
      </c>
      <c r="BA31" t="e">
        <f t="shared" ca="1" si="16"/>
        <v>#REF!</v>
      </c>
      <c r="BB31" t="e">
        <f t="shared" ca="1" si="16"/>
        <v>#REF!</v>
      </c>
      <c r="BC31" t="e">
        <f t="shared" ca="1" si="16"/>
        <v>#REF!</v>
      </c>
      <c r="BD31" t="e">
        <f t="shared" ca="1" si="16"/>
        <v>#REF!</v>
      </c>
      <c r="BE31" t="e">
        <f t="shared" ca="1" si="16"/>
        <v>#REF!</v>
      </c>
      <c r="BF31" t="e">
        <f t="shared" ca="1" si="16"/>
        <v>#REF!</v>
      </c>
      <c r="BG31" t="e">
        <f t="shared" ca="1" si="16"/>
        <v>#REF!</v>
      </c>
      <c r="BH31" t="e">
        <f t="shared" ca="1" si="16"/>
        <v>#REF!</v>
      </c>
      <c r="BI31" t="e">
        <f t="shared" ca="1" si="16"/>
        <v>#REF!</v>
      </c>
      <c r="BJ31" t="e">
        <f t="shared" ca="1" si="16"/>
        <v>#REF!</v>
      </c>
      <c r="BK31" t="e">
        <f t="shared" ca="1" si="16"/>
        <v>#REF!</v>
      </c>
      <c r="BL31" t="e">
        <f t="shared" ca="1" si="16"/>
        <v>#REF!</v>
      </c>
      <c r="BM31" t="e">
        <f t="shared" ca="1" si="16"/>
        <v>#REF!</v>
      </c>
      <c r="BN31" s="44" t="e">
        <f t="shared" ca="1" si="16"/>
        <v>#REF!</v>
      </c>
      <c r="BO31" s="44" t="e">
        <f t="shared" ca="1" si="16"/>
        <v>#REF!</v>
      </c>
      <c r="BP31" s="44" t="e">
        <f t="shared" ca="1" si="17"/>
        <v>#REF!</v>
      </c>
      <c r="BQ31" s="44" t="e">
        <f t="shared" ca="1" si="17"/>
        <v>#REF!</v>
      </c>
      <c r="BR31" s="44" t="e">
        <f t="shared" ca="1" si="17"/>
        <v>#REF!</v>
      </c>
      <c r="BS31" s="44" t="e">
        <f t="shared" ca="1" si="17"/>
        <v>#REF!</v>
      </c>
      <c r="BT31" s="44" t="e">
        <f t="shared" ca="1" si="17"/>
        <v>#REF!</v>
      </c>
      <c r="BU31" s="44" t="e">
        <f t="shared" ca="1" si="17"/>
        <v>#REF!</v>
      </c>
      <c r="BV31" s="44" t="e">
        <f t="shared" ca="1" si="17"/>
        <v>#REF!</v>
      </c>
      <c r="BW31" s="44" t="e">
        <f t="shared" ca="1" si="17"/>
        <v>#REF!</v>
      </c>
      <c r="BX31" s="44" t="e">
        <f t="shared" ca="1" si="17"/>
        <v>#REF!</v>
      </c>
      <c r="BY31" s="44" t="e">
        <f t="shared" ca="1" si="17"/>
        <v>#REF!</v>
      </c>
      <c r="BZ31" s="44" t="e">
        <f t="shared" ca="1" si="17"/>
        <v>#REF!</v>
      </c>
      <c r="CA31" s="44" t="e">
        <f t="shared" ca="1" si="17"/>
        <v>#REF!</v>
      </c>
      <c r="CB31" s="44" t="e">
        <f t="shared" ca="1" si="17"/>
        <v>#REF!</v>
      </c>
      <c r="CC31" s="44" t="e">
        <f t="shared" ca="1" si="17"/>
        <v>#REF!</v>
      </c>
      <c r="CD31" s="44" t="e">
        <f t="shared" ca="1" si="17"/>
        <v>#REF!</v>
      </c>
      <c r="CE31" s="44" t="e">
        <f t="shared" ca="1" si="17"/>
        <v>#REF!</v>
      </c>
      <c r="CF31" s="44" t="e">
        <f t="shared" ca="1" si="18"/>
        <v>#REF!</v>
      </c>
      <c r="CG31" t="e">
        <f t="shared" ca="1" si="18"/>
        <v>#REF!</v>
      </c>
      <c r="CH31" t="e">
        <f t="shared" ca="1" si="18"/>
        <v>#REF!</v>
      </c>
      <c r="CI31" t="e">
        <f t="shared" ca="1" si="18"/>
        <v>#REF!</v>
      </c>
      <c r="CJ31" t="e">
        <f t="shared" ca="1" si="18"/>
        <v>#REF!</v>
      </c>
      <c r="CK31" t="e">
        <f t="shared" ca="1" si="18"/>
        <v>#REF!</v>
      </c>
      <c r="CL31" t="e">
        <f t="shared" ca="1" si="18"/>
        <v>#REF!</v>
      </c>
      <c r="CM31" t="e">
        <f t="shared" ca="1" si="18"/>
        <v>#REF!</v>
      </c>
      <c r="CN31" t="e">
        <f t="shared" ca="1" si="18"/>
        <v>#REF!</v>
      </c>
      <c r="CO31" t="e">
        <f t="shared" ca="1" si="18"/>
        <v>#REF!</v>
      </c>
      <c r="CP31" t="e">
        <f t="shared" ca="1" si="18"/>
        <v>#REF!</v>
      </c>
      <c r="CQ31" t="e">
        <f t="shared" ca="1" si="18"/>
        <v>#REF!</v>
      </c>
      <c r="CR31" t="e">
        <f t="shared" ca="1" si="18"/>
        <v>#REF!</v>
      </c>
      <c r="CS31" t="e">
        <f t="shared" ca="1" si="18"/>
        <v>#REF!</v>
      </c>
      <c r="CT31" t="e">
        <f t="shared" ca="1" si="18"/>
        <v>#REF!</v>
      </c>
      <c r="CU31" t="e">
        <f t="shared" ca="1" si="18"/>
        <v>#REF!</v>
      </c>
      <c r="CV31" t="e">
        <f t="shared" ca="1" si="19"/>
        <v>#REF!</v>
      </c>
      <c r="CW31" t="e">
        <f t="shared" ca="1" si="19"/>
        <v>#REF!</v>
      </c>
      <c r="CX31" t="e">
        <f t="shared" ca="1" si="19"/>
        <v>#REF!</v>
      </c>
      <c r="CY31" t="e">
        <f t="shared" ca="1" si="19"/>
        <v>#REF!</v>
      </c>
      <c r="CZ31" s="44" t="e">
        <f t="shared" ca="1" si="19"/>
        <v>#REF!</v>
      </c>
      <c r="DA31" s="44" t="e">
        <f t="shared" ca="1" si="19"/>
        <v>#REF!</v>
      </c>
      <c r="DB31" s="44" t="e">
        <f t="shared" ca="1" si="19"/>
        <v>#REF!</v>
      </c>
      <c r="DC31" s="44" t="e">
        <f t="shared" ca="1" si="19"/>
        <v>#REF!</v>
      </c>
      <c r="DD31" s="44" t="e">
        <f t="shared" ca="1" si="19"/>
        <v>#REF!</v>
      </c>
      <c r="DE31" s="44" t="e">
        <f t="shared" ca="1" si="19"/>
        <v>#REF!</v>
      </c>
      <c r="DF31" s="44" t="e">
        <f t="shared" ca="1" si="19"/>
        <v>#REF!</v>
      </c>
      <c r="DG31" s="44" t="e">
        <f t="shared" ca="1" si="19"/>
        <v>#REF!</v>
      </c>
      <c r="DH31" s="44" t="e">
        <f t="shared" ca="1" si="19"/>
        <v>#REF!</v>
      </c>
      <c r="DI31" s="44" t="e">
        <f t="shared" ca="1" si="19"/>
        <v>#REF!</v>
      </c>
      <c r="DJ31" s="44" t="e">
        <f t="shared" ca="1" si="19"/>
        <v>#REF!</v>
      </c>
      <c r="DK31" s="44" t="e">
        <f t="shared" ca="1" si="19"/>
        <v>#REF!</v>
      </c>
      <c r="DL31" s="44" t="e">
        <f t="shared" ca="1" si="20"/>
        <v>#REF!</v>
      </c>
      <c r="DM31" s="44" t="e">
        <f t="shared" ca="1" si="20"/>
        <v>#REF!</v>
      </c>
      <c r="DN31" s="44" t="e">
        <f t="shared" ca="1" si="20"/>
        <v>#REF!</v>
      </c>
      <c r="DO31" s="44" t="e">
        <f t="shared" ca="1" si="20"/>
        <v>#REF!</v>
      </c>
      <c r="DP31" s="44" t="e">
        <f t="shared" ca="1" si="20"/>
        <v>#REF!</v>
      </c>
      <c r="DQ31" s="44" t="e">
        <f t="shared" ca="1" si="20"/>
        <v>#REF!</v>
      </c>
      <c r="DR31" s="44" t="e">
        <f t="shared" ca="1" si="20"/>
        <v>#REF!</v>
      </c>
      <c r="DS31" t="e">
        <f t="shared" ca="1" si="20"/>
        <v>#REF!</v>
      </c>
      <c r="DT31" t="e">
        <f t="shared" ca="1" si="20"/>
        <v>#REF!</v>
      </c>
      <c r="DU31" t="e">
        <f t="shared" ca="1" si="20"/>
        <v>#REF!</v>
      </c>
      <c r="DV31" t="e">
        <f t="shared" ca="1" si="20"/>
        <v>#REF!</v>
      </c>
      <c r="DW31" t="e">
        <f t="shared" ca="1" si="20"/>
        <v>#REF!</v>
      </c>
      <c r="DX31" t="e">
        <f t="shared" ca="1" si="20"/>
        <v>#REF!</v>
      </c>
      <c r="DY31" t="e">
        <f t="shared" ca="1" si="20"/>
        <v>#REF!</v>
      </c>
      <c r="DZ31" t="e">
        <f t="shared" ca="1" si="20"/>
        <v>#REF!</v>
      </c>
      <c r="EA31" t="e">
        <f t="shared" ca="1" si="20"/>
        <v>#REF!</v>
      </c>
      <c r="EB31" t="e">
        <f t="shared" ca="1" si="21"/>
        <v>#REF!</v>
      </c>
      <c r="EC31" t="e">
        <f t="shared" ca="1" si="21"/>
        <v>#REF!</v>
      </c>
      <c r="ED31" t="e">
        <f t="shared" ca="1" si="21"/>
        <v>#REF!</v>
      </c>
      <c r="EE31" t="e">
        <f t="shared" ca="1" si="21"/>
        <v>#REF!</v>
      </c>
      <c r="EF31" t="e">
        <f t="shared" ca="1" si="21"/>
        <v>#REF!</v>
      </c>
      <c r="EG31" t="e">
        <f t="shared" ca="1" si="21"/>
        <v>#REF!</v>
      </c>
      <c r="EH31" t="e">
        <f t="shared" ca="1" si="21"/>
        <v>#REF!</v>
      </c>
      <c r="EI31" t="e">
        <f t="shared" ca="1" si="21"/>
        <v>#REF!</v>
      </c>
      <c r="EJ31" t="e">
        <f t="shared" ca="1" si="21"/>
        <v>#REF!</v>
      </c>
      <c r="EK31" s="44" t="e">
        <f t="shared" ca="1" si="21"/>
        <v>#REF!</v>
      </c>
      <c r="EL31" s="44" t="e">
        <f t="shared" ca="1" si="21"/>
        <v>#REF!</v>
      </c>
      <c r="EM31" s="44" t="e">
        <f t="shared" ca="1" si="21"/>
        <v>#REF!</v>
      </c>
      <c r="EN31" s="44" t="e">
        <f t="shared" ca="1" si="21"/>
        <v>#REF!</v>
      </c>
      <c r="EO31" s="44" t="e">
        <f t="shared" ca="1" si="21"/>
        <v>#REF!</v>
      </c>
      <c r="EP31" s="44" t="e">
        <f t="shared" ca="1" si="21"/>
        <v>#REF!</v>
      </c>
      <c r="EQ31" s="44" t="e">
        <f t="shared" ca="1" si="21"/>
        <v>#REF!</v>
      </c>
      <c r="ER31" s="44" t="e">
        <f t="shared" ca="1" si="22"/>
        <v>#REF!</v>
      </c>
      <c r="ES31" s="44" t="e">
        <f t="shared" ca="1" si="22"/>
        <v>#REF!</v>
      </c>
      <c r="ET31" s="44" t="e">
        <f t="shared" ca="1" si="22"/>
        <v>#REF!</v>
      </c>
      <c r="EU31" s="44" t="e">
        <f t="shared" ca="1" si="22"/>
        <v>#REF!</v>
      </c>
      <c r="EV31" s="44" t="e">
        <f t="shared" ca="1" si="22"/>
        <v>#REF!</v>
      </c>
      <c r="EW31" s="44" t="e">
        <f t="shared" ca="1" si="22"/>
        <v>#REF!</v>
      </c>
      <c r="EX31" s="44" t="e">
        <f t="shared" ca="1" si="22"/>
        <v>#REF!</v>
      </c>
      <c r="EY31" s="44" t="e">
        <f t="shared" ca="1" si="22"/>
        <v>#REF!</v>
      </c>
      <c r="EZ31" s="44" t="e">
        <f t="shared" ca="1" si="22"/>
        <v>#REF!</v>
      </c>
      <c r="FA31" s="44" t="e">
        <f t="shared" ca="1" si="22"/>
        <v>#REF!</v>
      </c>
      <c r="FB31" s="44" t="e">
        <f t="shared" ca="1" si="22"/>
        <v>#REF!</v>
      </c>
      <c r="FC31" s="56" t="e">
        <f t="shared" ca="1" si="22"/>
        <v>#REF!</v>
      </c>
      <c r="FD31" t="e">
        <f t="shared" ca="1" si="22"/>
        <v>#REF!</v>
      </c>
      <c r="FE31" t="e">
        <f t="shared" ca="1" si="22"/>
        <v>#REF!</v>
      </c>
      <c r="FF31" t="e">
        <f t="shared" ca="1" si="22"/>
        <v>#REF!</v>
      </c>
      <c r="FG31" t="e">
        <f t="shared" ca="1" si="22"/>
        <v>#REF!</v>
      </c>
      <c r="FH31" t="e">
        <f t="shared" ca="1" si="23"/>
        <v>#REF!</v>
      </c>
      <c r="FI31" t="e">
        <f t="shared" ca="1" si="23"/>
        <v>#REF!</v>
      </c>
      <c r="FJ31" t="e">
        <f t="shared" ca="1" si="23"/>
        <v>#REF!</v>
      </c>
      <c r="FK31" t="e">
        <f t="shared" ca="1" si="23"/>
        <v>#REF!</v>
      </c>
      <c r="FL31" t="e">
        <f t="shared" ca="1" si="23"/>
        <v>#REF!</v>
      </c>
      <c r="FM31" t="e">
        <f t="shared" ca="1" si="23"/>
        <v>#REF!</v>
      </c>
      <c r="FN31" t="e">
        <f t="shared" ca="1" si="23"/>
        <v>#REF!</v>
      </c>
      <c r="FO31" t="e">
        <f t="shared" ca="1" si="23"/>
        <v>#REF!</v>
      </c>
      <c r="FP31" t="e">
        <f t="shared" ca="1" si="23"/>
        <v>#REF!</v>
      </c>
      <c r="FQ31" t="e">
        <f t="shared" ca="1" si="23"/>
        <v>#REF!</v>
      </c>
      <c r="FR31" t="e">
        <f t="shared" ca="1" si="23"/>
        <v>#REF!</v>
      </c>
      <c r="FS31" t="e">
        <f t="shared" ca="1" si="23"/>
        <v>#REF!</v>
      </c>
      <c r="FT31" t="e">
        <f t="shared" ca="1" si="23"/>
        <v>#REF!</v>
      </c>
    </row>
    <row r="32" spans="1:176" ht="15" x14ac:dyDescent="0.25">
      <c r="A32" s="240">
        <v>184</v>
      </c>
      <c r="B32" t="e">
        <f t="shared" ca="1" si="25"/>
        <v>#REF!</v>
      </c>
      <c r="C32" t="e">
        <f t="shared" ca="1" si="25"/>
        <v>#REF!</v>
      </c>
      <c r="D32" t="e">
        <f t="shared" ca="1" si="25"/>
        <v>#REF!</v>
      </c>
      <c r="E32" t="e">
        <f t="shared" ca="1" si="25"/>
        <v>#REF!</v>
      </c>
      <c r="F32" t="e">
        <f t="shared" ca="1" si="13"/>
        <v>#REF!</v>
      </c>
      <c r="G32" t="e">
        <f t="shared" ca="1" si="13"/>
        <v>#REF!</v>
      </c>
      <c r="H32" t="e">
        <f t="shared" ca="1" si="13"/>
        <v>#REF!</v>
      </c>
      <c r="I32" t="e">
        <f t="shared" ca="1" si="25"/>
        <v>#REF!</v>
      </c>
      <c r="J32" t="e">
        <f t="shared" ca="1" si="25"/>
        <v>#REF!</v>
      </c>
      <c r="K32" t="e">
        <f t="shared" ca="1" si="25"/>
        <v>#REF!</v>
      </c>
      <c r="L32" t="e">
        <f t="shared" ca="1" si="25"/>
        <v>#REF!</v>
      </c>
      <c r="M32" t="e">
        <f t="shared" ca="1" si="25"/>
        <v>#REF!</v>
      </c>
      <c r="N32" t="e">
        <f t="shared" ca="1" si="25"/>
        <v>#REF!</v>
      </c>
      <c r="O32" t="e">
        <f t="shared" ca="1" si="25"/>
        <v>#REF!</v>
      </c>
      <c r="P32" t="e">
        <f t="shared" ca="1" si="25"/>
        <v>#REF!</v>
      </c>
      <c r="Q32" t="e">
        <f t="shared" ca="1" si="25"/>
        <v>#REF!</v>
      </c>
      <c r="R32" t="e">
        <f t="shared" ca="1" si="25"/>
        <v>#REF!</v>
      </c>
      <c r="S32" t="e">
        <f t="shared" ca="1" si="25"/>
        <v>#REF!</v>
      </c>
      <c r="T32" t="e">
        <f t="shared" ca="1" si="14"/>
        <v>#REF!</v>
      </c>
      <c r="U32" t="e">
        <f t="shared" ca="1" si="14"/>
        <v>#REF!</v>
      </c>
      <c r="V32" t="e">
        <f t="shared" ca="1" si="14"/>
        <v>#REF!</v>
      </c>
      <c r="W32" t="e">
        <f t="shared" ca="1" si="14"/>
        <v>#REF!</v>
      </c>
      <c r="X32" t="e">
        <f t="shared" ca="1" si="14"/>
        <v>#REF!</v>
      </c>
      <c r="Y32" t="e">
        <f t="shared" ca="1" si="14"/>
        <v>#REF!</v>
      </c>
      <c r="Z32" t="e">
        <f t="shared" ca="1" si="14"/>
        <v>#REF!</v>
      </c>
      <c r="AA32" t="e">
        <f t="shared" ca="1" si="14"/>
        <v>#REF!</v>
      </c>
      <c r="AB32" s="44" t="e">
        <f t="shared" ca="1" si="14"/>
        <v>#REF!</v>
      </c>
      <c r="AC32" s="44" t="e">
        <f t="shared" ca="1" si="14"/>
        <v>#REF!</v>
      </c>
      <c r="AD32" s="44" t="e">
        <f t="shared" ca="1" si="14"/>
        <v>#REF!</v>
      </c>
      <c r="AE32" s="44" t="e">
        <f t="shared" ca="1" si="14"/>
        <v>#REF!</v>
      </c>
      <c r="AF32" s="44" t="e">
        <f t="shared" ca="1" si="14"/>
        <v>#REF!</v>
      </c>
      <c r="AG32" s="44" t="e">
        <f t="shared" ca="1" si="14"/>
        <v>#REF!</v>
      </c>
      <c r="AH32" s="44" t="e">
        <f t="shared" ca="1" si="14"/>
        <v>#REF!</v>
      </c>
      <c r="AI32" s="44" t="e">
        <f t="shared" ca="1" si="14"/>
        <v>#REF!</v>
      </c>
      <c r="AJ32" s="44" t="e">
        <f t="shared" ca="1" si="15"/>
        <v>#REF!</v>
      </c>
      <c r="AK32" s="44" t="e">
        <f t="shared" ca="1" si="15"/>
        <v>#REF!</v>
      </c>
      <c r="AL32" s="44" t="e">
        <f t="shared" ca="1" si="15"/>
        <v>#REF!</v>
      </c>
      <c r="AM32" s="44" t="e">
        <f t="shared" ca="1" si="15"/>
        <v>#REF!</v>
      </c>
      <c r="AN32" s="44" t="e">
        <f t="shared" ca="1" si="15"/>
        <v>#REF!</v>
      </c>
      <c r="AO32" s="44" t="e">
        <f t="shared" ca="1" si="15"/>
        <v>#REF!</v>
      </c>
      <c r="AP32" s="44" t="e">
        <f t="shared" ca="1" si="15"/>
        <v>#REF!</v>
      </c>
      <c r="AQ32" s="44" t="e">
        <f t="shared" ca="1" si="15"/>
        <v>#REF!</v>
      </c>
      <c r="AR32" s="44" t="e">
        <f t="shared" ca="1" si="15"/>
        <v>#REF!</v>
      </c>
      <c r="AS32" s="44" t="e">
        <f t="shared" ca="1" si="15"/>
        <v>#REF!</v>
      </c>
      <c r="AT32" s="44" t="e">
        <f t="shared" ca="1" si="15"/>
        <v>#REF!</v>
      </c>
      <c r="AU32" t="e">
        <f t="shared" ca="1" si="15"/>
        <v>#REF!</v>
      </c>
      <c r="AV32" t="e">
        <f t="shared" ca="1" si="15"/>
        <v>#REF!</v>
      </c>
      <c r="AW32" t="e">
        <f t="shared" ca="1" si="15"/>
        <v>#REF!</v>
      </c>
      <c r="AX32" t="e">
        <f t="shared" ca="1" si="15"/>
        <v>#REF!</v>
      </c>
      <c r="AY32" t="e">
        <f t="shared" ca="1" si="15"/>
        <v>#REF!</v>
      </c>
      <c r="AZ32" t="e">
        <f t="shared" ca="1" si="16"/>
        <v>#REF!</v>
      </c>
      <c r="BA32" t="e">
        <f t="shared" ca="1" si="16"/>
        <v>#REF!</v>
      </c>
      <c r="BB32" t="e">
        <f t="shared" ca="1" si="16"/>
        <v>#REF!</v>
      </c>
      <c r="BC32" t="e">
        <f t="shared" ca="1" si="16"/>
        <v>#REF!</v>
      </c>
      <c r="BD32" t="e">
        <f t="shared" ca="1" si="16"/>
        <v>#REF!</v>
      </c>
      <c r="BE32" t="e">
        <f t="shared" ca="1" si="16"/>
        <v>#REF!</v>
      </c>
      <c r="BF32" t="e">
        <f t="shared" ca="1" si="16"/>
        <v>#REF!</v>
      </c>
      <c r="BG32" t="e">
        <f t="shared" ca="1" si="16"/>
        <v>#REF!</v>
      </c>
      <c r="BH32" t="e">
        <f t="shared" ca="1" si="16"/>
        <v>#REF!</v>
      </c>
      <c r="BI32" t="e">
        <f t="shared" ca="1" si="16"/>
        <v>#REF!</v>
      </c>
      <c r="BJ32" t="e">
        <f t="shared" ca="1" si="16"/>
        <v>#REF!</v>
      </c>
      <c r="BK32" t="e">
        <f t="shared" ca="1" si="16"/>
        <v>#REF!</v>
      </c>
      <c r="BL32" t="e">
        <f t="shared" ca="1" si="16"/>
        <v>#REF!</v>
      </c>
      <c r="BM32" t="e">
        <f t="shared" ca="1" si="16"/>
        <v>#REF!</v>
      </c>
      <c r="BN32" s="44" t="e">
        <f t="shared" ca="1" si="16"/>
        <v>#REF!</v>
      </c>
      <c r="BO32" s="44" t="e">
        <f t="shared" ca="1" si="16"/>
        <v>#REF!</v>
      </c>
      <c r="BP32" s="44" t="e">
        <f t="shared" ca="1" si="17"/>
        <v>#REF!</v>
      </c>
      <c r="BQ32" s="44" t="e">
        <f t="shared" ca="1" si="17"/>
        <v>#REF!</v>
      </c>
      <c r="BR32" s="44" t="e">
        <f t="shared" ca="1" si="17"/>
        <v>#REF!</v>
      </c>
      <c r="BS32" s="44" t="e">
        <f t="shared" ca="1" si="17"/>
        <v>#REF!</v>
      </c>
      <c r="BT32" s="44" t="e">
        <f t="shared" ca="1" si="17"/>
        <v>#REF!</v>
      </c>
      <c r="BU32" s="44" t="e">
        <f t="shared" ca="1" si="17"/>
        <v>#REF!</v>
      </c>
      <c r="BV32" s="44" t="e">
        <f t="shared" ca="1" si="17"/>
        <v>#REF!</v>
      </c>
      <c r="BW32" s="44" t="e">
        <f t="shared" ca="1" si="17"/>
        <v>#REF!</v>
      </c>
      <c r="BX32" s="44" t="e">
        <f t="shared" ca="1" si="17"/>
        <v>#REF!</v>
      </c>
      <c r="BY32" s="44" t="e">
        <f t="shared" ca="1" si="17"/>
        <v>#REF!</v>
      </c>
      <c r="BZ32" s="44" t="e">
        <f t="shared" ca="1" si="17"/>
        <v>#REF!</v>
      </c>
      <c r="CA32" s="44" t="e">
        <f t="shared" ca="1" si="17"/>
        <v>#REF!</v>
      </c>
      <c r="CB32" s="44" t="e">
        <f t="shared" ca="1" si="17"/>
        <v>#REF!</v>
      </c>
      <c r="CC32" s="44" t="e">
        <f t="shared" ca="1" si="17"/>
        <v>#REF!</v>
      </c>
      <c r="CD32" s="44" t="e">
        <f t="shared" ca="1" si="17"/>
        <v>#REF!</v>
      </c>
      <c r="CE32" s="44" t="e">
        <f t="shared" ca="1" si="17"/>
        <v>#REF!</v>
      </c>
      <c r="CF32" s="44" t="e">
        <f t="shared" ca="1" si="18"/>
        <v>#REF!</v>
      </c>
      <c r="CG32" t="e">
        <f t="shared" ca="1" si="18"/>
        <v>#REF!</v>
      </c>
      <c r="CH32" t="e">
        <f t="shared" ca="1" si="18"/>
        <v>#REF!</v>
      </c>
      <c r="CI32" t="e">
        <f t="shared" ca="1" si="18"/>
        <v>#REF!</v>
      </c>
      <c r="CJ32" t="e">
        <f t="shared" ca="1" si="18"/>
        <v>#REF!</v>
      </c>
      <c r="CK32" t="e">
        <f t="shared" ca="1" si="18"/>
        <v>#REF!</v>
      </c>
      <c r="CL32" t="e">
        <f t="shared" ca="1" si="18"/>
        <v>#REF!</v>
      </c>
      <c r="CM32" t="e">
        <f t="shared" ca="1" si="18"/>
        <v>#REF!</v>
      </c>
      <c r="CN32" t="e">
        <f t="shared" ca="1" si="18"/>
        <v>#REF!</v>
      </c>
      <c r="CO32" t="e">
        <f t="shared" ca="1" si="18"/>
        <v>#REF!</v>
      </c>
      <c r="CP32" t="e">
        <f t="shared" ca="1" si="18"/>
        <v>#REF!</v>
      </c>
      <c r="CQ32" t="e">
        <f t="shared" ca="1" si="18"/>
        <v>#REF!</v>
      </c>
      <c r="CR32" t="e">
        <f t="shared" ca="1" si="18"/>
        <v>#REF!</v>
      </c>
      <c r="CS32" t="e">
        <f t="shared" ca="1" si="18"/>
        <v>#REF!</v>
      </c>
      <c r="CT32" t="e">
        <f t="shared" ca="1" si="18"/>
        <v>#REF!</v>
      </c>
      <c r="CU32" t="e">
        <f t="shared" ca="1" si="18"/>
        <v>#REF!</v>
      </c>
      <c r="CV32" t="e">
        <f t="shared" ca="1" si="19"/>
        <v>#REF!</v>
      </c>
      <c r="CW32" t="e">
        <f t="shared" ca="1" si="19"/>
        <v>#REF!</v>
      </c>
      <c r="CX32" t="e">
        <f t="shared" ca="1" si="19"/>
        <v>#REF!</v>
      </c>
      <c r="CY32" t="e">
        <f t="shared" ca="1" si="19"/>
        <v>#REF!</v>
      </c>
      <c r="CZ32" s="44" t="e">
        <f t="shared" ca="1" si="19"/>
        <v>#REF!</v>
      </c>
      <c r="DA32" s="44" t="e">
        <f t="shared" ca="1" si="19"/>
        <v>#REF!</v>
      </c>
      <c r="DB32" s="44" t="e">
        <f t="shared" ca="1" si="19"/>
        <v>#REF!</v>
      </c>
      <c r="DC32" s="44" t="e">
        <f t="shared" ca="1" si="19"/>
        <v>#REF!</v>
      </c>
      <c r="DD32" s="44" t="e">
        <f t="shared" ca="1" si="19"/>
        <v>#REF!</v>
      </c>
      <c r="DE32" s="44" t="e">
        <f t="shared" ca="1" si="19"/>
        <v>#REF!</v>
      </c>
      <c r="DF32" s="44" t="e">
        <f t="shared" ca="1" si="19"/>
        <v>#REF!</v>
      </c>
      <c r="DG32" s="44" t="e">
        <f t="shared" ca="1" si="19"/>
        <v>#REF!</v>
      </c>
      <c r="DH32" s="44" t="e">
        <f t="shared" ca="1" si="19"/>
        <v>#REF!</v>
      </c>
      <c r="DI32" s="44" t="e">
        <f t="shared" ca="1" si="19"/>
        <v>#REF!</v>
      </c>
      <c r="DJ32" s="44" t="e">
        <f t="shared" ca="1" si="19"/>
        <v>#REF!</v>
      </c>
      <c r="DK32" s="44" t="e">
        <f t="shared" ca="1" si="19"/>
        <v>#REF!</v>
      </c>
      <c r="DL32" s="44" t="e">
        <f t="shared" ca="1" si="20"/>
        <v>#REF!</v>
      </c>
      <c r="DM32" s="44" t="e">
        <f t="shared" ca="1" si="20"/>
        <v>#REF!</v>
      </c>
      <c r="DN32" s="44" t="e">
        <f t="shared" ca="1" si="20"/>
        <v>#REF!</v>
      </c>
      <c r="DO32" s="44" t="e">
        <f t="shared" ca="1" si="20"/>
        <v>#REF!</v>
      </c>
      <c r="DP32" s="44" t="e">
        <f t="shared" ca="1" si="20"/>
        <v>#REF!</v>
      </c>
      <c r="DQ32" s="44" t="e">
        <f t="shared" ca="1" si="20"/>
        <v>#REF!</v>
      </c>
      <c r="DR32" s="44" t="e">
        <f t="shared" ca="1" si="20"/>
        <v>#REF!</v>
      </c>
      <c r="DS32" t="e">
        <f t="shared" ca="1" si="20"/>
        <v>#REF!</v>
      </c>
      <c r="DT32" t="e">
        <f t="shared" ca="1" si="20"/>
        <v>#REF!</v>
      </c>
      <c r="DU32" t="e">
        <f t="shared" ca="1" si="20"/>
        <v>#REF!</v>
      </c>
      <c r="DV32" t="e">
        <f t="shared" ca="1" si="20"/>
        <v>#REF!</v>
      </c>
      <c r="DW32" t="e">
        <f t="shared" ca="1" si="20"/>
        <v>#REF!</v>
      </c>
      <c r="DX32" t="e">
        <f t="shared" ca="1" si="20"/>
        <v>#REF!</v>
      </c>
      <c r="DY32" t="e">
        <f t="shared" ca="1" si="20"/>
        <v>#REF!</v>
      </c>
      <c r="DZ32" t="e">
        <f t="shared" ca="1" si="20"/>
        <v>#REF!</v>
      </c>
      <c r="EA32" t="e">
        <f t="shared" ca="1" si="20"/>
        <v>#REF!</v>
      </c>
      <c r="EB32" t="e">
        <f t="shared" ca="1" si="21"/>
        <v>#REF!</v>
      </c>
      <c r="EC32" t="e">
        <f t="shared" ca="1" si="21"/>
        <v>#REF!</v>
      </c>
      <c r="ED32" t="e">
        <f t="shared" ca="1" si="21"/>
        <v>#REF!</v>
      </c>
      <c r="EE32" t="e">
        <f t="shared" ca="1" si="21"/>
        <v>#REF!</v>
      </c>
      <c r="EF32" t="e">
        <f t="shared" ca="1" si="21"/>
        <v>#REF!</v>
      </c>
      <c r="EG32" t="e">
        <f t="shared" ca="1" si="21"/>
        <v>#REF!</v>
      </c>
      <c r="EH32" t="e">
        <f t="shared" ca="1" si="21"/>
        <v>#REF!</v>
      </c>
      <c r="EI32" t="e">
        <f t="shared" ca="1" si="21"/>
        <v>#REF!</v>
      </c>
      <c r="EJ32" t="e">
        <f t="shared" ca="1" si="21"/>
        <v>#REF!</v>
      </c>
      <c r="EK32" s="44" t="e">
        <f t="shared" ca="1" si="21"/>
        <v>#REF!</v>
      </c>
      <c r="EL32" s="44" t="e">
        <f t="shared" ca="1" si="21"/>
        <v>#REF!</v>
      </c>
      <c r="EM32" s="44" t="e">
        <f t="shared" ca="1" si="21"/>
        <v>#REF!</v>
      </c>
      <c r="EN32" s="44" t="e">
        <f t="shared" ca="1" si="21"/>
        <v>#REF!</v>
      </c>
      <c r="EO32" s="44" t="e">
        <f t="shared" ca="1" si="21"/>
        <v>#REF!</v>
      </c>
      <c r="EP32" s="44" t="e">
        <f t="shared" ca="1" si="21"/>
        <v>#REF!</v>
      </c>
      <c r="EQ32" s="44" t="e">
        <f t="shared" ca="1" si="21"/>
        <v>#REF!</v>
      </c>
      <c r="ER32" s="44" t="e">
        <f t="shared" ca="1" si="22"/>
        <v>#REF!</v>
      </c>
      <c r="ES32" s="44" t="e">
        <f t="shared" ca="1" si="22"/>
        <v>#REF!</v>
      </c>
      <c r="ET32" s="44" t="e">
        <f t="shared" ca="1" si="22"/>
        <v>#REF!</v>
      </c>
      <c r="EU32" s="44" t="e">
        <f t="shared" ca="1" si="22"/>
        <v>#REF!</v>
      </c>
      <c r="EV32" s="44" t="e">
        <f t="shared" ca="1" si="22"/>
        <v>#REF!</v>
      </c>
      <c r="EW32" s="44" t="e">
        <f t="shared" ca="1" si="22"/>
        <v>#REF!</v>
      </c>
      <c r="EX32" s="44" t="e">
        <f t="shared" ca="1" si="22"/>
        <v>#REF!</v>
      </c>
      <c r="EY32" s="44" t="e">
        <f t="shared" ca="1" si="22"/>
        <v>#REF!</v>
      </c>
      <c r="EZ32" s="44" t="e">
        <f t="shared" ca="1" si="22"/>
        <v>#REF!</v>
      </c>
      <c r="FA32" s="44" t="e">
        <f t="shared" ca="1" si="22"/>
        <v>#REF!</v>
      </c>
      <c r="FB32" s="44" t="e">
        <f t="shared" ca="1" si="22"/>
        <v>#REF!</v>
      </c>
      <c r="FC32" s="56" t="e">
        <f t="shared" ca="1" si="22"/>
        <v>#REF!</v>
      </c>
      <c r="FD32" t="e">
        <f t="shared" ca="1" si="22"/>
        <v>#REF!</v>
      </c>
      <c r="FE32" t="e">
        <f t="shared" ca="1" si="22"/>
        <v>#REF!</v>
      </c>
      <c r="FF32" t="e">
        <f t="shared" ca="1" si="22"/>
        <v>#REF!</v>
      </c>
      <c r="FG32" t="e">
        <f t="shared" ca="1" si="22"/>
        <v>#REF!</v>
      </c>
      <c r="FH32" t="e">
        <f t="shared" ca="1" si="23"/>
        <v>#REF!</v>
      </c>
      <c r="FI32" t="e">
        <f t="shared" ca="1" si="23"/>
        <v>#REF!</v>
      </c>
      <c r="FJ32" t="e">
        <f t="shared" ca="1" si="23"/>
        <v>#REF!</v>
      </c>
      <c r="FK32" t="e">
        <f t="shared" ca="1" si="23"/>
        <v>#REF!</v>
      </c>
      <c r="FL32" t="e">
        <f t="shared" ca="1" si="23"/>
        <v>#REF!</v>
      </c>
      <c r="FM32" t="e">
        <f t="shared" ca="1" si="23"/>
        <v>#REF!</v>
      </c>
      <c r="FN32" t="e">
        <f t="shared" ca="1" si="23"/>
        <v>#REF!</v>
      </c>
      <c r="FO32" t="e">
        <f t="shared" ca="1" si="23"/>
        <v>#REF!</v>
      </c>
      <c r="FP32" t="e">
        <f t="shared" ca="1" si="23"/>
        <v>#REF!</v>
      </c>
      <c r="FQ32" t="e">
        <f t="shared" ca="1" si="23"/>
        <v>#REF!</v>
      </c>
      <c r="FR32" t="e">
        <f t="shared" ca="1" si="23"/>
        <v>#REF!</v>
      </c>
      <c r="FS32" t="e">
        <f t="shared" ca="1" si="23"/>
        <v>#REF!</v>
      </c>
      <c r="FT32" t="e">
        <f t="shared" ca="1" si="23"/>
        <v>#REF!</v>
      </c>
    </row>
    <row r="33" spans="1:176" ht="15" x14ac:dyDescent="0.25">
      <c r="A33" s="240">
        <v>221</v>
      </c>
      <c r="B33" t="e">
        <f t="shared" ca="1" si="25"/>
        <v>#REF!</v>
      </c>
      <c r="C33" t="e">
        <f t="shared" ca="1" si="25"/>
        <v>#REF!</v>
      </c>
      <c r="D33" t="e">
        <f t="shared" ca="1" si="25"/>
        <v>#REF!</v>
      </c>
      <c r="E33" t="e">
        <f t="shared" ca="1" si="25"/>
        <v>#REF!</v>
      </c>
      <c r="F33" t="e">
        <f t="shared" ca="1" si="13"/>
        <v>#REF!</v>
      </c>
      <c r="G33" t="e">
        <f t="shared" ca="1" si="13"/>
        <v>#REF!</v>
      </c>
      <c r="H33" t="e">
        <f t="shared" ca="1" si="13"/>
        <v>#REF!</v>
      </c>
      <c r="I33" t="e">
        <f t="shared" ca="1" si="25"/>
        <v>#REF!</v>
      </c>
      <c r="J33" t="e">
        <f t="shared" ca="1" si="25"/>
        <v>#REF!</v>
      </c>
      <c r="K33" t="e">
        <f t="shared" ca="1" si="25"/>
        <v>#REF!</v>
      </c>
      <c r="L33" t="e">
        <f t="shared" ca="1" si="25"/>
        <v>#REF!</v>
      </c>
      <c r="M33" t="e">
        <f t="shared" ca="1" si="25"/>
        <v>#REF!</v>
      </c>
      <c r="N33" t="e">
        <f t="shared" ca="1" si="25"/>
        <v>#REF!</v>
      </c>
      <c r="O33" t="e">
        <f t="shared" ca="1" si="25"/>
        <v>#REF!</v>
      </c>
      <c r="P33" t="e">
        <f t="shared" ca="1" si="25"/>
        <v>#REF!</v>
      </c>
      <c r="Q33" t="e">
        <f t="shared" ca="1" si="25"/>
        <v>#REF!</v>
      </c>
      <c r="R33" t="e">
        <f t="shared" ca="1" si="25"/>
        <v>#REF!</v>
      </c>
      <c r="S33" t="e">
        <f t="shared" ca="1" si="25"/>
        <v>#REF!</v>
      </c>
      <c r="T33" t="e">
        <f t="shared" ca="1" si="14"/>
        <v>#REF!</v>
      </c>
      <c r="U33" t="e">
        <f t="shared" ca="1" si="14"/>
        <v>#REF!</v>
      </c>
      <c r="V33" t="e">
        <f t="shared" ca="1" si="14"/>
        <v>#REF!</v>
      </c>
      <c r="W33" t="e">
        <f t="shared" ca="1" si="14"/>
        <v>#REF!</v>
      </c>
      <c r="X33" t="e">
        <f t="shared" ca="1" si="14"/>
        <v>#REF!</v>
      </c>
      <c r="Y33" t="e">
        <f t="shared" ca="1" si="14"/>
        <v>#REF!</v>
      </c>
      <c r="Z33" t="e">
        <f t="shared" ca="1" si="14"/>
        <v>#REF!</v>
      </c>
      <c r="AA33" t="e">
        <f t="shared" ca="1" si="14"/>
        <v>#REF!</v>
      </c>
      <c r="AB33" s="44" t="e">
        <f t="shared" ca="1" si="14"/>
        <v>#REF!</v>
      </c>
      <c r="AC33" s="44" t="e">
        <f t="shared" ca="1" si="14"/>
        <v>#REF!</v>
      </c>
      <c r="AD33" s="44" t="e">
        <f t="shared" ca="1" si="14"/>
        <v>#REF!</v>
      </c>
      <c r="AE33" s="44" t="e">
        <f t="shared" ca="1" si="14"/>
        <v>#REF!</v>
      </c>
      <c r="AF33" s="44" t="e">
        <f t="shared" ca="1" si="14"/>
        <v>#REF!</v>
      </c>
      <c r="AG33" s="44" t="e">
        <f t="shared" ca="1" si="14"/>
        <v>#REF!</v>
      </c>
      <c r="AH33" s="44" t="e">
        <f t="shared" ca="1" si="14"/>
        <v>#REF!</v>
      </c>
      <c r="AI33" s="44" t="e">
        <f t="shared" ca="1" si="14"/>
        <v>#REF!</v>
      </c>
      <c r="AJ33" s="44" t="e">
        <f t="shared" ca="1" si="15"/>
        <v>#REF!</v>
      </c>
      <c r="AK33" s="44" t="e">
        <f t="shared" ca="1" si="15"/>
        <v>#REF!</v>
      </c>
      <c r="AL33" s="44" t="e">
        <f t="shared" ca="1" si="15"/>
        <v>#REF!</v>
      </c>
      <c r="AM33" s="44" t="e">
        <f t="shared" ca="1" si="15"/>
        <v>#REF!</v>
      </c>
      <c r="AN33" s="44" t="e">
        <f t="shared" ca="1" si="15"/>
        <v>#REF!</v>
      </c>
      <c r="AO33" s="44" t="e">
        <f t="shared" ca="1" si="15"/>
        <v>#REF!</v>
      </c>
      <c r="AP33" s="44" t="e">
        <f t="shared" ca="1" si="15"/>
        <v>#REF!</v>
      </c>
      <c r="AQ33" s="44" t="e">
        <f t="shared" ca="1" si="15"/>
        <v>#REF!</v>
      </c>
      <c r="AR33" s="44" t="e">
        <f t="shared" ca="1" si="15"/>
        <v>#REF!</v>
      </c>
      <c r="AS33" s="44" t="e">
        <f t="shared" ca="1" si="15"/>
        <v>#REF!</v>
      </c>
      <c r="AT33" s="44" t="e">
        <f t="shared" ca="1" si="15"/>
        <v>#REF!</v>
      </c>
      <c r="AU33" t="e">
        <f t="shared" ca="1" si="15"/>
        <v>#REF!</v>
      </c>
      <c r="AV33" t="e">
        <f t="shared" ca="1" si="15"/>
        <v>#REF!</v>
      </c>
      <c r="AW33" t="e">
        <f t="shared" ca="1" si="15"/>
        <v>#REF!</v>
      </c>
      <c r="AX33" t="e">
        <f t="shared" ca="1" si="15"/>
        <v>#REF!</v>
      </c>
      <c r="AY33" t="e">
        <f t="shared" ca="1" si="15"/>
        <v>#REF!</v>
      </c>
      <c r="AZ33" t="e">
        <f t="shared" ca="1" si="16"/>
        <v>#REF!</v>
      </c>
      <c r="BA33" t="e">
        <f t="shared" ca="1" si="16"/>
        <v>#REF!</v>
      </c>
      <c r="BB33" t="e">
        <f t="shared" ca="1" si="16"/>
        <v>#REF!</v>
      </c>
      <c r="BC33" t="e">
        <f t="shared" ca="1" si="16"/>
        <v>#REF!</v>
      </c>
      <c r="BD33" t="e">
        <f t="shared" ca="1" si="16"/>
        <v>#REF!</v>
      </c>
      <c r="BE33" t="e">
        <f t="shared" ca="1" si="16"/>
        <v>#REF!</v>
      </c>
      <c r="BF33" t="e">
        <f t="shared" ca="1" si="16"/>
        <v>#REF!</v>
      </c>
      <c r="BG33" t="e">
        <f t="shared" ca="1" si="16"/>
        <v>#REF!</v>
      </c>
      <c r="BH33" t="e">
        <f t="shared" ca="1" si="16"/>
        <v>#REF!</v>
      </c>
      <c r="BI33" t="e">
        <f t="shared" ca="1" si="16"/>
        <v>#REF!</v>
      </c>
      <c r="BJ33" t="e">
        <f t="shared" ca="1" si="16"/>
        <v>#REF!</v>
      </c>
      <c r="BK33" t="e">
        <f t="shared" ca="1" si="16"/>
        <v>#REF!</v>
      </c>
      <c r="BL33" t="e">
        <f t="shared" ca="1" si="16"/>
        <v>#REF!</v>
      </c>
      <c r="BM33" t="e">
        <f t="shared" ca="1" si="16"/>
        <v>#REF!</v>
      </c>
      <c r="BN33" s="44" t="e">
        <f t="shared" ca="1" si="16"/>
        <v>#REF!</v>
      </c>
      <c r="BO33" s="44" t="e">
        <f t="shared" ca="1" si="16"/>
        <v>#REF!</v>
      </c>
      <c r="BP33" s="44" t="e">
        <f t="shared" ca="1" si="17"/>
        <v>#REF!</v>
      </c>
      <c r="BQ33" s="44" t="e">
        <f t="shared" ca="1" si="17"/>
        <v>#REF!</v>
      </c>
      <c r="BR33" s="44" t="e">
        <f t="shared" ca="1" si="17"/>
        <v>#REF!</v>
      </c>
      <c r="BS33" s="44" t="e">
        <f t="shared" ca="1" si="17"/>
        <v>#REF!</v>
      </c>
      <c r="BT33" s="44" t="e">
        <f t="shared" ca="1" si="17"/>
        <v>#REF!</v>
      </c>
      <c r="BU33" s="44" t="e">
        <f t="shared" ca="1" si="17"/>
        <v>#REF!</v>
      </c>
      <c r="BV33" s="44" t="e">
        <f t="shared" ca="1" si="17"/>
        <v>#REF!</v>
      </c>
      <c r="BW33" s="44" t="e">
        <f t="shared" ca="1" si="17"/>
        <v>#REF!</v>
      </c>
      <c r="BX33" s="44" t="e">
        <f t="shared" ca="1" si="17"/>
        <v>#REF!</v>
      </c>
      <c r="BY33" s="44" t="e">
        <f t="shared" ca="1" si="17"/>
        <v>#REF!</v>
      </c>
      <c r="BZ33" s="44" t="e">
        <f t="shared" ca="1" si="17"/>
        <v>#REF!</v>
      </c>
      <c r="CA33" s="44" t="e">
        <f t="shared" ca="1" si="17"/>
        <v>#REF!</v>
      </c>
      <c r="CB33" s="44" t="e">
        <f t="shared" ca="1" si="17"/>
        <v>#REF!</v>
      </c>
      <c r="CC33" s="44" t="e">
        <f t="shared" ca="1" si="17"/>
        <v>#REF!</v>
      </c>
      <c r="CD33" s="44" t="e">
        <f t="shared" ca="1" si="17"/>
        <v>#REF!</v>
      </c>
      <c r="CE33" s="44" t="e">
        <f t="shared" ca="1" si="17"/>
        <v>#REF!</v>
      </c>
      <c r="CF33" s="44" t="e">
        <f t="shared" ca="1" si="18"/>
        <v>#REF!</v>
      </c>
      <c r="CG33" t="e">
        <f t="shared" ca="1" si="18"/>
        <v>#REF!</v>
      </c>
      <c r="CH33" t="e">
        <f t="shared" ca="1" si="18"/>
        <v>#REF!</v>
      </c>
      <c r="CI33" t="e">
        <f t="shared" ca="1" si="18"/>
        <v>#REF!</v>
      </c>
      <c r="CJ33" t="e">
        <f t="shared" ca="1" si="18"/>
        <v>#REF!</v>
      </c>
      <c r="CK33" t="e">
        <f t="shared" ca="1" si="18"/>
        <v>#REF!</v>
      </c>
      <c r="CL33" t="e">
        <f t="shared" ca="1" si="18"/>
        <v>#REF!</v>
      </c>
      <c r="CM33" t="e">
        <f t="shared" ca="1" si="18"/>
        <v>#REF!</v>
      </c>
      <c r="CN33" t="e">
        <f t="shared" ca="1" si="18"/>
        <v>#REF!</v>
      </c>
      <c r="CO33" t="e">
        <f t="shared" ca="1" si="18"/>
        <v>#REF!</v>
      </c>
      <c r="CP33" t="e">
        <f t="shared" ca="1" si="18"/>
        <v>#REF!</v>
      </c>
      <c r="CQ33" t="e">
        <f t="shared" ca="1" si="18"/>
        <v>#REF!</v>
      </c>
      <c r="CR33" t="e">
        <f t="shared" ca="1" si="18"/>
        <v>#REF!</v>
      </c>
      <c r="CS33" t="e">
        <f t="shared" ca="1" si="18"/>
        <v>#REF!</v>
      </c>
      <c r="CT33" t="e">
        <f t="shared" ca="1" si="18"/>
        <v>#REF!</v>
      </c>
      <c r="CU33" t="e">
        <f t="shared" ca="1" si="18"/>
        <v>#REF!</v>
      </c>
      <c r="CV33" t="e">
        <f t="shared" ca="1" si="19"/>
        <v>#REF!</v>
      </c>
      <c r="CW33" t="e">
        <f t="shared" ca="1" si="19"/>
        <v>#REF!</v>
      </c>
      <c r="CX33" t="e">
        <f t="shared" ca="1" si="19"/>
        <v>#REF!</v>
      </c>
      <c r="CY33" t="e">
        <f t="shared" ca="1" si="19"/>
        <v>#REF!</v>
      </c>
      <c r="CZ33" s="44" t="e">
        <f t="shared" ca="1" si="19"/>
        <v>#REF!</v>
      </c>
      <c r="DA33" s="44" t="e">
        <f t="shared" ca="1" si="19"/>
        <v>#REF!</v>
      </c>
      <c r="DB33" s="44" t="e">
        <f t="shared" ca="1" si="19"/>
        <v>#REF!</v>
      </c>
      <c r="DC33" s="44" t="e">
        <f t="shared" ca="1" si="19"/>
        <v>#REF!</v>
      </c>
      <c r="DD33" s="44" t="e">
        <f t="shared" ca="1" si="19"/>
        <v>#REF!</v>
      </c>
      <c r="DE33" s="44" t="e">
        <f t="shared" ca="1" si="19"/>
        <v>#REF!</v>
      </c>
      <c r="DF33" s="44" t="e">
        <f t="shared" ca="1" si="19"/>
        <v>#REF!</v>
      </c>
      <c r="DG33" s="44" t="e">
        <f t="shared" ca="1" si="19"/>
        <v>#REF!</v>
      </c>
      <c r="DH33" s="44" t="e">
        <f t="shared" ca="1" si="19"/>
        <v>#REF!</v>
      </c>
      <c r="DI33" s="44" t="e">
        <f t="shared" ca="1" si="19"/>
        <v>#REF!</v>
      </c>
      <c r="DJ33" s="44" t="e">
        <f t="shared" ca="1" si="19"/>
        <v>#REF!</v>
      </c>
      <c r="DK33" s="44" t="e">
        <f t="shared" ca="1" si="19"/>
        <v>#REF!</v>
      </c>
      <c r="DL33" s="44" t="e">
        <f t="shared" ca="1" si="20"/>
        <v>#REF!</v>
      </c>
      <c r="DM33" s="44" t="e">
        <f t="shared" ca="1" si="20"/>
        <v>#REF!</v>
      </c>
      <c r="DN33" s="44" t="e">
        <f t="shared" ca="1" si="20"/>
        <v>#REF!</v>
      </c>
      <c r="DO33" s="44" t="e">
        <f t="shared" ca="1" si="20"/>
        <v>#REF!</v>
      </c>
      <c r="DP33" s="44" t="e">
        <f t="shared" ca="1" si="20"/>
        <v>#REF!</v>
      </c>
      <c r="DQ33" s="44" t="e">
        <f t="shared" ca="1" si="20"/>
        <v>#REF!</v>
      </c>
      <c r="DR33" s="44" t="e">
        <f t="shared" ca="1" si="20"/>
        <v>#REF!</v>
      </c>
      <c r="DS33" t="e">
        <f t="shared" ca="1" si="20"/>
        <v>#REF!</v>
      </c>
      <c r="DT33" t="e">
        <f t="shared" ca="1" si="20"/>
        <v>#REF!</v>
      </c>
      <c r="DU33" t="e">
        <f t="shared" ca="1" si="20"/>
        <v>#REF!</v>
      </c>
      <c r="DV33" t="e">
        <f t="shared" ca="1" si="20"/>
        <v>#REF!</v>
      </c>
      <c r="DW33" t="e">
        <f t="shared" ca="1" si="20"/>
        <v>#REF!</v>
      </c>
      <c r="DX33" t="e">
        <f t="shared" ca="1" si="20"/>
        <v>#REF!</v>
      </c>
      <c r="DY33" t="e">
        <f t="shared" ca="1" si="20"/>
        <v>#REF!</v>
      </c>
      <c r="DZ33" t="e">
        <f t="shared" ca="1" si="20"/>
        <v>#REF!</v>
      </c>
      <c r="EA33" t="e">
        <f t="shared" ca="1" si="20"/>
        <v>#REF!</v>
      </c>
      <c r="EB33" t="e">
        <f t="shared" ca="1" si="21"/>
        <v>#REF!</v>
      </c>
      <c r="EC33" t="e">
        <f t="shared" ca="1" si="21"/>
        <v>#REF!</v>
      </c>
      <c r="ED33" t="e">
        <f t="shared" ca="1" si="21"/>
        <v>#REF!</v>
      </c>
      <c r="EE33" t="e">
        <f t="shared" ca="1" si="21"/>
        <v>#REF!</v>
      </c>
      <c r="EF33" t="e">
        <f t="shared" ca="1" si="21"/>
        <v>#REF!</v>
      </c>
      <c r="EG33" t="e">
        <f t="shared" ca="1" si="21"/>
        <v>#REF!</v>
      </c>
      <c r="EH33" t="e">
        <f t="shared" ca="1" si="21"/>
        <v>#REF!</v>
      </c>
      <c r="EI33" t="e">
        <f t="shared" ca="1" si="21"/>
        <v>#REF!</v>
      </c>
      <c r="EJ33" t="e">
        <f t="shared" ca="1" si="21"/>
        <v>#REF!</v>
      </c>
      <c r="EK33" s="44" t="e">
        <f t="shared" ca="1" si="21"/>
        <v>#REF!</v>
      </c>
      <c r="EL33" s="44" t="e">
        <f t="shared" ca="1" si="21"/>
        <v>#REF!</v>
      </c>
      <c r="EM33" s="44" t="e">
        <f t="shared" ca="1" si="21"/>
        <v>#REF!</v>
      </c>
      <c r="EN33" s="44" t="e">
        <f t="shared" ca="1" si="21"/>
        <v>#REF!</v>
      </c>
      <c r="EO33" s="44" t="e">
        <f t="shared" ca="1" si="21"/>
        <v>#REF!</v>
      </c>
      <c r="EP33" s="44" t="e">
        <f t="shared" ca="1" si="21"/>
        <v>#REF!</v>
      </c>
      <c r="EQ33" s="44" t="e">
        <f t="shared" ca="1" si="21"/>
        <v>#REF!</v>
      </c>
      <c r="ER33" s="44" t="e">
        <f t="shared" ca="1" si="22"/>
        <v>#REF!</v>
      </c>
      <c r="ES33" s="44" t="e">
        <f t="shared" ca="1" si="22"/>
        <v>#REF!</v>
      </c>
      <c r="ET33" s="44" t="e">
        <f t="shared" ca="1" si="22"/>
        <v>#REF!</v>
      </c>
      <c r="EU33" s="44" t="e">
        <f t="shared" ca="1" si="22"/>
        <v>#REF!</v>
      </c>
      <c r="EV33" s="44" t="e">
        <f t="shared" ca="1" si="22"/>
        <v>#REF!</v>
      </c>
      <c r="EW33" s="44" t="e">
        <f t="shared" ca="1" si="22"/>
        <v>#REF!</v>
      </c>
      <c r="EX33" s="44" t="e">
        <f t="shared" ca="1" si="22"/>
        <v>#REF!</v>
      </c>
      <c r="EY33" s="44" t="e">
        <f t="shared" ca="1" si="22"/>
        <v>#REF!</v>
      </c>
      <c r="EZ33" s="44" t="e">
        <f t="shared" ca="1" si="22"/>
        <v>#REF!</v>
      </c>
      <c r="FA33" s="44" t="e">
        <f t="shared" ca="1" si="22"/>
        <v>#REF!</v>
      </c>
      <c r="FB33" s="44" t="e">
        <f t="shared" ca="1" si="22"/>
        <v>#REF!</v>
      </c>
      <c r="FC33" s="56" t="e">
        <f t="shared" ca="1" si="22"/>
        <v>#REF!</v>
      </c>
      <c r="FD33" t="e">
        <f t="shared" ca="1" si="22"/>
        <v>#REF!</v>
      </c>
      <c r="FE33" t="e">
        <f t="shared" ca="1" si="22"/>
        <v>#REF!</v>
      </c>
      <c r="FF33" t="e">
        <f t="shared" ca="1" si="22"/>
        <v>#REF!</v>
      </c>
      <c r="FG33" t="e">
        <f t="shared" ca="1" si="22"/>
        <v>#REF!</v>
      </c>
      <c r="FH33" t="e">
        <f t="shared" ca="1" si="23"/>
        <v>#REF!</v>
      </c>
      <c r="FI33" t="e">
        <f t="shared" ca="1" si="23"/>
        <v>#REF!</v>
      </c>
      <c r="FJ33" t="e">
        <f t="shared" ca="1" si="23"/>
        <v>#REF!</v>
      </c>
      <c r="FK33" t="e">
        <f t="shared" ca="1" si="23"/>
        <v>#REF!</v>
      </c>
      <c r="FL33" t="e">
        <f t="shared" ca="1" si="23"/>
        <v>#REF!</v>
      </c>
      <c r="FM33" t="e">
        <f t="shared" ca="1" si="23"/>
        <v>#REF!</v>
      </c>
      <c r="FN33" t="e">
        <f t="shared" ca="1" si="23"/>
        <v>#REF!</v>
      </c>
      <c r="FO33" t="e">
        <f t="shared" ca="1" si="23"/>
        <v>#REF!</v>
      </c>
      <c r="FP33" t="e">
        <f t="shared" ca="1" si="23"/>
        <v>#REF!</v>
      </c>
      <c r="FQ33" t="e">
        <f t="shared" ca="1" si="23"/>
        <v>#REF!</v>
      </c>
      <c r="FR33" t="e">
        <f t="shared" ca="1" si="23"/>
        <v>#REF!</v>
      </c>
      <c r="FS33" t="e">
        <f t="shared" ca="1" si="23"/>
        <v>#REF!</v>
      </c>
      <c r="FT33" t="e">
        <f t="shared" ca="1" si="23"/>
        <v>#REF!</v>
      </c>
    </row>
    <row r="34" spans="1:176" ht="15" x14ac:dyDescent="0.25">
      <c r="A34" s="240">
        <v>182</v>
      </c>
      <c r="B34" t="e">
        <f t="shared" ca="1" si="25"/>
        <v>#REF!</v>
      </c>
      <c r="C34" t="e">
        <f t="shared" ca="1" si="25"/>
        <v>#REF!</v>
      </c>
      <c r="D34" t="e">
        <f t="shared" ca="1" si="25"/>
        <v>#REF!</v>
      </c>
      <c r="E34" t="e">
        <f t="shared" ca="1" si="25"/>
        <v>#REF!</v>
      </c>
      <c r="F34" t="e">
        <f t="shared" ca="1" si="13"/>
        <v>#REF!</v>
      </c>
      <c r="G34" t="e">
        <f t="shared" ca="1" si="13"/>
        <v>#REF!</v>
      </c>
      <c r="H34" t="e">
        <f t="shared" ca="1" si="13"/>
        <v>#REF!</v>
      </c>
      <c r="I34" t="e">
        <f t="shared" ca="1" si="25"/>
        <v>#REF!</v>
      </c>
      <c r="J34" t="e">
        <f t="shared" ca="1" si="25"/>
        <v>#REF!</v>
      </c>
      <c r="K34" t="e">
        <f t="shared" ca="1" si="25"/>
        <v>#REF!</v>
      </c>
      <c r="L34" t="e">
        <f t="shared" ca="1" si="25"/>
        <v>#REF!</v>
      </c>
      <c r="M34" t="e">
        <f t="shared" ca="1" si="25"/>
        <v>#REF!</v>
      </c>
      <c r="N34" t="e">
        <f t="shared" ca="1" si="25"/>
        <v>#REF!</v>
      </c>
      <c r="O34" t="e">
        <f t="shared" ca="1" si="25"/>
        <v>#REF!</v>
      </c>
      <c r="P34" t="e">
        <f t="shared" ca="1" si="25"/>
        <v>#REF!</v>
      </c>
      <c r="Q34" t="e">
        <f t="shared" ca="1" si="25"/>
        <v>#REF!</v>
      </c>
      <c r="R34" t="e">
        <f t="shared" ca="1" si="25"/>
        <v>#REF!</v>
      </c>
      <c r="S34" t="e">
        <f t="shared" ca="1" si="25"/>
        <v>#REF!</v>
      </c>
      <c r="T34" t="e">
        <f t="shared" ref="T34:AI49" ca="1" si="26">IF($A34="", "", IF(INDIRECT($A34&amp; "!"&amp; T$2)="", "", INDIRECT($A34&amp; "!"&amp; T$2)))</f>
        <v>#REF!</v>
      </c>
      <c r="U34" t="e">
        <f t="shared" ca="1" si="26"/>
        <v>#REF!</v>
      </c>
      <c r="V34" t="e">
        <f t="shared" ca="1" si="26"/>
        <v>#REF!</v>
      </c>
      <c r="W34" t="e">
        <f t="shared" ca="1" si="26"/>
        <v>#REF!</v>
      </c>
      <c r="X34" t="e">
        <f t="shared" ca="1" si="26"/>
        <v>#REF!</v>
      </c>
      <c r="Y34" t="e">
        <f t="shared" ca="1" si="26"/>
        <v>#REF!</v>
      </c>
      <c r="Z34" t="e">
        <f t="shared" ca="1" si="26"/>
        <v>#REF!</v>
      </c>
      <c r="AA34" t="e">
        <f t="shared" ca="1" si="26"/>
        <v>#REF!</v>
      </c>
      <c r="AB34" s="44" t="e">
        <f t="shared" ca="1" si="26"/>
        <v>#REF!</v>
      </c>
      <c r="AC34" s="44" t="e">
        <f t="shared" ca="1" si="26"/>
        <v>#REF!</v>
      </c>
      <c r="AD34" s="44" t="e">
        <f t="shared" ca="1" si="26"/>
        <v>#REF!</v>
      </c>
      <c r="AE34" s="44" t="e">
        <f t="shared" ca="1" si="26"/>
        <v>#REF!</v>
      </c>
      <c r="AF34" s="44" t="e">
        <f t="shared" ca="1" si="26"/>
        <v>#REF!</v>
      </c>
      <c r="AG34" s="44" t="e">
        <f t="shared" ca="1" si="26"/>
        <v>#REF!</v>
      </c>
      <c r="AH34" s="44" t="e">
        <f t="shared" ca="1" si="26"/>
        <v>#REF!</v>
      </c>
      <c r="AI34" s="44" t="e">
        <f t="shared" ca="1" si="26"/>
        <v>#REF!</v>
      </c>
      <c r="AJ34" s="44" t="e">
        <f t="shared" ref="AJ34:AY49" ca="1" si="27">IF($A34="", "", IF(INDIRECT($A34&amp; "!"&amp; AJ$2)="", "", INDIRECT($A34&amp; "!"&amp; AJ$2)))</f>
        <v>#REF!</v>
      </c>
      <c r="AK34" s="44" t="e">
        <f t="shared" ca="1" si="27"/>
        <v>#REF!</v>
      </c>
      <c r="AL34" s="44" t="e">
        <f t="shared" ca="1" si="27"/>
        <v>#REF!</v>
      </c>
      <c r="AM34" s="44" t="e">
        <f t="shared" ca="1" si="27"/>
        <v>#REF!</v>
      </c>
      <c r="AN34" s="44" t="e">
        <f t="shared" ca="1" si="27"/>
        <v>#REF!</v>
      </c>
      <c r="AO34" s="44" t="e">
        <f t="shared" ca="1" si="27"/>
        <v>#REF!</v>
      </c>
      <c r="AP34" s="44" t="e">
        <f t="shared" ca="1" si="27"/>
        <v>#REF!</v>
      </c>
      <c r="AQ34" s="44" t="e">
        <f t="shared" ca="1" si="27"/>
        <v>#REF!</v>
      </c>
      <c r="AR34" s="44" t="e">
        <f t="shared" ca="1" si="27"/>
        <v>#REF!</v>
      </c>
      <c r="AS34" s="44" t="e">
        <f t="shared" ca="1" si="27"/>
        <v>#REF!</v>
      </c>
      <c r="AT34" s="44" t="e">
        <f t="shared" ca="1" si="27"/>
        <v>#REF!</v>
      </c>
      <c r="AU34" t="e">
        <f t="shared" ca="1" si="27"/>
        <v>#REF!</v>
      </c>
      <c r="AV34" t="e">
        <f t="shared" ca="1" si="27"/>
        <v>#REF!</v>
      </c>
      <c r="AW34" t="e">
        <f t="shared" ca="1" si="27"/>
        <v>#REF!</v>
      </c>
      <c r="AX34" t="e">
        <f t="shared" ca="1" si="27"/>
        <v>#REF!</v>
      </c>
      <c r="AY34" t="e">
        <f t="shared" ca="1" si="27"/>
        <v>#REF!</v>
      </c>
      <c r="AZ34" t="e">
        <f t="shared" ref="AZ34:BO49" ca="1" si="28">IF($A34="", "", IF(INDIRECT($A34&amp; "!"&amp; AZ$2)="", "", INDIRECT($A34&amp; "!"&amp; AZ$2)))</f>
        <v>#REF!</v>
      </c>
      <c r="BA34" t="e">
        <f t="shared" ca="1" si="28"/>
        <v>#REF!</v>
      </c>
      <c r="BB34" t="e">
        <f t="shared" ca="1" si="28"/>
        <v>#REF!</v>
      </c>
      <c r="BC34" t="e">
        <f t="shared" ca="1" si="28"/>
        <v>#REF!</v>
      </c>
      <c r="BD34" t="e">
        <f t="shared" ca="1" si="28"/>
        <v>#REF!</v>
      </c>
      <c r="BE34" t="e">
        <f t="shared" ca="1" si="28"/>
        <v>#REF!</v>
      </c>
      <c r="BF34" t="e">
        <f t="shared" ca="1" si="28"/>
        <v>#REF!</v>
      </c>
      <c r="BG34" t="e">
        <f t="shared" ca="1" si="28"/>
        <v>#REF!</v>
      </c>
      <c r="BH34" t="e">
        <f t="shared" ca="1" si="28"/>
        <v>#REF!</v>
      </c>
      <c r="BI34" t="e">
        <f t="shared" ca="1" si="28"/>
        <v>#REF!</v>
      </c>
      <c r="BJ34" t="e">
        <f t="shared" ca="1" si="28"/>
        <v>#REF!</v>
      </c>
      <c r="BK34" t="e">
        <f t="shared" ca="1" si="28"/>
        <v>#REF!</v>
      </c>
      <c r="BL34" t="e">
        <f t="shared" ca="1" si="28"/>
        <v>#REF!</v>
      </c>
      <c r="BM34" t="e">
        <f t="shared" ca="1" si="28"/>
        <v>#REF!</v>
      </c>
      <c r="BN34" s="44" t="e">
        <f t="shared" ca="1" si="28"/>
        <v>#REF!</v>
      </c>
      <c r="BO34" s="44" t="e">
        <f t="shared" ca="1" si="28"/>
        <v>#REF!</v>
      </c>
      <c r="BP34" s="44" t="e">
        <f t="shared" ref="BP34:CE49" ca="1" si="29">IF($A34="", "", IF(INDIRECT($A34&amp; "!"&amp; BP$2)="", "", INDIRECT($A34&amp; "!"&amp; BP$2)))</f>
        <v>#REF!</v>
      </c>
      <c r="BQ34" s="44" t="e">
        <f t="shared" ca="1" si="29"/>
        <v>#REF!</v>
      </c>
      <c r="BR34" s="44" t="e">
        <f t="shared" ca="1" si="29"/>
        <v>#REF!</v>
      </c>
      <c r="BS34" s="44" t="e">
        <f t="shared" ca="1" si="29"/>
        <v>#REF!</v>
      </c>
      <c r="BT34" s="44" t="e">
        <f t="shared" ca="1" si="29"/>
        <v>#REF!</v>
      </c>
      <c r="BU34" s="44" t="e">
        <f t="shared" ca="1" si="29"/>
        <v>#REF!</v>
      </c>
      <c r="BV34" s="44" t="e">
        <f t="shared" ca="1" si="29"/>
        <v>#REF!</v>
      </c>
      <c r="BW34" s="44" t="e">
        <f t="shared" ca="1" si="29"/>
        <v>#REF!</v>
      </c>
      <c r="BX34" s="44" t="e">
        <f t="shared" ca="1" si="29"/>
        <v>#REF!</v>
      </c>
      <c r="BY34" s="44" t="e">
        <f t="shared" ca="1" si="29"/>
        <v>#REF!</v>
      </c>
      <c r="BZ34" s="44" t="e">
        <f t="shared" ca="1" si="29"/>
        <v>#REF!</v>
      </c>
      <c r="CA34" s="44" t="e">
        <f t="shared" ca="1" si="29"/>
        <v>#REF!</v>
      </c>
      <c r="CB34" s="44" t="e">
        <f t="shared" ca="1" si="29"/>
        <v>#REF!</v>
      </c>
      <c r="CC34" s="44" t="e">
        <f t="shared" ca="1" si="29"/>
        <v>#REF!</v>
      </c>
      <c r="CD34" s="44" t="e">
        <f t="shared" ca="1" si="29"/>
        <v>#REF!</v>
      </c>
      <c r="CE34" s="44" t="e">
        <f t="shared" ca="1" si="29"/>
        <v>#REF!</v>
      </c>
      <c r="CF34" s="44" t="e">
        <f t="shared" ref="CF34:CU49" ca="1" si="30">IF($A34="", "", IF(INDIRECT($A34&amp; "!"&amp; CF$2)="", "", INDIRECT($A34&amp; "!"&amp; CF$2)))</f>
        <v>#REF!</v>
      </c>
      <c r="CG34" t="e">
        <f t="shared" ca="1" si="30"/>
        <v>#REF!</v>
      </c>
      <c r="CH34" t="e">
        <f t="shared" ca="1" si="30"/>
        <v>#REF!</v>
      </c>
      <c r="CI34" t="e">
        <f t="shared" ca="1" si="30"/>
        <v>#REF!</v>
      </c>
      <c r="CJ34" t="e">
        <f t="shared" ca="1" si="30"/>
        <v>#REF!</v>
      </c>
      <c r="CK34" t="e">
        <f t="shared" ca="1" si="30"/>
        <v>#REF!</v>
      </c>
      <c r="CL34" t="e">
        <f t="shared" ca="1" si="30"/>
        <v>#REF!</v>
      </c>
      <c r="CM34" t="e">
        <f t="shared" ca="1" si="30"/>
        <v>#REF!</v>
      </c>
      <c r="CN34" t="e">
        <f t="shared" ca="1" si="30"/>
        <v>#REF!</v>
      </c>
      <c r="CO34" t="e">
        <f t="shared" ca="1" si="30"/>
        <v>#REF!</v>
      </c>
      <c r="CP34" t="e">
        <f t="shared" ca="1" si="30"/>
        <v>#REF!</v>
      </c>
      <c r="CQ34" t="e">
        <f t="shared" ca="1" si="30"/>
        <v>#REF!</v>
      </c>
      <c r="CR34" t="e">
        <f t="shared" ca="1" si="30"/>
        <v>#REF!</v>
      </c>
      <c r="CS34" t="e">
        <f t="shared" ca="1" si="30"/>
        <v>#REF!</v>
      </c>
      <c r="CT34" t="e">
        <f t="shared" ca="1" si="30"/>
        <v>#REF!</v>
      </c>
      <c r="CU34" t="e">
        <f t="shared" ca="1" si="30"/>
        <v>#REF!</v>
      </c>
      <c r="CV34" t="e">
        <f t="shared" ref="CV34:DK49" ca="1" si="31">IF($A34="", "", IF(INDIRECT($A34&amp; "!"&amp; CV$2)="", "", INDIRECT($A34&amp; "!"&amp; CV$2)))</f>
        <v>#REF!</v>
      </c>
      <c r="CW34" t="e">
        <f t="shared" ca="1" si="31"/>
        <v>#REF!</v>
      </c>
      <c r="CX34" t="e">
        <f t="shared" ca="1" si="31"/>
        <v>#REF!</v>
      </c>
      <c r="CY34" t="e">
        <f t="shared" ca="1" si="31"/>
        <v>#REF!</v>
      </c>
      <c r="CZ34" s="44" t="e">
        <f t="shared" ca="1" si="31"/>
        <v>#REF!</v>
      </c>
      <c r="DA34" s="44" t="e">
        <f t="shared" ca="1" si="31"/>
        <v>#REF!</v>
      </c>
      <c r="DB34" s="44" t="e">
        <f t="shared" ca="1" si="31"/>
        <v>#REF!</v>
      </c>
      <c r="DC34" s="44" t="e">
        <f t="shared" ca="1" si="31"/>
        <v>#REF!</v>
      </c>
      <c r="DD34" s="44" t="e">
        <f t="shared" ca="1" si="31"/>
        <v>#REF!</v>
      </c>
      <c r="DE34" s="44" t="e">
        <f t="shared" ca="1" si="31"/>
        <v>#REF!</v>
      </c>
      <c r="DF34" s="44" t="e">
        <f t="shared" ca="1" si="31"/>
        <v>#REF!</v>
      </c>
      <c r="DG34" s="44" t="e">
        <f t="shared" ca="1" si="31"/>
        <v>#REF!</v>
      </c>
      <c r="DH34" s="44" t="e">
        <f t="shared" ca="1" si="31"/>
        <v>#REF!</v>
      </c>
      <c r="DI34" s="44" t="e">
        <f t="shared" ca="1" si="31"/>
        <v>#REF!</v>
      </c>
      <c r="DJ34" s="44" t="e">
        <f t="shared" ca="1" si="31"/>
        <v>#REF!</v>
      </c>
      <c r="DK34" s="44" t="e">
        <f t="shared" ca="1" si="31"/>
        <v>#REF!</v>
      </c>
      <c r="DL34" s="44" t="e">
        <f t="shared" ref="DL34:EA49" ca="1" si="32">IF($A34="", "", IF(INDIRECT($A34&amp; "!"&amp; DL$2)="", "", INDIRECT($A34&amp; "!"&amp; DL$2)))</f>
        <v>#REF!</v>
      </c>
      <c r="DM34" s="44" t="e">
        <f t="shared" ca="1" si="32"/>
        <v>#REF!</v>
      </c>
      <c r="DN34" s="44" t="e">
        <f t="shared" ca="1" si="32"/>
        <v>#REF!</v>
      </c>
      <c r="DO34" s="44" t="e">
        <f t="shared" ca="1" si="32"/>
        <v>#REF!</v>
      </c>
      <c r="DP34" s="44" t="e">
        <f t="shared" ca="1" si="32"/>
        <v>#REF!</v>
      </c>
      <c r="DQ34" s="44" t="e">
        <f t="shared" ca="1" si="32"/>
        <v>#REF!</v>
      </c>
      <c r="DR34" s="44" t="e">
        <f t="shared" ca="1" si="32"/>
        <v>#REF!</v>
      </c>
      <c r="DS34" t="e">
        <f t="shared" ca="1" si="32"/>
        <v>#REF!</v>
      </c>
      <c r="DT34" t="e">
        <f t="shared" ca="1" si="32"/>
        <v>#REF!</v>
      </c>
      <c r="DU34" t="e">
        <f t="shared" ca="1" si="32"/>
        <v>#REF!</v>
      </c>
      <c r="DV34" t="e">
        <f t="shared" ca="1" si="32"/>
        <v>#REF!</v>
      </c>
      <c r="DW34" t="e">
        <f t="shared" ca="1" si="32"/>
        <v>#REF!</v>
      </c>
      <c r="DX34" t="e">
        <f t="shared" ca="1" si="32"/>
        <v>#REF!</v>
      </c>
      <c r="DY34" t="e">
        <f t="shared" ca="1" si="32"/>
        <v>#REF!</v>
      </c>
      <c r="DZ34" t="e">
        <f t="shared" ca="1" si="32"/>
        <v>#REF!</v>
      </c>
      <c r="EA34" t="e">
        <f t="shared" ca="1" si="32"/>
        <v>#REF!</v>
      </c>
      <c r="EB34" t="e">
        <f t="shared" ref="EB34:EQ49" ca="1" si="33">IF($A34="", "", IF(INDIRECT($A34&amp; "!"&amp; EB$2)="", "", INDIRECT($A34&amp; "!"&amp; EB$2)))</f>
        <v>#REF!</v>
      </c>
      <c r="EC34" t="e">
        <f t="shared" ca="1" si="33"/>
        <v>#REF!</v>
      </c>
      <c r="ED34" t="e">
        <f t="shared" ca="1" si="33"/>
        <v>#REF!</v>
      </c>
      <c r="EE34" t="e">
        <f t="shared" ca="1" si="33"/>
        <v>#REF!</v>
      </c>
      <c r="EF34" t="e">
        <f t="shared" ca="1" si="33"/>
        <v>#REF!</v>
      </c>
      <c r="EG34" t="e">
        <f t="shared" ca="1" si="33"/>
        <v>#REF!</v>
      </c>
      <c r="EH34" t="e">
        <f t="shared" ca="1" si="33"/>
        <v>#REF!</v>
      </c>
      <c r="EI34" t="e">
        <f t="shared" ca="1" si="33"/>
        <v>#REF!</v>
      </c>
      <c r="EJ34" t="e">
        <f t="shared" ca="1" si="33"/>
        <v>#REF!</v>
      </c>
      <c r="EK34" s="44" t="e">
        <f t="shared" ca="1" si="33"/>
        <v>#REF!</v>
      </c>
      <c r="EL34" s="44" t="e">
        <f t="shared" ca="1" si="33"/>
        <v>#REF!</v>
      </c>
      <c r="EM34" s="44" t="e">
        <f t="shared" ca="1" si="33"/>
        <v>#REF!</v>
      </c>
      <c r="EN34" s="44" t="e">
        <f t="shared" ca="1" si="33"/>
        <v>#REF!</v>
      </c>
      <c r="EO34" s="44" t="e">
        <f t="shared" ca="1" si="33"/>
        <v>#REF!</v>
      </c>
      <c r="EP34" s="44" t="e">
        <f t="shared" ca="1" si="33"/>
        <v>#REF!</v>
      </c>
      <c r="EQ34" s="44" t="e">
        <f t="shared" ca="1" si="33"/>
        <v>#REF!</v>
      </c>
      <c r="ER34" s="44" t="e">
        <f t="shared" ref="ER34:FG49" ca="1" si="34">IF($A34="", "", IF(INDIRECT($A34&amp; "!"&amp; ER$2)="", "", INDIRECT($A34&amp; "!"&amp; ER$2)))</f>
        <v>#REF!</v>
      </c>
      <c r="ES34" s="44" t="e">
        <f t="shared" ca="1" si="34"/>
        <v>#REF!</v>
      </c>
      <c r="ET34" s="44" t="e">
        <f t="shared" ca="1" si="34"/>
        <v>#REF!</v>
      </c>
      <c r="EU34" s="44" t="e">
        <f t="shared" ca="1" si="34"/>
        <v>#REF!</v>
      </c>
      <c r="EV34" s="44" t="e">
        <f t="shared" ca="1" si="34"/>
        <v>#REF!</v>
      </c>
      <c r="EW34" s="44" t="e">
        <f t="shared" ca="1" si="34"/>
        <v>#REF!</v>
      </c>
      <c r="EX34" s="44" t="e">
        <f t="shared" ca="1" si="34"/>
        <v>#REF!</v>
      </c>
      <c r="EY34" s="44" t="e">
        <f t="shared" ca="1" si="34"/>
        <v>#REF!</v>
      </c>
      <c r="EZ34" s="44" t="e">
        <f t="shared" ca="1" si="34"/>
        <v>#REF!</v>
      </c>
      <c r="FA34" s="44" t="e">
        <f t="shared" ca="1" si="34"/>
        <v>#REF!</v>
      </c>
      <c r="FB34" s="44" t="e">
        <f t="shared" ca="1" si="34"/>
        <v>#REF!</v>
      </c>
      <c r="FC34" s="56" t="e">
        <f t="shared" ca="1" si="34"/>
        <v>#REF!</v>
      </c>
      <c r="FD34" t="e">
        <f t="shared" ca="1" si="34"/>
        <v>#REF!</v>
      </c>
      <c r="FE34" t="e">
        <f t="shared" ca="1" si="34"/>
        <v>#REF!</v>
      </c>
      <c r="FF34" t="e">
        <f t="shared" ca="1" si="34"/>
        <v>#REF!</v>
      </c>
      <c r="FG34" t="e">
        <f t="shared" ca="1" si="34"/>
        <v>#REF!</v>
      </c>
      <c r="FH34" t="e">
        <f t="shared" ref="FH34:FT49" ca="1" si="35">IF($A34="", "", IF(INDIRECT($A34&amp; "!"&amp; FH$2)="", "", INDIRECT($A34&amp; "!"&amp; FH$2)))</f>
        <v>#REF!</v>
      </c>
      <c r="FI34" t="e">
        <f t="shared" ca="1" si="35"/>
        <v>#REF!</v>
      </c>
      <c r="FJ34" t="e">
        <f t="shared" ca="1" si="35"/>
        <v>#REF!</v>
      </c>
      <c r="FK34" t="e">
        <f t="shared" ca="1" si="35"/>
        <v>#REF!</v>
      </c>
      <c r="FL34" t="e">
        <f t="shared" ca="1" si="35"/>
        <v>#REF!</v>
      </c>
      <c r="FM34" t="e">
        <f t="shared" ca="1" si="35"/>
        <v>#REF!</v>
      </c>
      <c r="FN34" t="e">
        <f t="shared" ca="1" si="35"/>
        <v>#REF!</v>
      </c>
      <c r="FO34" t="e">
        <f t="shared" ca="1" si="35"/>
        <v>#REF!</v>
      </c>
      <c r="FP34" t="e">
        <f t="shared" ca="1" si="35"/>
        <v>#REF!</v>
      </c>
      <c r="FQ34" t="e">
        <f t="shared" ca="1" si="35"/>
        <v>#REF!</v>
      </c>
      <c r="FR34" t="e">
        <f t="shared" ca="1" si="35"/>
        <v>#REF!</v>
      </c>
      <c r="FS34" t="e">
        <f t="shared" ca="1" si="35"/>
        <v>#REF!</v>
      </c>
      <c r="FT34" t="e">
        <f t="shared" ca="1" si="35"/>
        <v>#REF!</v>
      </c>
    </row>
    <row r="35" spans="1:176" ht="15" x14ac:dyDescent="0.25">
      <c r="A35" s="240">
        <v>74</v>
      </c>
      <c r="B35" t="e">
        <f t="shared" ca="1" si="25"/>
        <v>#REF!</v>
      </c>
      <c r="C35" t="e">
        <f t="shared" ca="1" si="25"/>
        <v>#REF!</v>
      </c>
      <c r="D35" t="e">
        <f t="shared" ca="1" si="25"/>
        <v>#REF!</v>
      </c>
      <c r="E35" t="e">
        <f t="shared" ca="1" si="25"/>
        <v>#REF!</v>
      </c>
      <c r="F35" t="e">
        <f t="shared" ca="1" si="13"/>
        <v>#REF!</v>
      </c>
      <c r="G35" t="e">
        <f t="shared" ca="1" si="13"/>
        <v>#REF!</v>
      </c>
      <c r="H35" t="e">
        <f t="shared" ca="1" si="13"/>
        <v>#REF!</v>
      </c>
      <c r="I35" t="e">
        <f t="shared" ca="1" si="25"/>
        <v>#REF!</v>
      </c>
      <c r="J35" t="e">
        <f t="shared" ca="1" si="25"/>
        <v>#REF!</v>
      </c>
      <c r="K35" t="e">
        <f t="shared" ca="1" si="25"/>
        <v>#REF!</v>
      </c>
      <c r="L35" t="e">
        <f t="shared" ca="1" si="25"/>
        <v>#REF!</v>
      </c>
      <c r="M35" t="e">
        <f t="shared" ca="1" si="25"/>
        <v>#REF!</v>
      </c>
      <c r="N35" t="e">
        <f t="shared" ca="1" si="25"/>
        <v>#REF!</v>
      </c>
      <c r="O35" t="e">
        <f t="shared" ca="1" si="25"/>
        <v>#REF!</v>
      </c>
      <c r="P35" t="e">
        <f t="shared" ca="1" si="25"/>
        <v>#REF!</v>
      </c>
      <c r="Q35" t="e">
        <f t="shared" ca="1" si="25"/>
        <v>#REF!</v>
      </c>
      <c r="R35" t="e">
        <f t="shared" ca="1" si="25"/>
        <v>#REF!</v>
      </c>
      <c r="S35" t="e">
        <f t="shared" ref="S35:S50" ca="1" si="36">IF($A35="", "", IF(INDIRECT($A35&amp; "!"&amp; S$2)="", "", INDIRECT($A35&amp; "!"&amp; S$2)))</f>
        <v>#REF!</v>
      </c>
      <c r="T35" t="e">
        <f t="shared" ca="1" si="26"/>
        <v>#REF!</v>
      </c>
      <c r="U35" t="e">
        <f t="shared" ca="1" si="26"/>
        <v>#REF!</v>
      </c>
      <c r="V35" t="e">
        <f t="shared" ca="1" si="26"/>
        <v>#REF!</v>
      </c>
      <c r="W35" t="e">
        <f t="shared" ca="1" si="26"/>
        <v>#REF!</v>
      </c>
      <c r="X35" t="e">
        <f t="shared" ca="1" si="26"/>
        <v>#REF!</v>
      </c>
      <c r="Y35" t="e">
        <f t="shared" ca="1" si="26"/>
        <v>#REF!</v>
      </c>
      <c r="Z35" t="e">
        <f t="shared" ca="1" si="26"/>
        <v>#REF!</v>
      </c>
      <c r="AA35" t="e">
        <f t="shared" ca="1" si="26"/>
        <v>#REF!</v>
      </c>
      <c r="AB35" s="44" t="e">
        <f t="shared" ca="1" si="26"/>
        <v>#REF!</v>
      </c>
      <c r="AC35" s="44" t="e">
        <f t="shared" ca="1" si="26"/>
        <v>#REF!</v>
      </c>
      <c r="AD35" s="44" t="e">
        <f t="shared" ca="1" si="26"/>
        <v>#REF!</v>
      </c>
      <c r="AE35" s="44" t="e">
        <f t="shared" ca="1" si="26"/>
        <v>#REF!</v>
      </c>
      <c r="AF35" s="44" t="e">
        <f t="shared" ca="1" si="26"/>
        <v>#REF!</v>
      </c>
      <c r="AG35" s="44" t="e">
        <f t="shared" ca="1" si="26"/>
        <v>#REF!</v>
      </c>
      <c r="AH35" s="44" t="e">
        <f t="shared" ca="1" si="26"/>
        <v>#REF!</v>
      </c>
      <c r="AI35" s="44" t="e">
        <f t="shared" ca="1" si="26"/>
        <v>#REF!</v>
      </c>
      <c r="AJ35" s="44" t="e">
        <f t="shared" ca="1" si="27"/>
        <v>#REF!</v>
      </c>
      <c r="AK35" s="44" t="e">
        <f t="shared" ca="1" si="27"/>
        <v>#REF!</v>
      </c>
      <c r="AL35" s="44" t="e">
        <f t="shared" ca="1" si="27"/>
        <v>#REF!</v>
      </c>
      <c r="AM35" s="44" t="e">
        <f t="shared" ca="1" si="27"/>
        <v>#REF!</v>
      </c>
      <c r="AN35" s="44" t="e">
        <f t="shared" ca="1" si="27"/>
        <v>#REF!</v>
      </c>
      <c r="AO35" s="44" t="e">
        <f t="shared" ca="1" si="27"/>
        <v>#REF!</v>
      </c>
      <c r="AP35" s="44" t="e">
        <f t="shared" ca="1" si="27"/>
        <v>#REF!</v>
      </c>
      <c r="AQ35" s="44" t="e">
        <f t="shared" ca="1" si="27"/>
        <v>#REF!</v>
      </c>
      <c r="AR35" s="44" t="e">
        <f t="shared" ca="1" si="27"/>
        <v>#REF!</v>
      </c>
      <c r="AS35" s="44" t="e">
        <f t="shared" ca="1" si="27"/>
        <v>#REF!</v>
      </c>
      <c r="AT35" s="44" t="e">
        <f t="shared" ca="1" si="27"/>
        <v>#REF!</v>
      </c>
      <c r="AU35" t="e">
        <f t="shared" ca="1" si="27"/>
        <v>#REF!</v>
      </c>
      <c r="AV35" t="e">
        <f t="shared" ca="1" si="27"/>
        <v>#REF!</v>
      </c>
      <c r="AW35" t="e">
        <f t="shared" ca="1" si="27"/>
        <v>#REF!</v>
      </c>
      <c r="AX35" t="e">
        <f t="shared" ca="1" si="27"/>
        <v>#REF!</v>
      </c>
      <c r="AY35" t="e">
        <f t="shared" ca="1" si="27"/>
        <v>#REF!</v>
      </c>
      <c r="AZ35" t="e">
        <f t="shared" ca="1" si="28"/>
        <v>#REF!</v>
      </c>
      <c r="BA35" t="e">
        <f t="shared" ca="1" si="28"/>
        <v>#REF!</v>
      </c>
      <c r="BB35" t="e">
        <f t="shared" ca="1" si="28"/>
        <v>#REF!</v>
      </c>
      <c r="BC35" t="e">
        <f t="shared" ca="1" si="28"/>
        <v>#REF!</v>
      </c>
      <c r="BD35" t="e">
        <f t="shared" ca="1" si="28"/>
        <v>#REF!</v>
      </c>
      <c r="BE35" t="e">
        <f t="shared" ca="1" si="28"/>
        <v>#REF!</v>
      </c>
      <c r="BF35" t="e">
        <f t="shared" ca="1" si="28"/>
        <v>#REF!</v>
      </c>
      <c r="BG35" t="e">
        <f t="shared" ca="1" si="28"/>
        <v>#REF!</v>
      </c>
      <c r="BH35" t="e">
        <f t="shared" ca="1" si="28"/>
        <v>#REF!</v>
      </c>
      <c r="BI35" t="e">
        <f t="shared" ca="1" si="28"/>
        <v>#REF!</v>
      </c>
      <c r="BJ35" t="e">
        <f t="shared" ca="1" si="28"/>
        <v>#REF!</v>
      </c>
      <c r="BK35" t="e">
        <f t="shared" ca="1" si="28"/>
        <v>#REF!</v>
      </c>
      <c r="BL35" t="e">
        <f t="shared" ca="1" si="28"/>
        <v>#REF!</v>
      </c>
      <c r="BM35" t="e">
        <f t="shared" ca="1" si="28"/>
        <v>#REF!</v>
      </c>
      <c r="BN35" s="44" t="e">
        <f t="shared" ca="1" si="28"/>
        <v>#REF!</v>
      </c>
      <c r="BO35" s="44" t="e">
        <f t="shared" ca="1" si="28"/>
        <v>#REF!</v>
      </c>
      <c r="BP35" s="44" t="e">
        <f t="shared" ca="1" si="29"/>
        <v>#REF!</v>
      </c>
      <c r="BQ35" s="44" t="e">
        <f t="shared" ca="1" si="29"/>
        <v>#REF!</v>
      </c>
      <c r="BR35" s="44" t="e">
        <f t="shared" ca="1" si="29"/>
        <v>#REF!</v>
      </c>
      <c r="BS35" s="44" t="e">
        <f t="shared" ca="1" si="29"/>
        <v>#REF!</v>
      </c>
      <c r="BT35" s="44" t="e">
        <f t="shared" ca="1" si="29"/>
        <v>#REF!</v>
      </c>
      <c r="BU35" s="44" t="e">
        <f t="shared" ca="1" si="29"/>
        <v>#REF!</v>
      </c>
      <c r="BV35" s="44" t="e">
        <f t="shared" ca="1" si="29"/>
        <v>#REF!</v>
      </c>
      <c r="BW35" s="44" t="e">
        <f t="shared" ca="1" si="29"/>
        <v>#REF!</v>
      </c>
      <c r="BX35" s="44" t="e">
        <f t="shared" ca="1" si="29"/>
        <v>#REF!</v>
      </c>
      <c r="BY35" s="44" t="e">
        <f t="shared" ca="1" si="29"/>
        <v>#REF!</v>
      </c>
      <c r="BZ35" s="44" t="e">
        <f t="shared" ca="1" si="29"/>
        <v>#REF!</v>
      </c>
      <c r="CA35" s="44" t="e">
        <f t="shared" ca="1" si="29"/>
        <v>#REF!</v>
      </c>
      <c r="CB35" s="44" t="e">
        <f t="shared" ca="1" si="29"/>
        <v>#REF!</v>
      </c>
      <c r="CC35" s="44" t="e">
        <f t="shared" ca="1" si="29"/>
        <v>#REF!</v>
      </c>
      <c r="CD35" s="44" t="e">
        <f t="shared" ca="1" si="29"/>
        <v>#REF!</v>
      </c>
      <c r="CE35" s="44" t="e">
        <f t="shared" ca="1" si="29"/>
        <v>#REF!</v>
      </c>
      <c r="CF35" s="44" t="e">
        <f t="shared" ca="1" si="30"/>
        <v>#REF!</v>
      </c>
      <c r="CG35" t="e">
        <f t="shared" ca="1" si="30"/>
        <v>#REF!</v>
      </c>
      <c r="CH35" t="e">
        <f t="shared" ca="1" si="30"/>
        <v>#REF!</v>
      </c>
      <c r="CI35" t="e">
        <f t="shared" ca="1" si="30"/>
        <v>#REF!</v>
      </c>
      <c r="CJ35" t="e">
        <f t="shared" ca="1" si="30"/>
        <v>#REF!</v>
      </c>
      <c r="CK35" t="e">
        <f t="shared" ca="1" si="30"/>
        <v>#REF!</v>
      </c>
      <c r="CL35" t="e">
        <f t="shared" ca="1" si="30"/>
        <v>#REF!</v>
      </c>
      <c r="CM35" t="e">
        <f t="shared" ca="1" si="30"/>
        <v>#REF!</v>
      </c>
      <c r="CN35" t="e">
        <f t="shared" ca="1" si="30"/>
        <v>#REF!</v>
      </c>
      <c r="CO35" t="e">
        <f t="shared" ca="1" si="30"/>
        <v>#REF!</v>
      </c>
      <c r="CP35" t="e">
        <f t="shared" ca="1" si="30"/>
        <v>#REF!</v>
      </c>
      <c r="CQ35" t="e">
        <f t="shared" ca="1" si="30"/>
        <v>#REF!</v>
      </c>
      <c r="CR35" t="e">
        <f t="shared" ca="1" si="30"/>
        <v>#REF!</v>
      </c>
      <c r="CS35" t="e">
        <f t="shared" ca="1" si="30"/>
        <v>#REF!</v>
      </c>
      <c r="CT35" t="e">
        <f t="shared" ca="1" si="30"/>
        <v>#REF!</v>
      </c>
      <c r="CU35" t="e">
        <f t="shared" ca="1" si="30"/>
        <v>#REF!</v>
      </c>
      <c r="CV35" t="e">
        <f t="shared" ca="1" si="31"/>
        <v>#REF!</v>
      </c>
      <c r="CW35" t="e">
        <f t="shared" ca="1" si="31"/>
        <v>#REF!</v>
      </c>
      <c r="CX35" t="e">
        <f t="shared" ca="1" si="31"/>
        <v>#REF!</v>
      </c>
      <c r="CY35" t="e">
        <f t="shared" ca="1" si="31"/>
        <v>#REF!</v>
      </c>
      <c r="CZ35" s="44" t="e">
        <f t="shared" ca="1" si="31"/>
        <v>#REF!</v>
      </c>
      <c r="DA35" s="44" t="e">
        <f t="shared" ca="1" si="31"/>
        <v>#REF!</v>
      </c>
      <c r="DB35" s="44" t="e">
        <f t="shared" ca="1" si="31"/>
        <v>#REF!</v>
      </c>
      <c r="DC35" s="44" t="e">
        <f t="shared" ca="1" si="31"/>
        <v>#REF!</v>
      </c>
      <c r="DD35" s="44" t="e">
        <f t="shared" ca="1" si="31"/>
        <v>#REF!</v>
      </c>
      <c r="DE35" s="44" t="e">
        <f t="shared" ca="1" si="31"/>
        <v>#REF!</v>
      </c>
      <c r="DF35" s="44" t="e">
        <f t="shared" ca="1" si="31"/>
        <v>#REF!</v>
      </c>
      <c r="DG35" s="44" t="e">
        <f t="shared" ca="1" si="31"/>
        <v>#REF!</v>
      </c>
      <c r="DH35" s="44" t="e">
        <f t="shared" ca="1" si="31"/>
        <v>#REF!</v>
      </c>
      <c r="DI35" s="44" t="e">
        <f t="shared" ca="1" si="31"/>
        <v>#REF!</v>
      </c>
      <c r="DJ35" s="44" t="e">
        <f t="shared" ca="1" si="31"/>
        <v>#REF!</v>
      </c>
      <c r="DK35" s="44" t="e">
        <f t="shared" ca="1" si="31"/>
        <v>#REF!</v>
      </c>
      <c r="DL35" s="44" t="e">
        <f t="shared" ca="1" si="32"/>
        <v>#REF!</v>
      </c>
      <c r="DM35" s="44" t="e">
        <f t="shared" ca="1" si="32"/>
        <v>#REF!</v>
      </c>
      <c r="DN35" s="44" t="e">
        <f t="shared" ca="1" si="32"/>
        <v>#REF!</v>
      </c>
      <c r="DO35" s="44" t="e">
        <f t="shared" ca="1" si="32"/>
        <v>#REF!</v>
      </c>
      <c r="DP35" s="44" t="e">
        <f t="shared" ca="1" si="32"/>
        <v>#REF!</v>
      </c>
      <c r="DQ35" s="44" t="e">
        <f t="shared" ca="1" si="32"/>
        <v>#REF!</v>
      </c>
      <c r="DR35" s="44" t="e">
        <f t="shared" ca="1" si="32"/>
        <v>#REF!</v>
      </c>
      <c r="DS35" t="e">
        <f t="shared" ca="1" si="32"/>
        <v>#REF!</v>
      </c>
      <c r="DT35" t="e">
        <f t="shared" ca="1" si="32"/>
        <v>#REF!</v>
      </c>
      <c r="DU35" t="e">
        <f t="shared" ca="1" si="32"/>
        <v>#REF!</v>
      </c>
      <c r="DV35" t="e">
        <f t="shared" ca="1" si="32"/>
        <v>#REF!</v>
      </c>
      <c r="DW35" t="e">
        <f t="shared" ca="1" si="32"/>
        <v>#REF!</v>
      </c>
      <c r="DX35" t="e">
        <f t="shared" ca="1" si="32"/>
        <v>#REF!</v>
      </c>
      <c r="DY35" t="e">
        <f t="shared" ca="1" si="32"/>
        <v>#REF!</v>
      </c>
      <c r="DZ35" t="e">
        <f t="shared" ca="1" si="32"/>
        <v>#REF!</v>
      </c>
      <c r="EA35" t="e">
        <f t="shared" ca="1" si="32"/>
        <v>#REF!</v>
      </c>
      <c r="EB35" t="e">
        <f t="shared" ca="1" si="33"/>
        <v>#REF!</v>
      </c>
      <c r="EC35" t="e">
        <f t="shared" ca="1" si="33"/>
        <v>#REF!</v>
      </c>
      <c r="ED35" t="e">
        <f t="shared" ca="1" si="33"/>
        <v>#REF!</v>
      </c>
      <c r="EE35" t="e">
        <f t="shared" ca="1" si="33"/>
        <v>#REF!</v>
      </c>
      <c r="EF35" t="e">
        <f t="shared" ca="1" si="33"/>
        <v>#REF!</v>
      </c>
      <c r="EG35" t="e">
        <f t="shared" ca="1" si="33"/>
        <v>#REF!</v>
      </c>
      <c r="EH35" t="e">
        <f t="shared" ca="1" si="33"/>
        <v>#REF!</v>
      </c>
      <c r="EI35" t="e">
        <f t="shared" ca="1" si="33"/>
        <v>#REF!</v>
      </c>
      <c r="EJ35" t="e">
        <f t="shared" ca="1" si="33"/>
        <v>#REF!</v>
      </c>
      <c r="EK35" s="44" t="e">
        <f t="shared" ca="1" si="33"/>
        <v>#REF!</v>
      </c>
      <c r="EL35" s="44" t="e">
        <f t="shared" ca="1" si="33"/>
        <v>#REF!</v>
      </c>
      <c r="EM35" s="44" t="e">
        <f t="shared" ca="1" si="33"/>
        <v>#REF!</v>
      </c>
      <c r="EN35" s="44" t="e">
        <f t="shared" ca="1" si="33"/>
        <v>#REF!</v>
      </c>
      <c r="EO35" s="44" t="e">
        <f t="shared" ca="1" si="33"/>
        <v>#REF!</v>
      </c>
      <c r="EP35" s="44" t="e">
        <f t="shared" ca="1" si="33"/>
        <v>#REF!</v>
      </c>
      <c r="EQ35" s="44" t="e">
        <f t="shared" ca="1" si="33"/>
        <v>#REF!</v>
      </c>
      <c r="ER35" s="44" t="e">
        <f t="shared" ca="1" si="34"/>
        <v>#REF!</v>
      </c>
      <c r="ES35" s="44" t="e">
        <f t="shared" ca="1" si="34"/>
        <v>#REF!</v>
      </c>
      <c r="ET35" s="44" t="e">
        <f t="shared" ca="1" si="34"/>
        <v>#REF!</v>
      </c>
      <c r="EU35" s="44" t="e">
        <f t="shared" ca="1" si="34"/>
        <v>#REF!</v>
      </c>
      <c r="EV35" s="44" t="e">
        <f t="shared" ca="1" si="34"/>
        <v>#REF!</v>
      </c>
      <c r="EW35" s="44" t="e">
        <f t="shared" ca="1" si="34"/>
        <v>#REF!</v>
      </c>
      <c r="EX35" s="44" t="e">
        <f t="shared" ca="1" si="34"/>
        <v>#REF!</v>
      </c>
      <c r="EY35" s="44" t="e">
        <f t="shared" ca="1" si="34"/>
        <v>#REF!</v>
      </c>
      <c r="EZ35" s="44" t="e">
        <f t="shared" ca="1" si="34"/>
        <v>#REF!</v>
      </c>
      <c r="FA35" s="44" t="e">
        <f t="shared" ca="1" si="34"/>
        <v>#REF!</v>
      </c>
      <c r="FB35" s="44" t="e">
        <f t="shared" ca="1" si="34"/>
        <v>#REF!</v>
      </c>
      <c r="FC35" s="56" t="e">
        <f t="shared" ca="1" si="34"/>
        <v>#REF!</v>
      </c>
      <c r="FD35" t="e">
        <f t="shared" ca="1" si="34"/>
        <v>#REF!</v>
      </c>
      <c r="FE35" t="e">
        <f t="shared" ca="1" si="34"/>
        <v>#REF!</v>
      </c>
      <c r="FF35" t="e">
        <f t="shared" ca="1" si="34"/>
        <v>#REF!</v>
      </c>
      <c r="FG35" t="e">
        <f t="shared" ca="1" si="34"/>
        <v>#REF!</v>
      </c>
      <c r="FH35" t="e">
        <f t="shared" ca="1" si="35"/>
        <v>#REF!</v>
      </c>
      <c r="FI35" t="e">
        <f t="shared" ca="1" si="35"/>
        <v>#REF!</v>
      </c>
      <c r="FJ35" t="e">
        <f t="shared" ca="1" si="35"/>
        <v>#REF!</v>
      </c>
      <c r="FK35" t="e">
        <f t="shared" ca="1" si="35"/>
        <v>#REF!</v>
      </c>
      <c r="FL35" t="e">
        <f t="shared" ca="1" si="35"/>
        <v>#REF!</v>
      </c>
      <c r="FM35" t="e">
        <f t="shared" ca="1" si="35"/>
        <v>#REF!</v>
      </c>
      <c r="FN35" t="e">
        <f t="shared" ca="1" si="35"/>
        <v>#REF!</v>
      </c>
      <c r="FO35" t="e">
        <f t="shared" ca="1" si="35"/>
        <v>#REF!</v>
      </c>
      <c r="FP35" t="e">
        <f t="shared" ca="1" si="35"/>
        <v>#REF!</v>
      </c>
      <c r="FQ35" t="e">
        <f t="shared" ca="1" si="35"/>
        <v>#REF!</v>
      </c>
      <c r="FR35" t="e">
        <f t="shared" ca="1" si="35"/>
        <v>#REF!</v>
      </c>
      <c r="FS35" t="e">
        <f t="shared" ca="1" si="35"/>
        <v>#REF!</v>
      </c>
      <c r="FT35" t="e">
        <f t="shared" ca="1" si="35"/>
        <v>#REF!</v>
      </c>
    </row>
    <row r="36" spans="1:176" ht="15" x14ac:dyDescent="0.25">
      <c r="A36" s="240">
        <v>239</v>
      </c>
      <c r="B36" t="e">
        <f t="shared" ref="B36:S51" ca="1" si="37">IF($A36="", "", IF(INDIRECT($A36&amp; "!"&amp; B$2)="", "", INDIRECT($A36&amp; "!"&amp; B$2)))</f>
        <v>#REF!</v>
      </c>
      <c r="C36" t="e">
        <f t="shared" ca="1" si="37"/>
        <v>#REF!</v>
      </c>
      <c r="D36" t="e">
        <f t="shared" ca="1" si="37"/>
        <v>#REF!</v>
      </c>
      <c r="E36" t="e">
        <f t="shared" ca="1" si="37"/>
        <v>#REF!</v>
      </c>
      <c r="F36" t="e">
        <f t="shared" ca="1" si="13"/>
        <v>#REF!</v>
      </c>
      <c r="G36" t="e">
        <f t="shared" ca="1" si="13"/>
        <v>#REF!</v>
      </c>
      <c r="H36" t="e">
        <f t="shared" ca="1" si="13"/>
        <v>#REF!</v>
      </c>
      <c r="I36" t="e">
        <f t="shared" ca="1" si="37"/>
        <v>#REF!</v>
      </c>
      <c r="J36" t="e">
        <f t="shared" ca="1" si="37"/>
        <v>#REF!</v>
      </c>
      <c r="K36" t="e">
        <f t="shared" ca="1" si="37"/>
        <v>#REF!</v>
      </c>
      <c r="L36" t="e">
        <f t="shared" ca="1" si="37"/>
        <v>#REF!</v>
      </c>
      <c r="M36" t="e">
        <f t="shared" ca="1" si="37"/>
        <v>#REF!</v>
      </c>
      <c r="N36" t="e">
        <f t="shared" ca="1" si="37"/>
        <v>#REF!</v>
      </c>
      <c r="O36" t="e">
        <f t="shared" ca="1" si="37"/>
        <v>#REF!</v>
      </c>
      <c r="P36" t="e">
        <f t="shared" ca="1" si="37"/>
        <v>#REF!</v>
      </c>
      <c r="Q36" t="e">
        <f t="shared" ca="1" si="37"/>
        <v>#REF!</v>
      </c>
      <c r="R36" t="e">
        <f t="shared" ca="1" si="37"/>
        <v>#REF!</v>
      </c>
      <c r="S36" t="e">
        <f t="shared" ca="1" si="36"/>
        <v>#REF!</v>
      </c>
      <c r="T36" t="e">
        <f t="shared" ca="1" si="26"/>
        <v>#REF!</v>
      </c>
      <c r="U36" t="e">
        <f t="shared" ca="1" si="26"/>
        <v>#REF!</v>
      </c>
      <c r="V36" t="e">
        <f t="shared" ca="1" si="26"/>
        <v>#REF!</v>
      </c>
      <c r="W36" t="e">
        <f t="shared" ca="1" si="26"/>
        <v>#REF!</v>
      </c>
      <c r="X36" t="e">
        <f t="shared" ca="1" si="26"/>
        <v>#REF!</v>
      </c>
      <c r="Y36" t="e">
        <f t="shared" ca="1" si="26"/>
        <v>#REF!</v>
      </c>
      <c r="Z36" t="e">
        <f t="shared" ca="1" si="26"/>
        <v>#REF!</v>
      </c>
      <c r="AA36" t="e">
        <f t="shared" ca="1" si="26"/>
        <v>#REF!</v>
      </c>
      <c r="AB36" s="44" t="e">
        <f t="shared" ca="1" si="26"/>
        <v>#REF!</v>
      </c>
      <c r="AC36" s="44" t="e">
        <f t="shared" ca="1" si="26"/>
        <v>#REF!</v>
      </c>
      <c r="AD36" s="44" t="e">
        <f t="shared" ca="1" si="26"/>
        <v>#REF!</v>
      </c>
      <c r="AE36" s="44" t="e">
        <f t="shared" ca="1" si="26"/>
        <v>#REF!</v>
      </c>
      <c r="AF36" s="44" t="e">
        <f t="shared" ca="1" si="26"/>
        <v>#REF!</v>
      </c>
      <c r="AG36" s="44" t="e">
        <f t="shared" ca="1" si="26"/>
        <v>#REF!</v>
      </c>
      <c r="AH36" s="44" t="e">
        <f t="shared" ca="1" si="26"/>
        <v>#REF!</v>
      </c>
      <c r="AI36" s="44" t="e">
        <f t="shared" ca="1" si="26"/>
        <v>#REF!</v>
      </c>
      <c r="AJ36" s="44" t="e">
        <f t="shared" ca="1" si="27"/>
        <v>#REF!</v>
      </c>
      <c r="AK36" s="44" t="e">
        <f t="shared" ca="1" si="27"/>
        <v>#REF!</v>
      </c>
      <c r="AL36" s="44" t="e">
        <f t="shared" ca="1" si="27"/>
        <v>#REF!</v>
      </c>
      <c r="AM36" s="44" t="e">
        <f t="shared" ca="1" si="27"/>
        <v>#REF!</v>
      </c>
      <c r="AN36" s="44" t="e">
        <f t="shared" ca="1" si="27"/>
        <v>#REF!</v>
      </c>
      <c r="AO36" s="44" t="e">
        <f t="shared" ca="1" si="27"/>
        <v>#REF!</v>
      </c>
      <c r="AP36" s="44" t="e">
        <f t="shared" ca="1" si="27"/>
        <v>#REF!</v>
      </c>
      <c r="AQ36" s="44" t="e">
        <f t="shared" ca="1" si="27"/>
        <v>#REF!</v>
      </c>
      <c r="AR36" s="44" t="e">
        <f t="shared" ca="1" si="27"/>
        <v>#REF!</v>
      </c>
      <c r="AS36" s="44" t="e">
        <f t="shared" ca="1" si="27"/>
        <v>#REF!</v>
      </c>
      <c r="AT36" s="44" t="e">
        <f t="shared" ca="1" si="27"/>
        <v>#REF!</v>
      </c>
      <c r="AU36" t="e">
        <f t="shared" ca="1" si="27"/>
        <v>#REF!</v>
      </c>
      <c r="AV36" t="e">
        <f t="shared" ca="1" si="27"/>
        <v>#REF!</v>
      </c>
      <c r="AW36" t="e">
        <f t="shared" ca="1" si="27"/>
        <v>#REF!</v>
      </c>
      <c r="AX36" t="e">
        <f t="shared" ca="1" si="27"/>
        <v>#REF!</v>
      </c>
      <c r="AY36" t="e">
        <f t="shared" ca="1" si="27"/>
        <v>#REF!</v>
      </c>
      <c r="AZ36" t="e">
        <f t="shared" ca="1" si="28"/>
        <v>#REF!</v>
      </c>
      <c r="BA36" t="e">
        <f t="shared" ca="1" si="28"/>
        <v>#REF!</v>
      </c>
      <c r="BB36" t="e">
        <f t="shared" ca="1" si="28"/>
        <v>#REF!</v>
      </c>
      <c r="BC36" t="e">
        <f t="shared" ca="1" si="28"/>
        <v>#REF!</v>
      </c>
      <c r="BD36" t="e">
        <f t="shared" ca="1" si="28"/>
        <v>#REF!</v>
      </c>
      <c r="BE36" t="e">
        <f t="shared" ca="1" si="28"/>
        <v>#REF!</v>
      </c>
      <c r="BF36" t="e">
        <f t="shared" ca="1" si="28"/>
        <v>#REF!</v>
      </c>
      <c r="BG36" t="e">
        <f t="shared" ca="1" si="28"/>
        <v>#REF!</v>
      </c>
      <c r="BH36" t="e">
        <f t="shared" ca="1" si="28"/>
        <v>#REF!</v>
      </c>
      <c r="BI36" t="e">
        <f t="shared" ca="1" si="28"/>
        <v>#REF!</v>
      </c>
      <c r="BJ36" t="e">
        <f t="shared" ca="1" si="28"/>
        <v>#REF!</v>
      </c>
      <c r="BK36" t="e">
        <f t="shared" ca="1" si="28"/>
        <v>#REF!</v>
      </c>
      <c r="BL36" t="e">
        <f t="shared" ca="1" si="28"/>
        <v>#REF!</v>
      </c>
      <c r="BM36" t="e">
        <f t="shared" ca="1" si="28"/>
        <v>#REF!</v>
      </c>
      <c r="BN36" s="44" t="e">
        <f t="shared" ca="1" si="28"/>
        <v>#REF!</v>
      </c>
      <c r="BO36" s="44" t="e">
        <f t="shared" ca="1" si="28"/>
        <v>#REF!</v>
      </c>
      <c r="BP36" s="44" t="e">
        <f t="shared" ca="1" si="29"/>
        <v>#REF!</v>
      </c>
      <c r="BQ36" s="44" t="e">
        <f t="shared" ca="1" si="29"/>
        <v>#REF!</v>
      </c>
      <c r="BR36" s="44" t="e">
        <f t="shared" ca="1" si="29"/>
        <v>#REF!</v>
      </c>
      <c r="BS36" s="44" t="e">
        <f t="shared" ca="1" si="29"/>
        <v>#REF!</v>
      </c>
      <c r="BT36" s="44" t="e">
        <f t="shared" ca="1" si="29"/>
        <v>#REF!</v>
      </c>
      <c r="BU36" s="44" t="e">
        <f t="shared" ca="1" si="29"/>
        <v>#REF!</v>
      </c>
      <c r="BV36" s="44" t="e">
        <f t="shared" ca="1" si="29"/>
        <v>#REF!</v>
      </c>
      <c r="BW36" s="44" t="e">
        <f t="shared" ca="1" si="29"/>
        <v>#REF!</v>
      </c>
      <c r="BX36" s="44" t="e">
        <f t="shared" ca="1" si="29"/>
        <v>#REF!</v>
      </c>
      <c r="BY36" s="44" t="e">
        <f t="shared" ca="1" si="29"/>
        <v>#REF!</v>
      </c>
      <c r="BZ36" s="44" t="e">
        <f t="shared" ca="1" si="29"/>
        <v>#REF!</v>
      </c>
      <c r="CA36" s="44" t="e">
        <f t="shared" ca="1" si="29"/>
        <v>#REF!</v>
      </c>
      <c r="CB36" s="44" t="e">
        <f t="shared" ca="1" si="29"/>
        <v>#REF!</v>
      </c>
      <c r="CC36" s="44" t="e">
        <f t="shared" ca="1" si="29"/>
        <v>#REF!</v>
      </c>
      <c r="CD36" s="44" t="e">
        <f t="shared" ca="1" si="29"/>
        <v>#REF!</v>
      </c>
      <c r="CE36" s="44" t="e">
        <f t="shared" ca="1" si="29"/>
        <v>#REF!</v>
      </c>
      <c r="CF36" s="44" t="e">
        <f t="shared" ca="1" si="30"/>
        <v>#REF!</v>
      </c>
      <c r="CG36" t="e">
        <f t="shared" ca="1" si="30"/>
        <v>#REF!</v>
      </c>
      <c r="CH36" t="e">
        <f t="shared" ca="1" si="30"/>
        <v>#REF!</v>
      </c>
      <c r="CI36" t="e">
        <f t="shared" ca="1" si="30"/>
        <v>#REF!</v>
      </c>
      <c r="CJ36" t="e">
        <f t="shared" ca="1" si="30"/>
        <v>#REF!</v>
      </c>
      <c r="CK36" t="e">
        <f t="shared" ca="1" si="30"/>
        <v>#REF!</v>
      </c>
      <c r="CL36" t="e">
        <f t="shared" ca="1" si="30"/>
        <v>#REF!</v>
      </c>
      <c r="CM36" t="e">
        <f t="shared" ca="1" si="30"/>
        <v>#REF!</v>
      </c>
      <c r="CN36" t="e">
        <f t="shared" ca="1" si="30"/>
        <v>#REF!</v>
      </c>
      <c r="CO36" t="e">
        <f t="shared" ca="1" si="30"/>
        <v>#REF!</v>
      </c>
      <c r="CP36" t="e">
        <f t="shared" ca="1" si="30"/>
        <v>#REF!</v>
      </c>
      <c r="CQ36" t="e">
        <f t="shared" ca="1" si="30"/>
        <v>#REF!</v>
      </c>
      <c r="CR36" t="e">
        <f t="shared" ca="1" si="30"/>
        <v>#REF!</v>
      </c>
      <c r="CS36" t="e">
        <f t="shared" ca="1" si="30"/>
        <v>#REF!</v>
      </c>
      <c r="CT36" t="e">
        <f t="shared" ca="1" si="30"/>
        <v>#REF!</v>
      </c>
      <c r="CU36" t="e">
        <f t="shared" ca="1" si="30"/>
        <v>#REF!</v>
      </c>
      <c r="CV36" t="e">
        <f t="shared" ca="1" si="31"/>
        <v>#REF!</v>
      </c>
      <c r="CW36" t="e">
        <f t="shared" ca="1" si="31"/>
        <v>#REF!</v>
      </c>
      <c r="CX36" t="e">
        <f t="shared" ca="1" si="31"/>
        <v>#REF!</v>
      </c>
      <c r="CY36" t="e">
        <f t="shared" ca="1" si="31"/>
        <v>#REF!</v>
      </c>
      <c r="CZ36" s="44" t="e">
        <f t="shared" ca="1" si="31"/>
        <v>#REF!</v>
      </c>
      <c r="DA36" s="44" t="e">
        <f t="shared" ca="1" si="31"/>
        <v>#REF!</v>
      </c>
      <c r="DB36" s="44" t="e">
        <f t="shared" ca="1" si="31"/>
        <v>#REF!</v>
      </c>
      <c r="DC36" s="44" t="e">
        <f t="shared" ca="1" si="31"/>
        <v>#REF!</v>
      </c>
      <c r="DD36" s="44" t="e">
        <f t="shared" ca="1" si="31"/>
        <v>#REF!</v>
      </c>
      <c r="DE36" s="44" t="e">
        <f t="shared" ca="1" si="31"/>
        <v>#REF!</v>
      </c>
      <c r="DF36" s="44" t="e">
        <f t="shared" ca="1" si="31"/>
        <v>#REF!</v>
      </c>
      <c r="DG36" s="44" t="e">
        <f t="shared" ca="1" si="31"/>
        <v>#REF!</v>
      </c>
      <c r="DH36" s="44" t="e">
        <f t="shared" ca="1" si="31"/>
        <v>#REF!</v>
      </c>
      <c r="DI36" s="44" t="e">
        <f t="shared" ca="1" si="31"/>
        <v>#REF!</v>
      </c>
      <c r="DJ36" s="44" t="e">
        <f t="shared" ca="1" si="31"/>
        <v>#REF!</v>
      </c>
      <c r="DK36" s="44" t="e">
        <f t="shared" ca="1" si="31"/>
        <v>#REF!</v>
      </c>
      <c r="DL36" s="44" t="e">
        <f t="shared" ca="1" si="32"/>
        <v>#REF!</v>
      </c>
      <c r="DM36" s="44" t="e">
        <f t="shared" ca="1" si="32"/>
        <v>#REF!</v>
      </c>
      <c r="DN36" s="44" t="e">
        <f t="shared" ca="1" si="32"/>
        <v>#REF!</v>
      </c>
      <c r="DO36" s="44" t="e">
        <f t="shared" ca="1" si="32"/>
        <v>#REF!</v>
      </c>
      <c r="DP36" s="44" t="e">
        <f t="shared" ca="1" si="32"/>
        <v>#REF!</v>
      </c>
      <c r="DQ36" s="44" t="e">
        <f t="shared" ca="1" si="32"/>
        <v>#REF!</v>
      </c>
      <c r="DR36" s="44" t="e">
        <f t="shared" ca="1" si="32"/>
        <v>#REF!</v>
      </c>
      <c r="DS36" t="e">
        <f t="shared" ca="1" si="32"/>
        <v>#REF!</v>
      </c>
      <c r="DT36" t="e">
        <f t="shared" ca="1" si="32"/>
        <v>#REF!</v>
      </c>
      <c r="DU36" t="e">
        <f t="shared" ca="1" si="32"/>
        <v>#REF!</v>
      </c>
      <c r="DV36" t="e">
        <f t="shared" ca="1" si="32"/>
        <v>#REF!</v>
      </c>
      <c r="DW36" t="e">
        <f t="shared" ca="1" si="32"/>
        <v>#REF!</v>
      </c>
      <c r="DX36" t="e">
        <f t="shared" ca="1" si="32"/>
        <v>#REF!</v>
      </c>
      <c r="DY36" t="e">
        <f t="shared" ca="1" si="32"/>
        <v>#REF!</v>
      </c>
      <c r="DZ36" t="e">
        <f t="shared" ca="1" si="32"/>
        <v>#REF!</v>
      </c>
      <c r="EA36" t="e">
        <f t="shared" ca="1" si="32"/>
        <v>#REF!</v>
      </c>
      <c r="EB36" t="e">
        <f t="shared" ca="1" si="33"/>
        <v>#REF!</v>
      </c>
      <c r="EC36" t="e">
        <f t="shared" ca="1" si="33"/>
        <v>#REF!</v>
      </c>
      <c r="ED36" t="e">
        <f t="shared" ca="1" si="33"/>
        <v>#REF!</v>
      </c>
      <c r="EE36" t="e">
        <f t="shared" ca="1" si="33"/>
        <v>#REF!</v>
      </c>
      <c r="EF36" t="e">
        <f t="shared" ca="1" si="33"/>
        <v>#REF!</v>
      </c>
      <c r="EG36" t="e">
        <f t="shared" ca="1" si="33"/>
        <v>#REF!</v>
      </c>
      <c r="EH36" t="e">
        <f t="shared" ca="1" si="33"/>
        <v>#REF!</v>
      </c>
      <c r="EI36" t="e">
        <f t="shared" ca="1" si="33"/>
        <v>#REF!</v>
      </c>
      <c r="EJ36" t="e">
        <f t="shared" ca="1" si="33"/>
        <v>#REF!</v>
      </c>
      <c r="EK36" s="44" t="e">
        <f t="shared" ca="1" si="33"/>
        <v>#REF!</v>
      </c>
      <c r="EL36" s="44" t="e">
        <f t="shared" ca="1" si="33"/>
        <v>#REF!</v>
      </c>
      <c r="EM36" s="44" t="e">
        <f t="shared" ca="1" si="33"/>
        <v>#REF!</v>
      </c>
      <c r="EN36" s="44" t="e">
        <f t="shared" ca="1" si="33"/>
        <v>#REF!</v>
      </c>
      <c r="EO36" s="44" t="e">
        <f t="shared" ca="1" si="33"/>
        <v>#REF!</v>
      </c>
      <c r="EP36" s="44" t="e">
        <f t="shared" ca="1" si="33"/>
        <v>#REF!</v>
      </c>
      <c r="EQ36" s="44" t="e">
        <f t="shared" ca="1" si="33"/>
        <v>#REF!</v>
      </c>
      <c r="ER36" s="44" t="e">
        <f t="shared" ca="1" si="34"/>
        <v>#REF!</v>
      </c>
      <c r="ES36" s="44" t="e">
        <f t="shared" ca="1" si="34"/>
        <v>#REF!</v>
      </c>
      <c r="ET36" s="44" t="e">
        <f t="shared" ca="1" si="34"/>
        <v>#REF!</v>
      </c>
      <c r="EU36" s="44" t="e">
        <f t="shared" ca="1" si="34"/>
        <v>#REF!</v>
      </c>
      <c r="EV36" s="44" t="e">
        <f t="shared" ca="1" si="34"/>
        <v>#REF!</v>
      </c>
      <c r="EW36" s="44" t="e">
        <f t="shared" ca="1" si="34"/>
        <v>#REF!</v>
      </c>
      <c r="EX36" s="44" t="e">
        <f t="shared" ca="1" si="34"/>
        <v>#REF!</v>
      </c>
      <c r="EY36" s="44" t="e">
        <f t="shared" ca="1" si="34"/>
        <v>#REF!</v>
      </c>
      <c r="EZ36" s="44" t="e">
        <f t="shared" ca="1" si="34"/>
        <v>#REF!</v>
      </c>
      <c r="FA36" s="44" t="e">
        <f t="shared" ca="1" si="34"/>
        <v>#REF!</v>
      </c>
      <c r="FB36" s="44" t="e">
        <f t="shared" ca="1" si="34"/>
        <v>#REF!</v>
      </c>
      <c r="FC36" s="56" t="e">
        <f t="shared" ca="1" si="34"/>
        <v>#REF!</v>
      </c>
      <c r="FD36" t="e">
        <f t="shared" ca="1" si="34"/>
        <v>#REF!</v>
      </c>
      <c r="FE36" t="e">
        <f t="shared" ca="1" si="34"/>
        <v>#REF!</v>
      </c>
      <c r="FF36" t="e">
        <f t="shared" ca="1" si="34"/>
        <v>#REF!</v>
      </c>
      <c r="FG36" t="e">
        <f t="shared" ca="1" si="34"/>
        <v>#REF!</v>
      </c>
      <c r="FH36" t="e">
        <f t="shared" ca="1" si="35"/>
        <v>#REF!</v>
      </c>
      <c r="FI36" t="e">
        <f t="shared" ca="1" si="35"/>
        <v>#REF!</v>
      </c>
      <c r="FJ36" t="e">
        <f t="shared" ca="1" si="35"/>
        <v>#REF!</v>
      </c>
      <c r="FK36" t="e">
        <f t="shared" ca="1" si="35"/>
        <v>#REF!</v>
      </c>
      <c r="FL36" t="e">
        <f t="shared" ca="1" si="35"/>
        <v>#REF!</v>
      </c>
      <c r="FM36" t="e">
        <f t="shared" ca="1" si="35"/>
        <v>#REF!</v>
      </c>
      <c r="FN36" t="e">
        <f t="shared" ca="1" si="35"/>
        <v>#REF!</v>
      </c>
      <c r="FO36" t="e">
        <f t="shared" ca="1" si="35"/>
        <v>#REF!</v>
      </c>
      <c r="FP36" t="e">
        <f t="shared" ca="1" si="35"/>
        <v>#REF!</v>
      </c>
      <c r="FQ36" t="e">
        <f t="shared" ca="1" si="35"/>
        <v>#REF!</v>
      </c>
      <c r="FR36" t="e">
        <f t="shared" ca="1" si="35"/>
        <v>#REF!</v>
      </c>
      <c r="FS36" t="e">
        <f t="shared" ca="1" si="35"/>
        <v>#REF!</v>
      </c>
      <c r="FT36" t="e">
        <f t="shared" ca="1" si="35"/>
        <v>#REF!</v>
      </c>
    </row>
    <row r="37" spans="1:176" x14ac:dyDescent="0.35">
      <c r="A37" s="240">
        <v>130</v>
      </c>
      <c r="B37" t="e">
        <f t="shared" ca="1" si="37"/>
        <v>#REF!</v>
      </c>
      <c r="C37" t="e">
        <f t="shared" ca="1" si="37"/>
        <v>#REF!</v>
      </c>
      <c r="D37" t="e">
        <f t="shared" ca="1" si="37"/>
        <v>#REF!</v>
      </c>
      <c r="E37" t="e">
        <f t="shared" ca="1" si="37"/>
        <v>#REF!</v>
      </c>
      <c r="F37" t="e">
        <f t="shared" ca="1" si="13"/>
        <v>#REF!</v>
      </c>
      <c r="G37" t="e">
        <f t="shared" ca="1" si="13"/>
        <v>#REF!</v>
      </c>
      <c r="H37" t="e">
        <f t="shared" ca="1" si="13"/>
        <v>#REF!</v>
      </c>
      <c r="I37" t="e">
        <f t="shared" ca="1" si="37"/>
        <v>#REF!</v>
      </c>
      <c r="J37" t="e">
        <f t="shared" ca="1" si="37"/>
        <v>#REF!</v>
      </c>
      <c r="K37" t="e">
        <f t="shared" ca="1" si="37"/>
        <v>#REF!</v>
      </c>
      <c r="L37" t="e">
        <f t="shared" ca="1" si="37"/>
        <v>#REF!</v>
      </c>
      <c r="M37" t="e">
        <f t="shared" ca="1" si="37"/>
        <v>#REF!</v>
      </c>
      <c r="N37" t="e">
        <f t="shared" ca="1" si="37"/>
        <v>#REF!</v>
      </c>
      <c r="O37" t="e">
        <f t="shared" ca="1" si="37"/>
        <v>#REF!</v>
      </c>
      <c r="P37" t="e">
        <f t="shared" ca="1" si="37"/>
        <v>#REF!</v>
      </c>
      <c r="Q37" t="e">
        <f t="shared" ca="1" si="37"/>
        <v>#REF!</v>
      </c>
      <c r="R37" t="e">
        <f t="shared" ca="1" si="37"/>
        <v>#REF!</v>
      </c>
      <c r="S37" t="e">
        <f t="shared" ca="1" si="36"/>
        <v>#REF!</v>
      </c>
      <c r="T37" t="e">
        <f t="shared" ca="1" si="26"/>
        <v>#REF!</v>
      </c>
      <c r="U37" t="e">
        <f t="shared" ca="1" si="26"/>
        <v>#REF!</v>
      </c>
      <c r="V37" t="e">
        <f t="shared" ca="1" si="26"/>
        <v>#REF!</v>
      </c>
      <c r="W37" t="e">
        <f t="shared" ca="1" si="26"/>
        <v>#REF!</v>
      </c>
      <c r="X37" t="e">
        <f t="shared" ca="1" si="26"/>
        <v>#REF!</v>
      </c>
      <c r="Y37" t="e">
        <f t="shared" ca="1" si="26"/>
        <v>#REF!</v>
      </c>
      <c r="Z37" t="e">
        <f t="shared" ca="1" si="26"/>
        <v>#REF!</v>
      </c>
      <c r="AA37" t="e">
        <f t="shared" ca="1" si="26"/>
        <v>#REF!</v>
      </c>
      <c r="AB37" s="44" t="e">
        <f t="shared" ca="1" si="26"/>
        <v>#REF!</v>
      </c>
      <c r="AC37" s="44" t="e">
        <f t="shared" ca="1" si="26"/>
        <v>#REF!</v>
      </c>
      <c r="AD37" s="44" t="e">
        <f t="shared" ca="1" si="26"/>
        <v>#REF!</v>
      </c>
      <c r="AE37" s="44" t="e">
        <f t="shared" ca="1" si="26"/>
        <v>#REF!</v>
      </c>
      <c r="AF37" s="44" t="e">
        <f t="shared" ca="1" si="26"/>
        <v>#REF!</v>
      </c>
      <c r="AG37" s="44" t="e">
        <f t="shared" ca="1" si="26"/>
        <v>#REF!</v>
      </c>
      <c r="AH37" s="44" t="e">
        <f t="shared" ca="1" si="26"/>
        <v>#REF!</v>
      </c>
      <c r="AI37" s="44" t="e">
        <f t="shared" ca="1" si="26"/>
        <v>#REF!</v>
      </c>
      <c r="AJ37" s="44" t="e">
        <f t="shared" ca="1" si="27"/>
        <v>#REF!</v>
      </c>
      <c r="AK37" s="44" t="e">
        <f t="shared" ca="1" si="27"/>
        <v>#REF!</v>
      </c>
      <c r="AL37" s="44" t="e">
        <f t="shared" ca="1" si="27"/>
        <v>#REF!</v>
      </c>
      <c r="AM37" s="44" t="e">
        <f t="shared" ca="1" si="27"/>
        <v>#REF!</v>
      </c>
      <c r="AN37" s="44" t="e">
        <f t="shared" ca="1" si="27"/>
        <v>#REF!</v>
      </c>
      <c r="AO37" s="44" t="e">
        <f t="shared" ca="1" si="27"/>
        <v>#REF!</v>
      </c>
      <c r="AP37" s="44" t="e">
        <f t="shared" ca="1" si="27"/>
        <v>#REF!</v>
      </c>
      <c r="AQ37" s="44" t="e">
        <f t="shared" ca="1" si="27"/>
        <v>#REF!</v>
      </c>
      <c r="AR37" s="44" t="e">
        <f t="shared" ca="1" si="27"/>
        <v>#REF!</v>
      </c>
      <c r="AS37" s="44" t="e">
        <f t="shared" ca="1" si="27"/>
        <v>#REF!</v>
      </c>
      <c r="AT37" s="44" t="e">
        <f t="shared" ca="1" si="27"/>
        <v>#REF!</v>
      </c>
      <c r="AU37" t="e">
        <f t="shared" ca="1" si="27"/>
        <v>#REF!</v>
      </c>
      <c r="AV37" t="e">
        <f t="shared" ca="1" si="27"/>
        <v>#REF!</v>
      </c>
      <c r="AW37" t="e">
        <f t="shared" ca="1" si="27"/>
        <v>#REF!</v>
      </c>
      <c r="AX37" t="e">
        <f t="shared" ca="1" si="27"/>
        <v>#REF!</v>
      </c>
      <c r="AY37" t="e">
        <f t="shared" ca="1" si="27"/>
        <v>#REF!</v>
      </c>
      <c r="AZ37" t="e">
        <f t="shared" ca="1" si="28"/>
        <v>#REF!</v>
      </c>
      <c r="BA37" t="e">
        <f t="shared" ca="1" si="28"/>
        <v>#REF!</v>
      </c>
      <c r="BB37" t="e">
        <f t="shared" ca="1" si="28"/>
        <v>#REF!</v>
      </c>
      <c r="BC37" t="e">
        <f t="shared" ca="1" si="28"/>
        <v>#REF!</v>
      </c>
      <c r="BD37" t="e">
        <f t="shared" ca="1" si="28"/>
        <v>#REF!</v>
      </c>
      <c r="BE37" t="e">
        <f t="shared" ca="1" si="28"/>
        <v>#REF!</v>
      </c>
      <c r="BF37" t="e">
        <f t="shared" ca="1" si="28"/>
        <v>#REF!</v>
      </c>
      <c r="BG37" t="e">
        <f t="shared" ca="1" si="28"/>
        <v>#REF!</v>
      </c>
      <c r="BH37" t="e">
        <f t="shared" ca="1" si="28"/>
        <v>#REF!</v>
      </c>
      <c r="BI37" t="e">
        <f t="shared" ca="1" si="28"/>
        <v>#REF!</v>
      </c>
      <c r="BJ37" t="e">
        <f t="shared" ca="1" si="28"/>
        <v>#REF!</v>
      </c>
      <c r="BK37" t="e">
        <f t="shared" ca="1" si="28"/>
        <v>#REF!</v>
      </c>
      <c r="BL37" t="e">
        <f t="shared" ca="1" si="28"/>
        <v>#REF!</v>
      </c>
      <c r="BM37" t="e">
        <f t="shared" ca="1" si="28"/>
        <v>#REF!</v>
      </c>
      <c r="BN37" s="44" t="e">
        <f t="shared" ca="1" si="28"/>
        <v>#REF!</v>
      </c>
      <c r="BO37" s="44" t="e">
        <f t="shared" ca="1" si="28"/>
        <v>#REF!</v>
      </c>
      <c r="BP37" s="44" t="e">
        <f t="shared" ca="1" si="29"/>
        <v>#REF!</v>
      </c>
      <c r="BQ37" s="44" t="e">
        <f t="shared" ca="1" si="29"/>
        <v>#REF!</v>
      </c>
      <c r="BR37" s="44" t="e">
        <f t="shared" ca="1" si="29"/>
        <v>#REF!</v>
      </c>
      <c r="BS37" s="44" t="e">
        <f t="shared" ca="1" si="29"/>
        <v>#REF!</v>
      </c>
      <c r="BT37" s="44" t="e">
        <f t="shared" ca="1" si="29"/>
        <v>#REF!</v>
      </c>
      <c r="BU37" s="44" t="e">
        <f t="shared" ca="1" si="29"/>
        <v>#REF!</v>
      </c>
      <c r="BV37" s="44" t="e">
        <f t="shared" ca="1" si="29"/>
        <v>#REF!</v>
      </c>
      <c r="BW37" s="44" t="e">
        <f t="shared" ca="1" si="29"/>
        <v>#REF!</v>
      </c>
      <c r="BX37" s="44" t="e">
        <f t="shared" ca="1" si="29"/>
        <v>#REF!</v>
      </c>
      <c r="BY37" s="44" t="e">
        <f t="shared" ca="1" si="29"/>
        <v>#REF!</v>
      </c>
      <c r="BZ37" s="44" t="e">
        <f t="shared" ca="1" si="29"/>
        <v>#REF!</v>
      </c>
      <c r="CA37" s="44" t="e">
        <f t="shared" ca="1" si="29"/>
        <v>#REF!</v>
      </c>
      <c r="CB37" s="44" t="e">
        <f t="shared" ca="1" si="29"/>
        <v>#REF!</v>
      </c>
      <c r="CC37" s="44" t="e">
        <f t="shared" ca="1" si="29"/>
        <v>#REF!</v>
      </c>
      <c r="CD37" s="44" t="e">
        <f t="shared" ca="1" si="29"/>
        <v>#REF!</v>
      </c>
      <c r="CE37" s="44" t="e">
        <f t="shared" ca="1" si="29"/>
        <v>#REF!</v>
      </c>
      <c r="CF37" s="44" t="e">
        <f t="shared" ca="1" si="30"/>
        <v>#REF!</v>
      </c>
      <c r="CG37" t="e">
        <f t="shared" ca="1" si="30"/>
        <v>#REF!</v>
      </c>
      <c r="CH37" t="e">
        <f t="shared" ca="1" si="30"/>
        <v>#REF!</v>
      </c>
      <c r="CI37" t="e">
        <f t="shared" ca="1" si="30"/>
        <v>#REF!</v>
      </c>
      <c r="CJ37" t="e">
        <f t="shared" ca="1" si="30"/>
        <v>#REF!</v>
      </c>
      <c r="CK37" t="e">
        <f t="shared" ca="1" si="30"/>
        <v>#REF!</v>
      </c>
      <c r="CL37" t="e">
        <f t="shared" ca="1" si="30"/>
        <v>#REF!</v>
      </c>
      <c r="CM37" t="e">
        <f t="shared" ca="1" si="30"/>
        <v>#REF!</v>
      </c>
      <c r="CN37" t="e">
        <f t="shared" ca="1" si="30"/>
        <v>#REF!</v>
      </c>
      <c r="CO37" t="e">
        <f t="shared" ca="1" si="30"/>
        <v>#REF!</v>
      </c>
      <c r="CP37" t="e">
        <f t="shared" ca="1" si="30"/>
        <v>#REF!</v>
      </c>
      <c r="CQ37" t="e">
        <f t="shared" ca="1" si="30"/>
        <v>#REF!</v>
      </c>
      <c r="CR37" t="e">
        <f t="shared" ca="1" si="30"/>
        <v>#REF!</v>
      </c>
      <c r="CS37" t="e">
        <f t="shared" ca="1" si="30"/>
        <v>#REF!</v>
      </c>
      <c r="CT37" t="e">
        <f t="shared" ca="1" si="30"/>
        <v>#REF!</v>
      </c>
      <c r="CU37" t="e">
        <f t="shared" ca="1" si="30"/>
        <v>#REF!</v>
      </c>
      <c r="CV37" t="e">
        <f t="shared" ca="1" si="31"/>
        <v>#REF!</v>
      </c>
      <c r="CW37" t="e">
        <f t="shared" ca="1" si="31"/>
        <v>#REF!</v>
      </c>
      <c r="CX37" t="e">
        <f t="shared" ca="1" si="31"/>
        <v>#REF!</v>
      </c>
      <c r="CY37" t="e">
        <f t="shared" ca="1" si="31"/>
        <v>#REF!</v>
      </c>
      <c r="CZ37" s="44" t="e">
        <f t="shared" ca="1" si="31"/>
        <v>#REF!</v>
      </c>
      <c r="DA37" s="44" t="e">
        <f t="shared" ca="1" si="31"/>
        <v>#REF!</v>
      </c>
      <c r="DB37" s="44" t="e">
        <f t="shared" ca="1" si="31"/>
        <v>#REF!</v>
      </c>
      <c r="DC37" s="44" t="e">
        <f t="shared" ca="1" si="31"/>
        <v>#REF!</v>
      </c>
      <c r="DD37" s="44" t="e">
        <f t="shared" ca="1" si="31"/>
        <v>#REF!</v>
      </c>
      <c r="DE37" s="44" t="e">
        <f t="shared" ca="1" si="31"/>
        <v>#REF!</v>
      </c>
      <c r="DF37" s="44" t="e">
        <f t="shared" ca="1" si="31"/>
        <v>#REF!</v>
      </c>
      <c r="DG37" s="44" t="e">
        <f t="shared" ca="1" si="31"/>
        <v>#REF!</v>
      </c>
      <c r="DH37" s="44" t="e">
        <f t="shared" ca="1" si="31"/>
        <v>#REF!</v>
      </c>
      <c r="DI37" s="44" t="e">
        <f t="shared" ca="1" si="31"/>
        <v>#REF!</v>
      </c>
      <c r="DJ37" s="44" t="e">
        <f t="shared" ca="1" si="31"/>
        <v>#REF!</v>
      </c>
      <c r="DK37" s="44" t="e">
        <f t="shared" ca="1" si="31"/>
        <v>#REF!</v>
      </c>
      <c r="DL37" s="44" t="e">
        <f t="shared" ca="1" si="32"/>
        <v>#REF!</v>
      </c>
      <c r="DM37" s="44" t="e">
        <f t="shared" ca="1" si="32"/>
        <v>#REF!</v>
      </c>
      <c r="DN37" s="44" t="e">
        <f t="shared" ca="1" si="32"/>
        <v>#REF!</v>
      </c>
      <c r="DO37" s="44" t="e">
        <f t="shared" ca="1" si="32"/>
        <v>#REF!</v>
      </c>
      <c r="DP37" s="44" t="e">
        <f t="shared" ca="1" si="32"/>
        <v>#REF!</v>
      </c>
      <c r="DQ37" s="44" t="e">
        <f t="shared" ca="1" si="32"/>
        <v>#REF!</v>
      </c>
      <c r="DR37" s="44" t="e">
        <f t="shared" ca="1" si="32"/>
        <v>#REF!</v>
      </c>
      <c r="DS37" t="e">
        <f t="shared" ca="1" si="32"/>
        <v>#REF!</v>
      </c>
      <c r="DT37" t="e">
        <f t="shared" ca="1" si="32"/>
        <v>#REF!</v>
      </c>
      <c r="DU37" t="e">
        <f t="shared" ca="1" si="32"/>
        <v>#REF!</v>
      </c>
      <c r="DV37" t="e">
        <f t="shared" ca="1" si="32"/>
        <v>#REF!</v>
      </c>
      <c r="DW37" t="e">
        <f t="shared" ca="1" si="32"/>
        <v>#REF!</v>
      </c>
      <c r="DX37" t="e">
        <f t="shared" ca="1" si="32"/>
        <v>#REF!</v>
      </c>
      <c r="DY37" t="e">
        <f t="shared" ca="1" si="32"/>
        <v>#REF!</v>
      </c>
      <c r="DZ37" t="e">
        <f t="shared" ca="1" si="32"/>
        <v>#REF!</v>
      </c>
      <c r="EA37" t="e">
        <f t="shared" ca="1" si="32"/>
        <v>#REF!</v>
      </c>
      <c r="EB37" t="e">
        <f t="shared" ca="1" si="33"/>
        <v>#REF!</v>
      </c>
      <c r="EC37" t="e">
        <f t="shared" ca="1" si="33"/>
        <v>#REF!</v>
      </c>
      <c r="ED37" t="e">
        <f t="shared" ca="1" si="33"/>
        <v>#REF!</v>
      </c>
      <c r="EE37" t="e">
        <f t="shared" ca="1" si="33"/>
        <v>#REF!</v>
      </c>
      <c r="EF37" t="e">
        <f t="shared" ca="1" si="33"/>
        <v>#REF!</v>
      </c>
      <c r="EG37" t="e">
        <f t="shared" ca="1" si="33"/>
        <v>#REF!</v>
      </c>
      <c r="EH37" t="e">
        <f t="shared" ca="1" si="33"/>
        <v>#REF!</v>
      </c>
      <c r="EI37" t="e">
        <f t="shared" ca="1" si="33"/>
        <v>#REF!</v>
      </c>
      <c r="EJ37" t="e">
        <f t="shared" ca="1" si="33"/>
        <v>#REF!</v>
      </c>
      <c r="EK37" s="44" t="e">
        <f t="shared" ca="1" si="33"/>
        <v>#REF!</v>
      </c>
      <c r="EL37" s="44" t="e">
        <f t="shared" ca="1" si="33"/>
        <v>#REF!</v>
      </c>
      <c r="EM37" s="44" t="e">
        <f t="shared" ca="1" si="33"/>
        <v>#REF!</v>
      </c>
      <c r="EN37" s="44" t="e">
        <f t="shared" ca="1" si="33"/>
        <v>#REF!</v>
      </c>
      <c r="EO37" s="44" t="e">
        <f t="shared" ca="1" si="33"/>
        <v>#REF!</v>
      </c>
      <c r="EP37" s="44" t="e">
        <f t="shared" ca="1" si="33"/>
        <v>#REF!</v>
      </c>
      <c r="EQ37" s="44" t="e">
        <f t="shared" ca="1" si="33"/>
        <v>#REF!</v>
      </c>
      <c r="ER37" s="44" t="e">
        <f t="shared" ca="1" si="34"/>
        <v>#REF!</v>
      </c>
      <c r="ES37" s="44" t="e">
        <f t="shared" ca="1" si="34"/>
        <v>#REF!</v>
      </c>
      <c r="ET37" s="44" t="e">
        <f t="shared" ca="1" si="34"/>
        <v>#REF!</v>
      </c>
      <c r="EU37" s="44" t="e">
        <f t="shared" ca="1" si="34"/>
        <v>#REF!</v>
      </c>
      <c r="EV37" s="44" t="e">
        <f t="shared" ca="1" si="34"/>
        <v>#REF!</v>
      </c>
      <c r="EW37" s="44" t="e">
        <f t="shared" ca="1" si="34"/>
        <v>#REF!</v>
      </c>
      <c r="EX37" s="44" t="e">
        <f t="shared" ca="1" si="34"/>
        <v>#REF!</v>
      </c>
      <c r="EY37" s="44" t="e">
        <f t="shared" ca="1" si="34"/>
        <v>#REF!</v>
      </c>
      <c r="EZ37" s="44" t="e">
        <f t="shared" ca="1" si="34"/>
        <v>#REF!</v>
      </c>
      <c r="FA37" s="44" t="e">
        <f t="shared" ca="1" si="34"/>
        <v>#REF!</v>
      </c>
      <c r="FB37" s="44" t="e">
        <f t="shared" ca="1" si="34"/>
        <v>#REF!</v>
      </c>
      <c r="FC37" s="56" t="e">
        <f t="shared" ca="1" si="34"/>
        <v>#REF!</v>
      </c>
      <c r="FD37" t="e">
        <f t="shared" ca="1" si="34"/>
        <v>#REF!</v>
      </c>
      <c r="FE37" t="e">
        <f t="shared" ca="1" si="34"/>
        <v>#REF!</v>
      </c>
      <c r="FF37" t="e">
        <f t="shared" ca="1" si="34"/>
        <v>#REF!</v>
      </c>
      <c r="FG37" t="e">
        <f t="shared" ca="1" si="34"/>
        <v>#REF!</v>
      </c>
      <c r="FH37" t="e">
        <f t="shared" ca="1" si="35"/>
        <v>#REF!</v>
      </c>
      <c r="FI37" t="e">
        <f t="shared" ca="1" si="35"/>
        <v>#REF!</v>
      </c>
      <c r="FJ37" t="e">
        <f t="shared" ca="1" si="35"/>
        <v>#REF!</v>
      </c>
      <c r="FK37" t="e">
        <f t="shared" ca="1" si="35"/>
        <v>#REF!</v>
      </c>
      <c r="FL37" t="e">
        <f t="shared" ca="1" si="35"/>
        <v>#REF!</v>
      </c>
      <c r="FM37" t="e">
        <f t="shared" ca="1" si="35"/>
        <v>#REF!</v>
      </c>
      <c r="FN37" t="e">
        <f t="shared" ca="1" si="35"/>
        <v>#REF!</v>
      </c>
      <c r="FO37" t="e">
        <f t="shared" ca="1" si="35"/>
        <v>#REF!</v>
      </c>
      <c r="FP37" t="e">
        <f t="shared" ca="1" si="35"/>
        <v>#REF!</v>
      </c>
      <c r="FQ37" t="e">
        <f t="shared" ca="1" si="35"/>
        <v>#REF!</v>
      </c>
      <c r="FR37" t="e">
        <f t="shared" ca="1" si="35"/>
        <v>#REF!</v>
      </c>
      <c r="FS37" t="e">
        <f t="shared" ca="1" si="35"/>
        <v>#REF!</v>
      </c>
      <c r="FT37" t="e">
        <f t="shared" ca="1" si="35"/>
        <v>#REF!</v>
      </c>
    </row>
    <row r="38" spans="1:176" x14ac:dyDescent="0.35">
      <c r="A38" s="240">
        <v>236</v>
      </c>
      <c r="B38" t="e">
        <f t="shared" ca="1" si="37"/>
        <v>#REF!</v>
      </c>
      <c r="C38" t="e">
        <f t="shared" ca="1" si="37"/>
        <v>#REF!</v>
      </c>
      <c r="D38" t="e">
        <f t="shared" ca="1" si="37"/>
        <v>#REF!</v>
      </c>
      <c r="E38" t="e">
        <f t="shared" ca="1" si="37"/>
        <v>#REF!</v>
      </c>
      <c r="F38" t="e">
        <f t="shared" ca="1" si="13"/>
        <v>#REF!</v>
      </c>
      <c r="G38" t="e">
        <f t="shared" ca="1" si="13"/>
        <v>#REF!</v>
      </c>
      <c r="H38" t="e">
        <f t="shared" ca="1" si="13"/>
        <v>#REF!</v>
      </c>
      <c r="I38" t="e">
        <f t="shared" ca="1" si="37"/>
        <v>#REF!</v>
      </c>
      <c r="J38" t="e">
        <f t="shared" ca="1" si="37"/>
        <v>#REF!</v>
      </c>
      <c r="K38" t="e">
        <f t="shared" ca="1" si="37"/>
        <v>#REF!</v>
      </c>
      <c r="L38" t="e">
        <f t="shared" ca="1" si="37"/>
        <v>#REF!</v>
      </c>
      <c r="M38" t="e">
        <f t="shared" ca="1" si="37"/>
        <v>#REF!</v>
      </c>
      <c r="N38" t="e">
        <f t="shared" ca="1" si="37"/>
        <v>#REF!</v>
      </c>
      <c r="O38" t="e">
        <f t="shared" ca="1" si="37"/>
        <v>#REF!</v>
      </c>
      <c r="P38" t="e">
        <f t="shared" ca="1" si="37"/>
        <v>#REF!</v>
      </c>
      <c r="Q38" t="e">
        <f t="shared" ca="1" si="37"/>
        <v>#REF!</v>
      </c>
      <c r="R38" t="e">
        <f t="shared" ca="1" si="37"/>
        <v>#REF!</v>
      </c>
      <c r="S38" t="e">
        <f t="shared" ca="1" si="36"/>
        <v>#REF!</v>
      </c>
      <c r="T38" t="e">
        <f t="shared" ca="1" si="26"/>
        <v>#REF!</v>
      </c>
      <c r="U38" t="e">
        <f t="shared" ca="1" si="26"/>
        <v>#REF!</v>
      </c>
      <c r="V38" t="e">
        <f t="shared" ca="1" si="26"/>
        <v>#REF!</v>
      </c>
      <c r="W38" t="e">
        <f t="shared" ca="1" si="26"/>
        <v>#REF!</v>
      </c>
      <c r="X38" t="e">
        <f t="shared" ca="1" si="26"/>
        <v>#REF!</v>
      </c>
      <c r="Y38" t="e">
        <f t="shared" ca="1" si="26"/>
        <v>#REF!</v>
      </c>
      <c r="Z38" t="e">
        <f t="shared" ca="1" si="26"/>
        <v>#REF!</v>
      </c>
      <c r="AA38" t="e">
        <f t="shared" ca="1" si="26"/>
        <v>#REF!</v>
      </c>
      <c r="AB38" s="44" t="e">
        <f t="shared" ca="1" si="26"/>
        <v>#REF!</v>
      </c>
      <c r="AC38" s="44" t="e">
        <f t="shared" ca="1" si="26"/>
        <v>#REF!</v>
      </c>
      <c r="AD38" s="44" t="e">
        <f t="shared" ca="1" si="26"/>
        <v>#REF!</v>
      </c>
      <c r="AE38" s="44" t="e">
        <f t="shared" ca="1" si="26"/>
        <v>#REF!</v>
      </c>
      <c r="AF38" s="44" t="e">
        <f t="shared" ca="1" si="26"/>
        <v>#REF!</v>
      </c>
      <c r="AG38" s="44" t="e">
        <f t="shared" ca="1" si="26"/>
        <v>#REF!</v>
      </c>
      <c r="AH38" s="44" t="e">
        <f t="shared" ca="1" si="26"/>
        <v>#REF!</v>
      </c>
      <c r="AI38" s="44" t="e">
        <f t="shared" ca="1" si="26"/>
        <v>#REF!</v>
      </c>
      <c r="AJ38" s="44" t="e">
        <f t="shared" ca="1" si="27"/>
        <v>#REF!</v>
      </c>
      <c r="AK38" s="44" t="e">
        <f t="shared" ca="1" si="27"/>
        <v>#REF!</v>
      </c>
      <c r="AL38" s="44" t="e">
        <f t="shared" ca="1" si="27"/>
        <v>#REF!</v>
      </c>
      <c r="AM38" s="44" t="e">
        <f t="shared" ca="1" si="27"/>
        <v>#REF!</v>
      </c>
      <c r="AN38" s="44" t="e">
        <f t="shared" ca="1" si="27"/>
        <v>#REF!</v>
      </c>
      <c r="AO38" s="44" t="e">
        <f t="shared" ca="1" si="27"/>
        <v>#REF!</v>
      </c>
      <c r="AP38" s="44" t="e">
        <f t="shared" ca="1" si="27"/>
        <v>#REF!</v>
      </c>
      <c r="AQ38" s="44" t="e">
        <f t="shared" ca="1" si="27"/>
        <v>#REF!</v>
      </c>
      <c r="AR38" s="44" t="e">
        <f t="shared" ca="1" si="27"/>
        <v>#REF!</v>
      </c>
      <c r="AS38" s="44" t="e">
        <f t="shared" ca="1" si="27"/>
        <v>#REF!</v>
      </c>
      <c r="AT38" s="44" t="e">
        <f t="shared" ca="1" si="27"/>
        <v>#REF!</v>
      </c>
      <c r="AU38" t="e">
        <f t="shared" ca="1" si="27"/>
        <v>#REF!</v>
      </c>
      <c r="AV38" t="e">
        <f t="shared" ca="1" si="27"/>
        <v>#REF!</v>
      </c>
      <c r="AW38" t="e">
        <f t="shared" ca="1" si="27"/>
        <v>#REF!</v>
      </c>
      <c r="AX38" t="e">
        <f t="shared" ca="1" si="27"/>
        <v>#REF!</v>
      </c>
      <c r="AY38" t="e">
        <f t="shared" ca="1" si="27"/>
        <v>#REF!</v>
      </c>
      <c r="AZ38" t="e">
        <f t="shared" ca="1" si="28"/>
        <v>#REF!</v>
      </c>
      <c r="BA38" t="e">
        <f t="shared" ca="1" si="28"/>
        <v>#REF!</v>
      </c>
      <c r="BB38" t="e">
        <f t="shared" ca="1" si="28"/>
        <v>#REF!</v>
      </c>
      <c r="BC38" t="e">
        <f t="shared" ca="1" si="28"/>
        <v>#REF!</v>
      </c>
      <c r="BD38" t="e">
        <f t="shared" ca="1" si="28"/>
        <v>#REF!</v>
      </c>
      <c r="BE38" t="e">
        <f t="shared" ca="1" si="28"/>
        <v>#REF!</v>
      </c>
      <c r="BF38" t="e">
        <f t="shared" ca="1" si="28"/>
        <v>#REF!</v>
      </c>
      <c r="BG38" t="e">
        <f t="shared" ca="1" si="28"/>
        <v>#REF!</v>
      </c>
      <c r="BH38" t="e">
        <f t="shared" ca="1" si="28"/>
        <v>#REF!</v>
      </c>
      <c r="BI38" t="e">
        <f t="shared" ca="1" si="28"/>
        <v>#REF!</v>
      </c>
      <c r="BJ38" t="e">
        <f t="shared" ca="1" si="28"/>
        <v>#REF!</v>
      </c>
      <c r="BK38" t="e">
        <f t="shared" ca="1" si="28"/>
        <v>#REF!</v>
      </c>
      <c r="BL38" t="e">
        <f t="shared" ca="1" si="28"/>
        <v>#REF!</v>
      </c>
      <c r="BM38" t="e">
        <f t="shared" ca="1" si="28"/>
        <v>#REF!</v>
      </c>
      <c r="BN38" s="44" t="e">
        <f t="shared" ca="1" si="28"/>
        <v>#REF!</v>
      </c>
      <c r="BO38" s="44" t="e">
        <f t="shared" ca="1" si="28"/>
        <v>#REF!</v>
      </c>
      <c r="BP38" s="44" t="e">
        <f t="shared" ca="1" si="29"/>
        <v>#REF!</v>
      </c>
      <c r="BQ38" s="44" t="e">
        <f t="shared" ca="1" si="29"/>
        <v>#REF!</v>
      </c>
      <c r="BR38" s="44" t="e">
        <f t="shared" ca="1" si="29"/>
        <v>#REF!</v>
      </c>
      <c r="BS38" s="44" t="e">
        <f t="shared" ca="1" si="29"/>
        <v>#REF!</v>
      </c>
      <c r="BT38" s="44" t="e">
        <f t="shared" ca="1" si="29"/>
        <v>#REF!</v>
      </c>
      <c r="BU38" s="44" t="e">
        <f t="shared" ca="1" si="29"/>
        <v>#REF!</v>
      </c>
      <c r="BV38" s="44" t="e">
        <f t="shared" ca="1" si="29"/>
        <v>#REF!</v>
      </c>
      <c r="BW38" s="44" t="e">
        <f t="shared" ca="1" si="29"/>
        <v>#REF!</v>
      </c>
      <c r="BX38" s="44" t="e">
        <f t="shared" ca="1" si="29"/>
        <v>#REF!</v>
      </c>
      <c r="BY38" s="44" t="e">
        <f t="shared" ca="1" si="29"/>
        <v>#REF!</v>
      </c>
      <c r="BZ38" s="44" t="e">
        <f t="shared" ca="1" si="29"/>
        <v>#REF!</v>
      </c>
      <c r="CA38" s="44" t="e">
        <f t="shared" ca="1" si="29"/>
        <v>#REF!</v>
      </c>
      <c r="CB38" s="44" t="e">
        <f t="shared" ca="1" si="29"/>
        <v>#REF!</v>
      </c>
      <c r="CC38" s="44" t="e">
        <f t="shared" ca="1" si="29"/>
        <v>#REF!</v>
      </c>
      <c r="CD38" s="44" t="e">
        <f t="shared" ca="1" si="29"/>
        <v>#REF!</v>
      </c>
      <c r="CE38" s="44" t="e">
        <f t="shared" ca="1" si="29"/>
        <v>#REF!</v>
      </c>
      <c r="CF38" s="44" t="e">
        <f t="shared" ca="1" si="30"/>
        <v>#REF!</v>
      </c>
      <c r="CG38" t="e">
        <f t="shared" ca="1" si="30"/>
        <v>#REF!</v>
      </c>
      <c r="CH38" t="e">
        <f t="shared" ca="1" si="30"/>
        <v>#REF!</v>
      </c>
      <c r="CI38" t="e">
        <f t="shared" ca="1" si="30"/>
        <v>#REF!</v>
      </c>
      <c r="CJ38" t="e">
        <f t="shared" ca="1" si="30"/>
        <v>#REF!</v>
      </c>
      <c r="CK38" t="e">
        <f t="shared" ca="1" si="30"/>
        <v>#REF!</v>
      </c>
      <c r="CL38" t="e">
        <f t="shared" ca="1" si="30"/>
        <v>#REF!</v>
      </c>
      <c r="CM38" t="e">
        <f t="shared" ca="1" si="30"/>
        <v>#REF!</v>
      </c>
      <c r="CN38" t="e">
        <f t="shared" ca="1" si="30"/>
        <v>#REF!</v>
      </c>
      <c r="CO38" t="e">
        <f t="shared" ca="1" si="30"/>
        <v>#REF!</v>
      </c>
      <c r="CP38" t="e">
        <f t="shared" ca="1" si="30"/>
        <v>#REF!</v>
      </c>
      <c r="CQ38" t="e">
        <f t="shared" ca="1" si="30"/>
        <v>#REF!</v>
      </c>
      <c r="CR38" t="e">
        <f t="shared" ca="1" si="30"/>
        <v>#REF!</v>
      </c>
      <c r="CS38" t="e">
        <f t="shared" ca="1" si="30"/>
        <v>#REF!</v>
      </c>
      <c r="CT38" t="e">
        <f t="shared" ca="1" si="30"/>
        <v>#REF!</v>
      </c>
      <c r="CU38" t="e">
        <f t="shared" ca="1" si="30"/>
        <v>#REF!</v>
      </c>
      <c r="CV38" t="e">
        <f t="shared" ca="1" si="31"/>
        <v>#REF!</v>
      </c>
      <c r="CW38" t="e">
        <f t="shared" ca="1" si="31"/>
        <v>#REF!</v>
      </c>
      <c r="CX38" t="e">
        <f t="shared" ca="1" si="31"/>
        <v>#REF!</v>
      </c>
      <c r="CY38" t="e">
        <f t="shared" ca="1" si="31"/>
        <v>#REF!</v>
      </c>
      <c r="CZ38" s="44" t="e">
        <f t="shared" ca="1" si="31"/>
        <v>#REF!</v>
      </c>
      <c r="DA38" s="44" t="e">
        <f t="shared" ca="1" si="31"/>
        <v>#REF!</v>
      </c>
      <c r="DB38" s="44" t="e">
        <f t="shared" ca="1" si="31"/>
        <v>#REF!</v>
      </c>
      <c r="DC38" s="44" t="e">
        <f t="shared" ca="1" si="31"/>
        <v>#REF!</v>
      </c>
      <c r="DD38" s="44" t="e">
        <f t="shared" ca="1" si="31"/>
        <v>#REF!</v>
      </c>
      <c r="DE38" s="44" t="e">
        <f t="shared" ca="1" si="31"/>
        <v>#REF!</v>
      </c>
      <c r="DF38" s="44" t="e">
        <f t="shared" ca="1" si="31"/>
        <v>#REF!</v>
      </c>
      <c r="DG38" s="44" t="e">
        <f t="shared" ca="1" si="31"/>
        <v>#REF!</v>
      </c>
      <c r="DH38" s="44" t="e">
        <f t="shared" ca="1" si="31"/>
        <v>#REF!</v>
      </c>
      <c r="DI38" s="44" t="e">
        <f t="shared" ca="1" si="31"/>
        <v>#REF!</v>
      </c>
      <c r="DJ38" s="44" t="e">
        <f t="shared" ca="1" si="31"/>
        <v>#REF!</v>
      </c>
      <c r="DK38" s="44" t="e">
        <f t="shared" ca="1" si="31"/>
        <v>#REF!</v>
      </c>
      <c r="DL38" s="44" t="e">
        <f t="shared" ca="1" si="32"/>
        <v>#REF!</v>
      </c>
      <c r="DM38" s="44" t="e">
        <f t="shared" ca="1" si="32"/>
        <v>#REF!</v>
      </c>
      <c r="DN38" s="44" t="e">
        <f t="shared" ca="1" si="32"/>
        <v>#REF!</v>
      </c>
      <c r="DO38" s="44" t="e">
        <f t="shared" ca="1" si="32"/>
        <v>#REF!</v>
      </c>
      <c r="DP38" s="44" t="e">
        <f t="shared" ca="1" si="32"/>
        <v>#REF!</v>
      </c>
      <c r="DQ38" s="44" t="e">
        <f t="shared" ca="1" si="32"/>
        <v>#REF!</v>
      </c>
      <c r="DR38" s="44" t="e">
        <f t="shared" ca="1" si="32"/>
        <v>#REF!</v>
      </c>
      <c r="DS38" t="e">
        <f t="shared" ca="1" si="32"/>
        <v>#REF!</v>
      </c>
      <c r="DT38" t="e">
        <f t="shared" ca="1" si="32"/>
        <v>#REF!</v>
      </c>
      <c r="DU38" t="e">
        <f t="shared" ca="1" si="32"/>
        <v>#REF!</v>
      </c>
      <c r="DV38" t="e">
        <f t="shared" ca="1" si="32"/>
        <v>#REF!</v>
      </c>
      <c r="DW38" t="e">
        <f t="shared" ca="1" si="32"/>
        <v>#REF!</v>
      </c>
      <c r="DX38" t="e">
        <f t="shared" ca="1" si="32"/>
        <v>#REF!</v>
      </c>
      <c r="DY38" t="e">
        <f t="shared" ca="1" si="32"/>
        <v>#REF!</v>
      </c>
      <c r="DZ38" t="e">
        <f t="shared" ca="1" si="32"/>
        <v>#REF!</v>
      </c>
      <c r="EA38" t="e">
        <f t="shared" ca="1" si="32"/>
        <v>#REF!</v>
      </c>
      <c r="EB38" t="e">
        <f t="shared" ca="1" si="33"/>
        <v>#REF!</v>
      </c>
      <c r="EC38" t="e">
        <f t="shared" ca="1" si="33"/>
        <v>#REF!</v>
      </c>
      <c r="ED38" t="e">
        <f t="shared" ca="1" si="33"/>
        <v>#REF!</v>
      </c>
      <c r="EE38" t="e">
        <f t="shared" ca="1" si="33"/>
        <v>#REF!</v>
      </c>
      <c r="EF38" t="e">
        <f t="shared" ca="1" si="33"/>
        <v>#REF!</v>
      </c>
      <c r="EG38" t="e">
        <f t="shared" ca="1" si="33"/>
        <v>#REF!</v>
      </c>
      <c r="EH38" t="e">
        <f t="shared" ca="1" si="33"/>
        <v>#REF!</v>
      </c>
      <c r="EI38" t="e">
        <f t="shared" ca="1" si="33"/>
        <v>#REF!</v>
      </c>
      <c r="EJ38" t="e">
        <f t="shared" ca="1" si="33"/>
        <v>#REF!</v>
      </c>
      <c r="EK38" s="44" t="e">
        <f t="shared" ca="1" si="33"/>
        <v>#REF!</v>
      </c>
      <c r="EL38" s="44" t="e">
        <f t="shared" ca="1" si="33"/>
        <v>#REF!</v>
      </c>
      <c r="EM38" s="44" t="e">
        <f t="shared" ca="1" si="33"/>
        <v>#REF!</v>
      </c>
      <c r="EN38" s="44" t="e">
        <f t="shared" ca="1" si="33"/>
        <v>#REF!</v>
      </c>
      <c r="EO38" s="44" t="e">
        <f t="shared" ca="1" si="33"/>
        <v>#REF!</v>
      </c>
      <c r="EP38" s="44" t="e">
        <f t="shared" ca="1" si="33"/>
        <v>#REF!</v>
      </c>
      <c r="EQ38" s="44" t="e">
        <f t="shared" ca="1" si="33"/>
        <v>#REF!</v>
      </c>
      <c r="ER38" s="44" t="e">
        <f t="shared" ca="1" si="34"/>
        <v>#REF!</v>
      </c>
      <c r="ES38" s="44" t="e">
        <f t="shared" ca="1" si="34"/>
        <v>#REF!</v>
      </c>
      <c r="ET38" s="44" t="e">
        <f t="shared" ca="1" si="34"/>
        <v>#REF!</v>
      </c>
      <c r="EU38" s="44" t="e">
        <f t="shared" ca="1" si="34"/>
        <v>#REF!</v>
      </c>
      <c r="EV38" s="44" t="e">
        <f t="shared" ca="1" si="34"/>
        <v>#REF!</v>
      </c>
      <c r="EW38" s="44" t="e">
        <f t="shared" ca="1" si="34"/>
        <v>#REF!</v>
      </c>
      <c r="EX38" s="44" t="e">
        <f t="shared" ca="1" si="34"/>
        <v>#REF!</v>
      </c>
      <c r="EY38" s="44" t="e">
        <f t="shared" ca="1" si="34"/>
        <v>#REF!</v>
      </c>
      <c r="EZ38" s="44" t="e">
        <f t="shared" ca="1" si="34"/>
        <v>#REF!</v>
      </c>
      <c r="FA38" s="44" t="e">
        <f t="shared" ca="1" si="34"/>
        <v>#REF!</v>
      </c>
      <c r="FB38" s="44" t="e">
        <f t="shared" ca="1" si="34"/>
        <v>#REF!</v>
      </c>
      <c r="FC38" s="56" t="e">
        <f t="shared" ca="1" si="34"/>
        <v>#REF!</v>
      </c>
      <c r="FD38" t="e">
        <f t="shared" ca="1" si="34"/>
        <v>#REF!</v>
      </c>
      <c r="FE38" t="e">
        <f t="shared" ca="1" si="34"/>
        <v>#REF!</v>
      </c>
      <c r="FF38" t="e">
        <f t="shared" ca="1" si="34"/>
        <v>#REF!</v>
      </c>
      <c r="FG38" t="e">
        <f t="shared" ca="1" si="34"/>
        <v>#REF!</v>
      </c>
      <c r="FH38" t="e">
        <f t="shared" ca="1" si="35"/>
        <v>#REF!</v>
      </c>
      <c r="FI38" t="e">
        <f t="shared" ca="1" si="35"/>
        <v>#REF!</v>
      </c>
      <c r="FJ38" t="e">
        <f t="shared" ca="1" si="35"/>
        <v>#REF!</v>
      </c>
      <c r="FK38" t="e">
        <f t="shared" ca="1" si="35"/>
        <v>#REF!</v>
      </c>
      <c r="FL38" t="e">
        <f t="shared" ca="1" si="35"/>
        <v>#REF!</v>
      </c>
      <c r="FM38" t="e">
        <f t="shared" ca="1" si="35"/>
        <v>#REF!</v>
      </c>
      <c r="FN38" t="e">
        <f t="shared" ca="1" si="35"/>
        <v>#REF!</v>
      </c>
      <c r="FO38" t="e">
        <f t="shared" ca="1" si="35"/>
        <v>#REF!</v>
      </c>
      <c r="FP38" t="e">
        <f t="shared" ca="1" si="35"/>
        <v>#REF!</v>
      </c>
      <c r="FQ38" t="e">
        <f t="shared" ca="1" si="35"/>
        <v>#REF!</v>
      </c>
      <c r="FR38" t="e">
        <f t="shared" ca="1" si="35"/>
        <v>#REF!</v>
      </c>
      <c r="FS38" t="e">
        <f t="shared" ca="1" si="35"/>
        <v>#REF!</v>
      </c>
      <c r="FT38" t="e">
        <f t="shared" ca="1" si="35"/>
        <v>#REF!</v>
      </c>
    </row>
    <row r="39" spans="1:176" x14ac:dyDescent="0.35">
      <c r="A39" s="240">
        <v>240</v>
      </c>
      <c r="B39" t="e">
        <f t="shared" ca="1" si="37"/>
        <v>#REF!</v>
      </c>
      <c r="C39" t="e">
        <f t="shared" ca="1" si="37"/>
        <v>#REF!</v>
      </c>
      <c r="D39" t="e">
        <f t="shared" ca="1" si="37"/>
        <v>#REF!</v>
      </c>
      <c r="E39" t="e">
        <f t="shared" ca="1" si="37"/>
        <v>#REF!</v>
      </c>
      <c r="F39" t="e">
        <f t="shared" ca="1" si="13"/>
        <v>#REF!</v>
      </c>
      <c r="G39" t="e">
        <f t="shared" ca="1" si="13"/>
        <v>#REF!</v>
      </c>
      <c r="H39" t="e">
        <f t="shared" ca="1" si="13"/>
        <v>#REF!</v>
      </c>
      <c r="I39" t="e">
        <f t="shared" ca="1" si="37"/>
        <v>#REF!</v>
      </c>
      <c r="J39" t="e">
        <f t="shared" ca="1" si="37"/>
        <v>#REF!</v>
      </c>
      <c r="K39" t="e">
        <f t="shared" ca="1" si="37"/>
        <v>#REF!</v>
      </c>
      <c r="L39" t="e">
        <f t="shared" ca="1" si="37"/>
        <v>#REF!</v>
      </c>
      <c r="M39" t="e">
        <f t="shared" ca="1" si="37"/>
        <v>#REF!</v>
      </c>
      <c r="N39" t="e">
        <f t="shared" ca="1" si="37"/>
        <v>#REF!</v>
      </c>
      <c r="O39" t="e">
        <f t="shared" ca="1" si="37"/>
        <v>#REF!</v>
      </c>
      <c r="P39" t="e">
        <f t="shared" ca="1" si="37"/>
        <v>#REF!</v>
      </c>
      <c r="Q39" t="e">
        <f t="shared" ca="1" si="37"/>
        <v>#REF!</v>
      </c>
      <c r="R39" t="e">
        <f t="shared" ca="1" si="37"/>
        <v>#REF!</v>
      </c>
      <c r="S39" t="e">
        <f t="shared" ca="1" si="36"/>
        <v>#REF!</v>
      </c>
      <c r="T39" t="e">
        <f t="shared" ca="1" si="26"/>
        <v>#REF!</v>
      </c>
      <c r="U39" t="e">
        <f t="shared" ca="1" si="26"/>
        <v>#REF!</v>
      </c>
      <c r="V39" t="e">
        <f t="shared" ca="1" si="26"/>
        <v>#REF!</v>
      </c>
      <c r="W39" t="e">
        <f t="shared" ca="1" si="26"/>
        <v>#REF!</v>
      </c>
      <c r="X39" t="e">
        <f t="shared" ca="1" si="26"/>
        <v>#REF!</v>
      </c>
      <c r="Y39" t="e">
        <f t="shared" ca="1" si="26"/>
        <v>#REF!</v>
      </c>
      <c r="Z39" t="e">
        <f t="shared" ca="1" si="26"/>
        <v>#REF!</v>
      </c>
      <c r="AA39" t="e">
        <f t="shared" ca="1" si="26"/>
        <v>#REF!</v>
      </c>
      <c r="AB39" s="44" t="e">
        <f t="shared" ca="1" si="26"/>
        <v>#REF!</v>
      </c>
      <c r="AC39" s="44" t="e">
        <f t="shared" ca="1" si="26"/>
        <v>#REF!</v>
      </c>
      <c r="AD39" s="44" t="e">
        <f t="shared" ca="1" si="26"/>
        <v>#REF!</v>
      </c>
      <c r="AE39" s="44" t="e">
        <f t="shared" ca="1" si="26"/>
        <v>#REF!</v>
      </c>
      <c r="AF39" s="44" t="e">
        <f t="shared" ca="1" si="26"/>
        <v>#REF!</v>
      </c>
      <c r="AG39" s="44" t="e">
        <f t="shared" ca="1" si="26"/>
        <v>#REF!</v>
      </c>
      <c r="AH39" s="44" t="e">
        <f t="shared" ca="1" si="26"/>
        <v>#REF!</v>
      </c>
      <c r="AI39" s="44" t="e">
        <f t="shared" ca="1" si="26"/>
        <v>#REF!</v>
      </c>
      <c r="AJ39" s="44" t="e">
        <f t="shared" ca="1" si="27"/>
        <v>#REF!</v>
      </c>
      <c r="AK39" s="44" t="e">
        <f t="shared" ca="1" si="27"/>
        <v>#REF!</v>
      </c>
      <c r="AL39" s="44" t="e">
        <f t="shared" ca="1" si="27"/>
        <v>#REF!</v>
      </c>
      <c r="AM39" s="44" t="e">
        <f t="shared" ca="1" si="27"/>
        <v>#REF!</v>
      </c>
      <c r="AN39" s="44" t="e">
        <f t="shared" ca="1" si="27"/>
        <v>#REF!</v>
      </c>
      <c r="AO39" s="44" t="e">
        <f t="shared" ca="1" si="27"/>
        <v>#REF!</v>
      </c>
      <c r="AP39" s="44" t="e">
        <f t="shared" ca="1" si="27"/>
        <v>#REF!</v>
      </c>
      <c r="AQ39" s="44" t="e">
        <f t="shared" ca="1" si="27"/>
        <v>#REF!</v>
      </c>
      <c r="AR39" s="44" t="e">
        <f t="shared" ca="1" si="27"/>
        <v>#REF!</v>
      </c>
      <c r="AS39" s="44" t="e">
        <f t="shared" ca="1" si="27"/>
        <v>#REF!</v>
      </c>
      <c r="AT39" s="44" t="e">
        <f t="shared" ca="1" si="27"/>
        <v>#REF!</v>
      </c>
      <c r="AU39" t="e">
        <f t="shared" ca="1" si="27"/>
        <v>#REF!</v>
      </c>
      <c r="AV39" t="e">
        <f t="shared" ca="1" si="27"/>
        <v>#REF!</v>
      </c>
      <c r="AW39" t="e">
        <f t="shared" ca="1" si="27"/>
        <v>#REF!</v>
      </c>
      <c r="AX39" t="e">
        <f t="shared" ca="1" si="27"/>
        <v>#REF!</v>
      </c>
      <c r="AY39" t="e">
        <f t="shared" ca="1" si="27"/>
        <v>#REF!</v>
      </c>
      <c r="AZ39" t="e">
        <f t="shared" ca="1" si="28"/>
        <v>#REF!</v>
      </c>
      <c r="BA39" t="e">
        <f t="shared" ca="1" si="28"/>
        <v>#REF!</v>
      </c>
      <c r="BB39" t="e">
        <f t="shared" ca="1" si="28"/>
        <v>#REF!</v>
      </c>
      <c r="BC39" t="e">
        <f t="shared" ca="1" si="28"/>
        <v>#REF!</v>
      </c>
      <c r="BD39" t="e">
        <f t="shared" ca="1" si="28"/>
        <v>#REF!</v>
      </c>
      <c r="BE39" t="e">
        <f t="shared" ca="1" si="28"/>
        <v>#REF!</v>
      </c>
      <c r="BF39" t="e">
        <f t="shared" ca="1" si="28"/>
        <v>#REF!</v>
      </c>
      <c r="BG39" t="e">
        <f t="shared" ca="1" si="28"/>
        <v>#REF!</v>
      </c>
      <c r="BH39" t="e">
        <f t="shared" ca="1" si="28"/>
        <v>#REF!</v>
      </c>
      <c r="BI39" t="e">
        <f t="shared" ca="1" si="28"/>
        <v>#REF!</v>
      </c>
      <c r="BJ39" t="e">
        <f t="shared" ca="1" si="28"/>
        <v>#REF!</v>
      </c>
      <c r="BK39" t="e">
        <f t="shared" ca="1" si="28"/>
        <v>#REF!</v>
      </c>
      <c r="BL39" t="e">
        <f t="shared" ca="1" si="28"/>
        <v>#REF!</v>
      </c>
      <c r="BM39" t="e">
        <f t="shared" ca="1" si="28"/>
        <v>#REF!</v>
      </c>
      <c r="BN39" s="44" t="e">
        <f t="shared" ca="1" si="28"/>
        <v>#REF!</v>
      </c>
      <c r="BO39" s="44" t="e">
        <f t="shared" ca="1" si="28"/>
        <v>#REF!</v>
      </c>
      <c r="BP39" s="44" t="e">
        <f t="shared" ca="1" si="29"/>
        <v>#REF!</v>
      </c>
      <c r="BQ39" s="44" t="e">
        <f t="shared" ca="1" si="29"/>
        <v>#REF!</v>
      </c>
      <c r="BR39" s="44" t="e">
        <f t="shared" ca="1" si="29"/>
        <v>#REF!</v>
      </c>
      <c r="BS39" s="44" t="e">
        <f t="shared" ca="1" si="29"/>
        <v>#REF!</v>
      </c>
      <c r="BT39" s="44" t="e">
        <f t="shared" ca="1" si="29"/>
        <v>#REF!</v>
      </c>
      <c r="BU39" s="44" t="e">
        <f t="shared" ca="1" si="29"/>
        <v>#REF!</v>
      </c>
      <c r="BV39" s="44" t="e">
        <f t="shared" ca="1" si="29"/>
        <v>#REF!</v>
      </c>
      <c r="BW39" s="44" t="e">
        <f t="shared" ca="1" si="29"/>
        <v>#REF!</v>
      </c>
      <c r="BX39" s="44" t="e">
        <f t="shared" ca="1" si="29"/>
        <v>#REF!</v>
      </c>
      <c r="BY39" s="44" t="e">
        <f t="shared" ca="1" si="29"/>
        <v>#REF!</v>
      </c>
      <c r="BZ39" s="44" t="e">
        <f t="shared" ca="1" si="29"/>
        <v>#REF!</v>
      </c>
      <c r="CA39" s="44" t="e">
        <f t="shared" ca="1" si="29"/>
        <v>#REF!</v>
      </c>
      <c r="CB39" s="44" t="e">
        <f t="shared" ca="1" si="29"/>
        <v>#REF!</v>
      </c>
      <c r="CC39" s="44" t="e">
        <f t="shared" ca="1" si="29"/>
        <v>#REF!</v>
      </c>
      <c r="CD39" s="44" t="e">
        <f t="shared" ca="1" si="29"/>
        <v>#REF!</v>
      </c>
      <c r="CE39" s="44" t="e">
        <f t="shared" ca="1" si="29"/>
        <v>#REF!</v>
      </c>
      <c r="CF39" s="44" t="e">
        <f t="shared" ca="1" si="30"/>
        <v>#REF!</v>
      </c>
      <c r="CG39" t="e">
        <f t="shared" ca="1" si="30"/>
        <v>#REF!</v>
      </c>
      <c r="CH39" t="e">
        <f t="shared" ca="1" si="30"/>
        <v>#REF!</v>
      </c>
      <c r="CI39" t="e">
        <f t="shared" ca="1" si="30"/>
        <v>#REF!</v>
      </c>
      <c r="CJ39" t="e">
        <f t="shared" ca="1" si="30"/>
        <v>#REF!</v>
      </c>
      <c r="CK39" t="e">
        <f t="shared" ca="1" si="30"/>
        <v>#REF!</v>
      </c>
      <c r="CL39" t="e">
        <f t="shared" ca="1" si="30"/>
        <v>#REF!</v>
      </c>
      <c r="CM39" t="e">
        <f t="shared" ca="1" si="30"/>
        <v>#REF!</v>
      </c>
      <c r="CN39" t="e">
        <f t="shared" ca="1" si="30"/>
        <v>#REF!</v>
      </c>
      <c r="CO39" t="e">
        <f t="shared" ca="1" si="30"/>
        <v>#REF!</v>
      </c>
      <c r="CP39" t="e">
        <f t="shared" ca="1" si="30"/>
        <v>#REF!</v>
      </c>
      <c r="CQ39" t="e">
        <f t="shared" ca="1" si="30"/>
        <v>#REF!</v>
      </c>
      <c r="CR39" t="e">
        <f t="shared" ca="1" si="30"/>
        <v>#REF!</v>
      </c>
      <c r="CS39" t="e">
        <f t="shared" ca="1" si="30"/>
        <v>#REF!</v>
      </c>
      <c r="CT39" t="e">
        <f t="shared" ca="1" si="30"/>
        <v>#REF!</v>
      </c>
      <c r="CU39" t="e">
        <f t="shared" ca="1" si="30"/>
        <v>#REF!</v>
      </c>
      <c r="CV39" t="e">
        <f t="shared" ca="1" si="31"/>
        <v>#REF!</v>
      </c>
      <c r="CW39" t="e">
        <f t="shared" ca="1" si="31"/>
        <v>#REF!</v>
      </c>
      <c r="CX39" t="e">
        <f t="shared" ca="1" si="31"/>
        <v>#REF!</v>
      </c>
      <c r="CY39" t="e">
        <f t="shared" ca="1" si="31"/>
        <v>#REF!</v>
      </c>
      <c r="CZ39" s="44" t="e">
        <f t="shared" ca="1" si="31"/>
        <v>#REF!</v>
      </c>
      <c r="DA39" s="44" t="e">
        <f t="shared" ca="1" si="31"/>
        <v>#REF!</v>
      </c>
      <c r="DB39" s="44" t="e">
        <f t="shared" ca="1" si="31"/>
        <v>#REF!</v>
      </c>
      <c r="DC39" s="44" t="e">
        <f t="shared" ca="1" si="31"/>
        <v>#REF!</v>
      </c>
      <c r="DD39" s="44" t="e">
        <f t="shared" ca="1" si="31"/>
        <v>#REF!</v>
      </c>
      <c r="DE39" s="44" t="e">
        <f t="shared" ca="1" si="31"/>
        <v>#REF!</v>
      </c>
      <c r="DF39" s="44" t="e">
        <f t="shared" ca="1" si="31"/>
        <v>#REF!</v>
      </c>
      <c r="DG39" s="44" t="e">
        <f t="shared" ca="1" si="31"/>
        <v>#REF!</v>
      </c>
      <c r="DH39" s="44" t="e">
        <f t="shared" ca="1" si="31"/>
        <v>#REF!</v>
      </c>
      <c r="DI39" s="44" t="e">
        <f t="shared" ca="1" si="31"/>
        <v>#REF!</v>
      </c>
      <c r="DJ39" s="44" t="e">
        <f t="shared" ca="1" si="31"/>
        <v>#REF!</v>
      </c>
      <c r="DK39" s="44" t="e">
        <f t="shared" ca="1" si="31"/>
        <v>#REF!</v>
      </c>
      <c r="DL39" s="44" t="e">
        <f t="shared" ca="1" si="32"/>
        <v>#REF!</v>
      </c>
      <c r="DM39" s="44" t="e">
        <f t="shared" ca="1" si="32"/>
        <v>#REF!</v>
      </c>
      <c r="DN39" s="44" t="e">
        <f t="shared" ca="1" si="32"/>
        <v>#REF!</v>
      </c>
      <c r="DO39" s="44" t="e">
        <f t="shared" ca="1" si="32"/>
        <v>#REF!</v>
      </c>
      <c r="DP39" s="44" t="e">
        <f t="shared" ca="1" si="32"/>
        <v>#REF!</v>
      </c>
      <c r="DQ39" s="44" t="e">
        <f t="shared" ca="1" si="32"/>
        <v>#REF!</v>
      </c>
      <c r="DR39" s="44" t="e">
        <f t="shared" ca="1" si="32"/>
        <v>#REF!</v>
      </c>
      <c r="DS39" t="e">
        <f t="shared" ca="1" si="32"/>
        <v>#REF!</v>
      </c>
      <c r="DT39" t="e">
        <f t="shared" ca="1" si="32"/>
        <v>#REF!</v>
      </c>
      <c r="DU39" t="e">
        <f t="shared" ca="1" si="32"/>
        <v>#REF!</v>
      </c>
      <c r="DV39" t="e">
        <f t="shared" ca="1" si="32"/>
        <v>#REF!</v>
      </c>
      <c r="DW39" t="e">
        <f t="shared" ca="1" si="32"/>
        <v>#REF!</v>
      </c>
      <c r="DX39" t="e">
        <f t="shared" ca="1" si="32"/>
        <v>#REF!</v>
      </c>
      <c r="DY39" t="e">
        <f t="shared" ca="1" si="32"/>
        <v>#REF!</v>
      </c>
      <c r="DZ39" t="e">
        <f t="shared" ca="1" si="32"/>
        <v>#REF!</v>
      </c>
      <c r="EA39" t="e">
        <f t="shared" ca="1" si="32"/>
        <v>#REF!</v>
      </c>
      <c r="EB39" t="e">
        <f t="shared" ca="1" si="33"/>
        <v>#REF!</v>
      </c>
      <c r="EC39" t="e">
        <f t="shared" ca="1" si="33"/>
        <v>#REF!</v>
      </c>
      <c r="ED39" t="e">
        <f t="shared" ca="1" si="33"/>
        <v>#REF!</v>
      </c>
      <c r="EE39" t="e">
        <f t="shared" ca="1" si="33"/>
        <v>#REF!</v>
      </c>
      <c r="EF39" t="e">
        <f t="shared" ca="1" si="33"/>
        <v>#REF!</v>
      </c>
      <c r="EG39" t="e">
        <f t="shared" ca="1" si="33"/>
        <v>#REF!</v>
      </c>
      <c r="EH39" t="e">
        <f t="shared" ca="1" si="33"/>
        <v>#REF!</v>
      </c>
      <c r="EI39" t="e">
        <f t="shared" ca="1" si="33"/>
        <v>#REF!</v>
      </c>
      <c r="EJ39" t="e">
        <f t="shared" ca="1" si="33"/>
        <v>#REF!</v>
      </c>
      <c r="EK39" s="44" t="e">
        <f t="shared" ca="1" si="33"/>
        <v>#REF!</v>
      </c>
      <c r="EL39" s="44" t="e">
        <f t="shared" ca="1" si="33"/>
        <v>#REF!</v>
      </c>
      <c r="EM39" s="44" t="e">
        <f t="shared" ca="1" si="33"/>
        <v>#REF!</v>
      </c>
      <c r="EN39" s="44" t="e">
        <f t="shared" ca="1" si="33"/>
        <v>#REF!</v>
      </c>
      <c r="EO39" s="44" t="e">
        <f t="shared" ca="1" si="33"/>
        <v>#REF!</v>
      </c>
      <c r="EP39" s="44" t="e">
        <f t="shared" ca="1" si="33"/>
        <v>#REF!</v>
      </c>
      <c r="EQ39" s="44" t="e">
        <f t="shared" ca="1" si="33"/>
        <v>#REF!</v>
      </c>
      <c r="ER39" s="44" t="e">
        <f t="shared" ca="1" si="34"/>
        <v>#REF!</v>
      </c>
      <c r="ES39" s="44" t="e">
        <f t="shared" ca="1" si="34"/>
        <v>#REF!</v>
      </c>
      <c r="ET39" s="44" t="e">
        <f t="shared" ca="1" si="34"/>
        <v>#REF!</v>
      </c>
      <c r="EU39" s="44" t="e">
        <f t="shared" ca="1" si="34"/>
        <v>#REF!</v>
      </c>
      <c r="EV39" s="44" t="e">
        <f t="shared" ca="1" si="34"/>
        <v>#REF!</v>
      </c>
      <c r="EW39" s="44" t="e">
        <f t="shared" ca="1" si="34"/>
        <v>#REF!</v>
      </c>
      <c r="EX39" s="44" t="e">
        <f t="shared" ca="1" si="34"/>
        <v>#REF!</v>
      </c>
      <c r="EY39" s="44" t="e">
        <f t="shared" ca="1" si="34"/>
        <v>#REF!</v>
      </c>
      <c r="EZ39" s="44" t="e">
        <f t="shared" ca="1" si="34"/>
        <v>#REF!</v>
      </c>
      <c r="FA39" s="44" t="e">
        <f t="shared" ca="1" si="34"/>
        <v>#REF!</v>
      </c>
      <c r="FB39" s="44" t="e">
        <f t="shared" ca="1" si="34"/>
        <v>#REF!</v>
      </c>
      <c r="FC39" s="56" t="e">
        <f t="shared" ca="1" si="34"/>
        <v>#REF!</v>
      </c>
      <c r="FD39" t="e">
        <f t="shared" ca="1" si="34"/>
        <v>#REF!</v>
      </c>
      <c r="FE39" t="e">
        <f t="shared" ca="1" si="34"/>
        <v>#REF!</v>
      </c>
      <c r="FF39" t="e">
        <f t="shared" ca="1" si="34"/>
        <v>#REF!</v>
      </c>
      <c r="FG39" t="e">
        <f t="shared" ca="1" si="34"/>
        <v>#REF!</v>
      </c>
      <c r="FH39" t="e">
        <f t="shared" ca="1" si="35"/>
        <v>#REF!</v>
      </c>
      <c r="FI39" t="e">
        <f t="shared" ca="1" si="35"/>
        <v>#REF!</v>
      </c>
      <c r="FJ39" t="e">
        <f t="shared" ca="1" si="35"/>
        <v>#REF!</v>
      </c>
      <c r="FK39" t="e">
        <f t="shared" ca="1" si="35"/>
        <v>#REF!</v>
      </c>
      <c r="FL39" t="e">
        <f t="shared" ca="1" si="35"/>
        <v>#REF!</v>
      </c>
      <c r="FM39" t="e">
        <f t="shared" ca="1" si="35"/>
        <v>#REF!</v>
      </c>
      <c r="FN39" t="e">
        <f t="shared" ca="1" si="35"/>
        <v>#REF!</v>
      </c>
      <c r="FO39" t="e">
        <f t="shared" ca="1" si="35"/>
        <v>#REF!</v>
      </c>
      <c r="FP39" t="e">
        <f t="shared" ca="1" si="35"/>
        <v>#REF!</v>
      </c>
      <c r="FQ39" t="e">
        <f t="shared" ca="1" si="35"/>
        <v>#REF!</v>
      </c>
      <c r="FR39" t="e">
        <f t="shared" ca="1" si="35"/>
        <v>#REF!</v>
      </c>
      <c r="FS39" t="e">
        <f t="shared" ca="1" si="35"/>
        <v>#REF!</v>
      </c>
      <c r="FT39" t="e">
        <f t="shared" ca="1" si="35"/>
        <v>#REF!</v>
      </c>
    </row>
    <row r="40" spans="1:176" x14ac:dyDescent="0.35">
      <c r="A40" s="240">
        <v>208</v>
      </c>
      <c r="B40" t="e">
        <f t="shared" ca="1" si="37"/>
        <v>#REF!</v>
      </c>
      <c r="C40" t="e">
        <f t="shared" ca="1" si="37"/>
        <v>#REF!</v>
      </c>
      <c r="D40" t="e">
        <f t="shared" ca="1" si="37"/>
        <v>#REF!</v>
      </c>
      <c r="E40" t="e">
        <f t="shared" ca="1" si="37"/>
        <v>#REF!</v>
      </c>
      <c r="F40" t="e">
        <f t="shared" ca="1" si="13"/>
        <v>#REF!</v>
      </c>
      <c r="G40" t="e">
        <f t="shared" ca="1" si="13"/>
        <v>#REF!</v>
      </c>
      <c r="H40" t="e">
        <f t="shared" ca="1" si="13"/>
        <v>#REF!</v>
      </c>
      <c r="I40" t="e">
        <f t="shared" ca="1" si="37"/>
        <v>#REF!</v>
      </c>
      <c r="J40" t="e">
        <f t="shared" ca="1" si="37"/>
        <v>#REF!</v>
      </c>
      <c r="K40" t="e">
        <f t="shared" ca="1" si="37"/>
        <v>#REF!</v>
      </c>
      <c r="L40" t="e">
        <f t="shared" ca="1" si="37"/>
        <v>#REF!</v>
      </c>
      <c r="M40" t="e">
        <f t="shared" ca="1" si="37"/>
        <v>#REF!</v>
      </c>
      <c r="N40" t="e">
        <f t="shared" ca="1" si="37"/>
        <v>#REF!</v>
      </c>
      <c r="O40" t="e">
        <f t="shared" ca="1" si="37"/>
        <v>#REF!</v>
      </c>
      <c r="P40" t="e">
        <f t="shared" ca="1" si="37"/>
        <v>#REF!</v>
      </c>
      <c r="Q40" t="e">
        <f t="shared" ca="1" si="37"/>
        <v>#REF!</v>
      </c>
      <c r="R40" t="e">
        <f t="shared" ca="1" si="37"/>
        <v>#REF!</v>
      </c>
      <c r="S40" t="e">
        <f t="shared" ca="1" si="36"/>
        <v>#REF!</v>
      </c>
      <c r="T40" t="e">
        <f t="shared" ca="1" si="26"/>
        <v>#REF!</v>
      </c>
      <c r="U40" t="e">
        <f t="shared" ca="1" si="26"/>
        <v>#REF!</v>
      </c>
      <c r="V40" t="e">
        <f t="shared" ca="1" si="26"/>
        <v>#REF!</v>
      </c>
      <c r="W40" t="e">
        <f t="shared" ca="1" si="26"/>
        <v>#REF!</v>
      </c>
      <c r="X40" t="e">
        <f t="shared" ca="1" si="26"/>
        <v>#REF!</v>
      </c>
      <c r="Y40" t="e">
        <f t="shared" ca="1" si="26"/>
        <v>#REF!</v>
      </c>
      <c r="Z40" t="e">
        <f t="shared" ca="1" si="26"/>
        <v>#REF!</v>
      </c>
      <c r="AA40" t="e">
        <f t="shared" ca="1" si="26"/>
        <v>#REF!</v>
      </c>
      <c r="AB40" s="44" t="e">
        <f t="shared" ca="1" si="26"/>
        <v>#REF!</v>
      </c>
      <c r="AC40" s="44" t="e">
        <f t="shared" ca="1" si="26"/>
        <v>#REF!</v>
      </c>
      <c r="AD40" s="44" t="e">
        <f t="shared" ca="1" si="26"/>
        <v>#REF!</v>
      </c>
      <c r="AE40" s="44" t="e">
        <f t="shared" ca="1" si="26"/>
        <v>#REF!</v>
      </c>
      <c r="AF40" s="44" t="e">
        <f t="shared" ca="1" si="26"/>
        <v>#REF!</v>
      </c>
      <c r="AG40" s="44" t="e">
        <f t="shared" ca="1" si="26"/>
        <v>#REF!</v>
      </c>
      <c r="AH40" s="44" t="e">
        <f t="shared" ca="1" si="26"/>
        <v>#REF!</v>
      </c>
      <c r="AI40" s="44" t="e">
        <f t="shared" ca="1" si="26"/>
        <v>#REF!</v>
      </c>
      <c r="AJ40" s="44" t="e">
        <f t="shared" ca="1" si="27"/>
        <v>#REF!</v>
      </c>
      <c r="AK40" s="44" t="e">
        <f t="shared" ca="1" si="27"/>
        <v>#REF!</v>
      </c>
      <c r="AL40" s="44" t="e">
        <f t="shared" ca="1" si="27"/>
        <v>#REF!</v>
      </c>
      <c r="AM40" s="44" t="e">
        <f t="shared" ca="1" si="27"/>
        <v>#REF!</v>
      </c>
      <c r="AN40" s="44" t="e">
        <f t="shared" ca="1" si="27"/>
        <v>#REF!</v>
      </c>
      <c r="AO40" s="44" t="e">
        <f t="shared" ca="1" si="27"/>
        <v>#REF!</v>
      </c>
      <c r="AP40" s="44" t="e">
        <f t="shared" ca="1" si="27"/>
        <v>#REF!</v>
      </c>
      <c r="AQ40" s="44" t="e">
        <f t="shared" ca="1" si="27"/>
        <v>#REF!</v>
      </c>
      <c r="AR40" s="44" t="e">
        <f t="shared" ca="1" si="27"/>
        <v>#REF!</v>
      </c>
      <c r="AS40" s="44" t="e">
        <f t="shared" ca="1" si="27"/>
        <v>#REF!</v>
      </c>
      <c r="AT40" s="44" t="e">
        <f t="shared" ca="1" si="27"/>
        <v>#REF!</v>
      </c>
      <c r="AU40" t="e">
        <f t="shared" ca="1" si="27"/>
        <v>#REF!</v>
      </c>
      <c r="AV40" t="e">
        <f t="shared" ca="1" si="27"/>
        <v>#REF!</v>
      </c>
      <c r="AW40" t="e">
        <f t="shared" ca="1" si="27"/>
        <v>#REF!</v>
      </c>
      <c r="AX40" t="e">
        <f t="shared" ca="1" si="27"/>
        <v>#REF!</v>
      </c>
      <c r="AY40" t="e">
        <f t="shared" ca="1" si="27"/>
        <v>#REF!</v>
      </c>
      <c r="AZ40" t="e">
        <f t="shared" ca="1" si="28"/>
        <v>#REF!</v>
      </c>
      <c r="BA40" t="e">
        <f t="shared" ca="1" si="28"/>
        <v>#REF!</v>
      </c>
      <c r="BB40" t="e">
        <f t="shared" ca="1" si="28"/>
        <v>#REF!</v>
      </c>
      <c r="BC40" t="e">
        <f t="shared" ca="1" si="28"/>
        <v>#REF!</v>
      </c>
      <c r="BD40" t="e">
        <f t="shared" ca="1" si="28"/>
        <v>#REF!</v>
      </c>
      <c r="BE40" t="e">
        <f t="shared" ca="1" si="28"/>
        <v>#REF!</v>
      </c>
      <c r="BF40" t="e">
        <f t="shared" ca="1" si="28"/>
        <v>#REF!</v>
      </c>
      <c r="BG40" t="e">
        <f t="shared" ca="1" si="28"/>
        <v>#REF!</v>
      </c>
      <c r="BH40" t="e">
        <f t="shared" ca="1" si="28"/>
        <v>#REF!</v>
      </c>
      <c r="BI40" t="e">
        <f t="shared" ca="1" si="28"/>
        <v>#REF!</v>
      </c>
      <c r="BJ40" t="e">
        <f t="shared" ca="1" si="28"/>
        <v>#REF!</v>
      </c>
      <c r="BK40" t="e">
        <f t="shared" ca="1" si="28"/>
        <v>#REF!</v>
      </c>
      <c r="BL40" t="e">
        <f t="shared" ca="1" si="28"/>
        <v>#REF!</v>
      </c>
      <c r="BM40" t="e">
        <f t="shared" ca="1" si="28"/>
        <v>#REF!</v>
      </c>
      <c r="BN40" s="44" t="e">
        <f t="shared" ca="1" si="28"/>
        <v>#REF!</v>
      </c>
      <c r="BO40" s="44" t="e">
        <f t="shared" ca="1" si="28"/>
        <v>#REF!</v>
      </c>
      <c r="BP40" s="44" t="e">
        <f t="shared" ca="1" si="29"/>
        <v>#REF!</v>
      </c>
      <c r="BQ40" s="44" t="e">
        <f t="shared" ca="1" si="29"/>
        <v>#REF!</v>
      </c>
      <c r="BR40" s="44" t="e">
        <f t="shared" ca="1" si="29"/>
        <v>#REF!</v>
      </c>
      <c r="BS40" s="44" t="e">
        <f t="shared" ca="1" si="29"/>
        <v>#REF!</v>
      </c>
      <c r="BT40" s="44" t="e">
        <f t="shared" ca="1" si="29"/>
        <v>#REF!</v>
      </c>
      <c r="BU40" s="44" t="e">
        <f t="shared" ca="1" si="29"/>
        <v>#REF!</v>
      </c>
      <c r="BV40" s="44" t="e">
        <f t="shared" ca="1" si="29"/>
        <v>#REF!</v>
      </c>
      <c r="BW40" s="44" t="e">
        <f t="shared" ca="1" si="29"/>
        <v>#REF!</v>
      </c>
      <c r="BX40" s="44" t="e">
        <f t="shared" ca="1" si="29"/>
        <v>#REF!</v>
      </c>
      <c r="BY40" s="44" t="e">
        <f t="shared" ca="1" si="29"/>
        <v>#REF!</v>
      </c>
      <c r="BZ40" s="44" t="e">
        <f t="shared" ca="1" si="29"/>
        <v>#REF!</v>
      </c>
      <c r="CA40" s="44" t="e">
        <f t="shared" ca="1" si="29"/>
        <v>#REF!</v>
      </c>
      <c r="CB40" s="44" t="e">
        <f t="shared" ca="1" si="29"/>
        <v>#REF!</v>
      </c>
      <c r="CC40" s="44" t="e">
        <f t="shared" ca="1" si="29"/>
        <v>#REF!</v>
      </c>
      <c r="CD40" s="44" t="e">
        <f t="shared" ca="1" si="29"/>
        <v>#REF!</v>
      </c>
      <c r="CE40" s="44" t="e">
        <f t="shared" ca="1" si="29"/>
        <v>#REF!</v>
      </c>
      <c r="CF40" s="44" t="e">
        <f t="shared" ca="1" si="30"/>
        <v>#REF!</v>
      </c>
      <c r="CG40" t="e">
        <f t="shared" ca="1" si="30"/>
        <v>#REF!</v>
      </c>
      <c r="CH40" t="e">
        <f t="shared" ca="1" si="30"/>
        <v>#REF!</v>
      </c>
      <c r="CI40" t="e">
        <f t="shared" ca="1" si="30"/>
        <v>#REF!</v>
      </c>
      <c r="CJ40" t="e">
        <f t="shared" ca="1" si="30"/>
        <v>#REF!</v>
      </c>
      <c r="CK40" t="e">
        <f t="shared" ca="1" si="30"/>
        <v>#REF!</v>
      </c>
      <c r="CL40" t="e">
        <f t="shared" ca="1" si="30"/>
        <v>#REF!</v>
      </c>
      <c r="CM40" t="e">
        <f t="shared" ca="1" si="30"/>
        <v>#REF!</v>
      </c>
      <c r="CN40" t="e">
        <f t="shared" ca="1" si="30"/>
        <v>#REF!</v>
      </c>
      <c r="CO40" t="e">
        <f t="shared" ca="1" si="30"/>
        <v>#REF!</v>
      </c>
      <c r="CP40" t="e">
        <f t="shared" ca="1" si="30"/>
        <v>#REF!</v>
      </c>
      <c r="CQ40" t="e">
        <f t="shared" ca="1" si="30"/>
        <v>#REF!</v>
      </c>
      <c r="CR40" t="e">
        <f t="shared" ca="1" si="30"/>
        <v>#REF!</v>
      </c>
      <c r="CS40" t="e">
        <f t="shared" ca="1" si="30"/>
        <v>#REF!</v>
      </c>
      <c r="CT40" t="e">
        <f t="shared" ca="1" si="30"/>
        <v>#REF!</v>
      </c>
      <c r="CU40" t="e">
        <f t="shared" ca="1" si="30"/>
        <v>#REF!</v>
      </c>
      <c r="CV40" t="e">
        <f t="shared" ca="1" si="31"/>
        <v>#REF!</v>
      </c>
      <c r="CW40" t="e">
        <f t="shared" ca="1" si="31"/>
        <v>#REF!</v>
      </c>
      <c r="CX40" t="e">
        <f t="shared" ca="1" si="31"/>
        <v>#REF!</v>
      </c>
      <c r="CY40" t="e">
        <f t="shared" ca="1" si="31"/>
        <v>#REF!</v>
      </c>
      <c r="CZ40" s="44" t="e">
        <f t="shared" ca="1" si="31"/>
        <v>#REF!</v>
      </c>
      <c r="DA40" s="44" t="e">
        <f t="shared" ca="1" si="31"/>
        <v>#REF!</v>
      </c>
      <c r="DB40" s="44" t="e">
        <f t="shared" ca="1" si="31"/>
        <v>#REF!</v>
      </c>
      <c r="DC40" s="44" t="e">
        <f t="shared" ca="1" si="31"/>
        <v>#REF!</v>
      </c>
      <c r="DD40" s="44" t="e">
        <f t="shared" ca="1" si="31"/>
        <v>#REF!</v>
      </c>
      <c r="DE40" s="44" t="e">
        <f t="shared" ca="1" si="31"/>
        <v>#REF!</v>
      </c>
      <c r="DF40" s="44" t="e">
        <f t="shared" ca="1" si="31"/>
        <v>#REF!</v>
      </c>
      <c r="DG40" s="44" t="e">
        <f t="shared" ca="1" si="31"/>
        <v>#REF!</v>
      </c>
      <c r="DH40" s="44" t="e">
        <f t="shared" ca="1" si="31"/>
        <v>#REF!</v>
      </c>
      <c r="DI40" s="44" t="e">
        <f t="shared" ca="1" si="31"/>
        <v>#REF!</v>
      </c>
      <c r="DJ40" s="44" t="e">
        <f t="shared" ca="1" si="31"/>
        <v>#REF!</v>
      </c>
      <c r="DK40" s="44" t="e">
        <f t="shared" ca="1" si="31"/>
        <v>#REF!</v>
      </c>
      <c r="DL40" s="44" t="e">
        <f t="shared" ca="1" si="32"/>
        <v>#REF!</v>
      </c>
      <c r="DM40" s="44" t="e">
        <f t="shared" ca="1" si="32"/>
        <v>#REF!</v>
      </c>
      <c r="DN40" s="44" t="e">
        <f t="shared" ca="1" si="32"/>
        <v>#REF!</v>
      </c>
      <c r="DO40" s="44" t="e">
        <f t="shared" ca="1" si="32"/>
        <v>#REF!</v>
      </c>
      <c r="DP40" s="44" t="e">
        <f t="shared" ca="1" si="32"/>
        <v>#REF!</v>
      </c>
      <c r="DQ40" s="44" t="e">
        <f t="shared" ca="1" si="32"/>
        <v>#REF!</v>
      </c>
      <c r="DR40" s="44" t="e">
        <f t="shared" ca="1" si="32"/>
        <v>#REF!</v>
      </c>
      <c r="DS40" t="e">
        <f t="shared" ca="1" si="32"/>
        <v>#REF!</v>
      </c>
      <c r="DT40" t="e">
        <f t="shared" ca="1" si="32"/>
        <v>#REF!</v>
      </c>
      <c r="DU40" t="e">
        <f t="shared" ca="1" si="32"/>
        <v>#REF!</v>
      </c>
      <c r="DV40" t="e">
        <f t="shared" ca="1" si="32"/>
        <v>#REF!</v>
      </c>
      <c r="DW40" t="e">
        <f t="shared" ca="1" si="32"/>
        <v>#REF!</v>
      </c>
      <c r="DX40" t="e">
        <f t="shared" ca="1" si="32"/>
        <v>#REF!</v>
      </c>
      <c r="DY40" t="e">
        <f t="shared" ca="1" si="32"/>
        <v>#REF!</v>
      </c>
      <c r="DZ40" t="e">
        <f t="shared" ca="1" si="32"/>
        <v>#REF!</v>
      </c>
      <c r="EA40" t="e">
        <f t="shared" ca="1" si="32"/>
        <v>#REF!</v>
      </c>
      <c r="EB40" t="e">
        <f t="shared" ca="1" si="33"/>
        <v>#REF!</v>
      </c>
      <c r="EC40" t="e">
        <f t="shared" ca="1" si="33"/>
        <v>#REF!</v>
      </c>
      <c r="ED40" t="e">
        <f t="shared" ca="1" si="33"/>
        <v>#REF!</v>
      </c>
      <c r="EE40" t="e">
        <f t="shared" ca="1" si="33"/>
        <v>#REF!</v>
      </c>
      <c r="EF40" t="e">
        <f t="shared" ca="1" si="33"/>
        <v>#REF!</v>
      </c>
      <c r="EG40" t="e">
        <f t="shared" ca="1" si="33"/>
        <v>#REF!</v>
      </c>
      <c r="EH40" t="e">
        <f t="shared" ca="1" si="33"/>
        <v>#REF!</v>
      </c>
      <c r="EI40" t="e">
        <f t="shared" ca="1" si="33"/>
        <v>#REF!</v>
      </c>
      <c r="EJ40" t="e">
        <f t="shared" ca="1" si="33"/>
        <v>#REF!</v>
      </c>
      <c r="EK40" s="44" t="e">
        <f t="shared" ca="1" si="33"/>
        <v>#REF!</v>
      </c>
      <c r="EL40" s="44" t="e">
        <f t="shared" ca="1" si="33"/>
        <v>#REF!</v>
      </c>
      <c r="EM40" s="44" t="e">
        <f t="shared" ca="1" si="33"/>
        <v>#REF!</v>
      </c>
      <c r="EN40" s="44" t="e">
        <f t="shared" ca="1" si="33"/>
        <v>#REF!</v>
      </c>
      <c r="EO40" s="44" t="e">
        <f t="shared" ca="1" si="33"/>
        <v>#REF!</v>
      </c>
      <c r="EP40" s="44" t="e">
        <f t="shared" ca="1" si="33"/>
        <v>#REF!</v>
      </c>
      <c r="EQ40" s="44" t="e">
        <f t="shared" ca="1" si="33"/>
        <v>#REF!</v>
      </c>
      <c r="ER40" s="44" t="e">
        <f t="shared" ca="1" si="34"/>
        <v>#REF!</v>
      </c>
      <c r="ES40" s="44" t="e">
        <f t="shared" ca="1" si="34"/>
        <v>#REF!</v>
      </c>
      <c r="ET40" s="44" t="e">
        <f t="shared" ca="1" si="34"/>
        <v>#REF!</v>
      </c>
      <c r="EU40" s="44" t="e">
        <f t="shared" ca="1" si="34"/>
        <v>#REF!</v>
      </c>
      <c r="EV40" s="44" t="e">
        <f t="shared" ca="1" si="34"/>
        <v>#REF!</v>
      </c>
      <c r="EW40" s="44" t="e">
        <f t="shared" ca="1" si="34"/>
        <v>#REF!</v>
      </c>
      <c r="EX40" s="44" t="e">
        <f t="shared" ca="1" si="34"/>
        <v>#REF!</v>
      </c>
      <c r="EY40" s="44" t="e">
        <f t="shared" ca="1" si="34"/>
        <v>#REF!</v>
      </c>
      <c r="EZ40" s="44" t="e">
        <f t="shared" ca="1" si="34"/>
        <v>#REF!</v>
      </c>
      <c r="FA40" s="44" t="e">
        <f t="shared" ca="1" si="34"/>
        <v>#REF!</v>
      </c>
      <c r="FB40" s="44" t="e">
        <f t="shared" ca="1" si="34"/>
        <v>#REF!</v>
      </c>
      <c r="FC40" s="56" t="e">
        <f t="shared" ca="1" si="34"/>
        <v>#REF!</v>
      </c>
      <c r="FD40" t="e">
        <f t="shared" ca="1" si="34"/>
        <v>#REF!</v>
      </c>
      <c r="FE40" t="e">
        <f t="shared" ca="1" si="34"/>
        <v>#REF!</v>
      </c>
      <c r="FF40" t="e">
        <f t="shared" ca="1" si="34"/>
        <v>#REF!</v>
      </c>
      <c r="FG40" t="e">
        <f t="shared" ca="1" si="34"/>
        <v>#REF!</v>
      </c>
      <c r="FH40" t="e">
        <f t="shared" ca="1" si="35"/>
        <v>#REF!</v>
      </c>
      <c r="FI40" t="e">
        <f t="shared" ca="1" si="35"/>
        <v>#REF!</v>
      </c>
      <c r="FJ40" t="e">
        <f t="shared" ca="1" si="35"/>
        <v>#REF!</v>
      </c>
      <c r="FK40" t="e">
        <f t="shared" ca="1" si="35"/>
        <v>#REF!</v>
      </c>
      <c r="FL40" t="e">
        <f t="shared" ca="1" si="35"/>
        <v>#REF!</v>
      </c>
      <c r="FM40" t="e">
        <f t="shared" ca="1" si="35"/>
        <v>#REF!</v>
      </c>
      <c r="FN40" t="e">
        <f t="shared" ca="1" si="35"/>
        <v>#REF!</v>
      </c>
      <c r="FO40" t="e">
        <f t="shared" ca="1" si="35"/>
        <v>#REF!</v>
      </c>
      <c r="FP40" t="e">
        <f t="shared" ca="1" si="35"/>
        <v>#REF!</v>
      </c>
      <c r="FQ40" t="e">
        <f t="shared" ca="1" si="35"/>
        <v>#REF!</v>
      </c>
      <c r="FR40" t="e">
        <f t="shared" ca="1" si="35"/>
        <v>#REF!</v>
      </c>
      <c r="FS40" t="e">
        <f t="shared" ca="1" si="35"/>
        <v>#REF!</v>
      </c>
      <c r="FT40" t="e">
        <f t="shared" ca="1" si="35"/>
        <v>#REF!</v>
      </c>
    </row>
    <row r="41" spans="1:176" x14ac:dyDescent="0.35">
      <c r="A41" s="240">
        <v>206</v>
      </c>
      <c r="B41" t="e">
        <f t="shared" ca="1" si="37"/>
        <v>#REF!</v>
      </c>
      <c r="C41" t="e">
        <f t="shared" ca="1" si="37"/>
        <v>#REF!</v>
      </c>
      <c r="D41" t="e">
        <f t="shared" ca="1" si="37"/>
        <v>#REF!</v>
      </c>
      <c r="E41" t="e">
        <f t="shared" ca="1" si="37"/>
        <v>#REF!</v>
      </c>
      <c r="F41" t="e">
        <f t="shared" ca="1" si="13"/>
        <v>#REF!</v>
      </c>
      <c r="G41" t="e">
        <f t="shared" ca="1" si="13"/>
        <v>#REF!</v>
      </c>
      <c r="H41" t="e">
        <f t="shared" ca="1" si="13"/>
        <v>#REF!</v>
      </c>
      <c r="I41" t="e">
        <f t="shared" ca="1" si="37"/>
        <v>#REF!</v>
      </c>
      <c r="J41" t="e">
        <f t="shared" ca="1" si="37"/>
        <v>#REF!</v>
      </c>
      <c r="K41" t="e">
        <f t="shared" ca="1" si="37"/>
        <v>#REF!</v>
      </c>
      <c r="L41" t="e">
        <f t="shared" ca="1" si="37"/>
        <v>#REF!</v>
      </c>
      <c r="M41" t="e">
        <f t="shared" ca="1" si="37"/>
        <v>#REF!</v>
      </c>
      <c r="N41" t="e">
        <f t="shared" ca="1" si="37"/>
        <v>#REF!</v>
      </c>
      <c r="O41" t="e">
        <f t="shared" ca="1" si="37"/>
        <v>#REF!</v>
      </c>
      <c r="P41" t="e">
        <f t="shared" ca="1" si="37"/>
        <v>#REF!</v>
      </c>
      <c r="Q41" t="e">
        <f t="shared" ca="1" si="37"/>
        <v>#REF!</v>
      </c>
      <c r="R41" t="e">
        <f t="shared" ca="1" si="37"/>
        <v>#REF!</v>
      </c>
      <c r="S41" t="e">
        <f t="shared" ca="1" si="36"/>
        <v>#REF!</v>
      </c>
      <c r="T41" t="e">
        <f t="shared" ca="1" si="26"/>
        <v>#REF!</v>
      </c>
      <c r="U41" t="e">
        <f t="shared" ca="1" si="26"/>
        <v>#REF!</v>
      </c>
      <c r="V41" t="e">
        <f t="shared" ca="1" si="26"/>
        <v>#REF!</v>
      </c>
      <c r="W41" t="e">
        <f t="shared" ca="1" si="26"/>
        <v>#REF!</v>
      </c>
      <c r="X41" t="e">
        <f t="shared" ca="1" si="26"/>
        <v>#REF!</v>
      </c>
      <c r="Y41" t="e">
        <f t="shared" ca="1" si="26"/>
        <v>#REF!</v>
      </c>
      <c r="Z41" t="e">
        <f t="shared" ca="1" si="26"/>
        <v>#REF!</v>
      </c>
      <c r="AA41" t="e">
        <f t="shared" ca="1" si="26"/>
        <v>#REF!</v>
      </c>
      <c r="AB41" s="44" t="e">
        <f t="shared" ca="1" si="26"/>
        <v>#REF!</v>
      </c>
      <c r="AC41" s="44" t="e">
        <f t="shared" ca="1" si="26"/>
        <v>#REF!</v>
      </c>
      <c r="AD41" s="44" t="e">
        <f t="shared" ca="1" si="26"/>
        <v>#REF!</v>
      </c>
      <c r="AE41" s="44" t="e">
        <f t="shared" ca="1" si="26"/>
        <v>#REF!</v>
      </c>
      <c r="AF41" s="44" t="e">
        <f t="shared" ca="1" si="26"/>
        <v>#REF!</v>
      </c>
      <c r="AG41" s="44" t="e">
        <f t="shared" ca="1" si="26"/>
        <v>#REF!</v>
      </c>
      <c r="AH41" s="44" t="e">
        <f t="shared" ca="1" si="26"/>
        <v>#REF!</v>
      </c>
      <c r="AI41" s="44" t="e">
        <f t="shared" ca="1" si="26"/>
        <v>#REF!</v>
      </c>
      <c r="AJ41" s="44" t="e">
        <f t="shared" ca="1" si="27"/>
        <v>#REF!</v>
      </c>
      <c r="AK41" s="44" t="e">
        <f t="shared" ca="1" si="27"/>
        <v>#REF!</v>
      </c>
      <c r="AL41" s="44" t="e">
        <f t="shared" ca="1" si="27"/>
        <v>#REF!</v>
      </c>
      <c r="AM41" s="44" t="e">
        <f t="shared" ca="1" si="27"/>
        <v>#REF!</v>
      </c>
      <c r="AN41" s="44" t="e">
        <f t="shared" ca="1" si="27"/>
        <v>#REF!</v>
      </c>
      <c r="AO41" s="44" t="e">
        <f t="shared" ca="1" si="27"/>
        <v>#REF!</v>
      </c>
      <c r="AP41" s="44" t="e">
        <f t="shared" ca="1" si="27"/>
        <v>#REF!</v>
      </c>
      <c r="AQ41" s="44" t="e">
        <f t="shared" ca="1" si="27"/>
        <v>#REF!</v>
      </c>
      <c r="AR41" s="44" t="e">
        <f t="shared" ca="1" si="27"/>
        <v>#REF!</v>
      </c>
      <c r="AS41" s="44" t="e">
        <f t="shared" ca="1" si="27"/>
        <v>#REF!</v>
      </c>
      <c r="AT41" s="44" t="e">
        <f t="shared" ca="1" si="27"/>
        <v>#REF!</v>
      </c>
      <c r="AU41" t="e">
        <f t="shared" ca="1" si="27"/>
        <v>#REF!</v>
      </c>
      <c r="AV41" t="e">
        <f t="shared" ca="1" si="27"/>
        <v>#REF!</v>
      </c>
      <c r="AW41" t="e">
        <f t="shared" ca="1" si="27"/>
        <v>#REF!</v>
      </c>
      <c r="AX41" t="e">
        <f t="shared" ca="1" si="27"/>
        <v>#REF!</v>
      </c>
      <c r="AY41" t="e">
        <f t="shared" ca="1" si="27"/>
        <v>#REF!</v>
      </c>
      <c r="AZ41" t="e">
        <f t="shared" ca="1" si="28"/>
        <v>#REF!</v>
      </c>
      <c r="BA41" t="e">
        <f t="shared" ca="1" si="28"/>
        <v>#REF!</v>
      </c>
      <c r="BB41" t="e">
        <f t="shared" ca="1" si="28"/>
        <v>#REF!</v>
      </c>
      <c r="BC41" t="e">
        <f t="shared" ca="1" si="28"/>
        <v>#REF!</v>
      </c>
      <c r="BD41" t="e">
        <f t="shared" ca="1" si="28"/>
        <v>#REF!</v>
      </c>
      <c r="BE41" t="e">
        <f t="shared" ca="1" si="28"/>
        <v>#REF!</v>
      </c>
      <c r="BF41" t="e">
        <f t="shared" ca="1" si="28"/>
        <v>#REF!</v>
      </c>
      <c r="BG41" t="e">
        <f t="shared" ca="1" si="28"/>
        <v>#REF!</v>
      </c>
      <c r="BH41" t="e">
        <f t="shared" ca="1" si="28"/>
        <v>#REF!</v>
      </c>
      <c r="BI41" t="e">
        <f t="shared" ca="1" si="28"/>
        <v>#REF!</v>
      </c>
      <c r="BJ41" t="e">
        <f t="shared" ca="1" si="28"/>
        <v>#REF!</v>
      </c>
      <c r="BK41" t="e">
        <f t="shared" ca="1" si="28"/>
        <v>#REF!</v>
      </c>
      <c r="BL41" t="e">
        <f t="shared" ca="1" si="28"/>
        <v>#REF!</v>
      </c>
      <c r="BM41" t="e">
        <f t="shared" ca="1" si="28"/>
        <v>#REF!</v>
      </c>
      <c r="BN41" s="44" t="e">
        <f t="shared" ca="1" si="28"/>
        <v>#REF!</v>
      </c>
      <c r="BO41" s="44" t="e">
        <f t="shared" ca="1" si="28"/>
        <v>#REF!</v>
      </c>
      <c r="BP41" s="44" t="e">
        <f t="shared" ca="1" si="29"/>
        <v>#REF!</v>
      </c>
      <c r="BQ41" s="44" t="e">
        <f t="shared" ca="1" si="29"/>
        <v>#REF!</v>
      </c>
      <c r="BR41" s="44" t="e">
        <f t="shared" ca="1" si="29"/>
        <v>#REF!</v>
      </c>
      <c r="BS41" s="44" t="e">
        <f t="shared" ca="1" si="29"/>
        <v>#REF!</v>
      </c>
      <c r="BT41" s="44" t="e">
        <f t="shared" ca="1" si="29"/>
        <v>#REF!</v>
      </c>
      <c r="BU41" s="44" t="e">
        <f t="shared" ca="1" si="29"/>
        <v>#REF!</v>
      </c>
      <c r="BV41" s="44" t="e">
        <f t="shared" ca="1" si="29"/>
        <v>#REF!</v>
      </c>
      <c r="BW41" s="44" t="e">
        <f t="shared" ca="1" si="29"/>
        <v>#REF!</v>
      </c>
      <c r="BX41" s="44" t="e">
        <f t="shared" ca="1" si="29"/>
        <v>#REF!</v>
      </c>
      <c r="BY41" s="44" t="e">
        <f t="shared" ca="1" si="29"/>
        <v>#REF!</v>
      </c>
      <c r="BZ41" s="44" t="e">
        <f t="shared" ca="1" si="29"/>
        <v>#REF!</v>
      </c>
      <c r="CA41" s="44" t="e">
        <f t="shared" ca="1" si="29"/>
        <v>#REF!</v>
      </c>
      <c r="CB41" s="44" t="e">
        <f t="shared" ca="1" si="29"/>
        <v>#REF!</v>
      </c>
      <c r="CC41" s="44" t="e">
        <f t="shared" ca="1" si="29"/>
        <v>#REF!</v>
      </c>
      <c r="CD41" s="44" t="e">
        <f t="shared" ca="1" si="29"/>
        <v>#REF!</v>
      </c>
      <c r="CE41" s="44" t="e">
        <f t="shared" ca="1" si="29"/>
        <v>#REF!</v>
      </c>
      <c r="CF41" s="44" t="e">
        <f t="shared" ca="1" si="30"/>
        <v>#REF!</v>
      </c>
      <c r="CG41" t="e">
        <f t="shared" ca="1" si="30"/>
        <v>#REF!</v>
      </c>
      <c r="CH41" t="e">
        <f t="shared" ca="1" si="30"/>
        <v>#REF!</v>
      </c>
      <c r="CI41" t="e">
        <f t="shared" ca="1" si="30"/>
        <v>#REF!</v>
      </c>
      <c r="CJ41" t="e">
        <f t="shared" ca="1" si="30"/>
        <v>#REF!</v>
      </c>
      <c r="CK41" t="e">
        <f t="shared" ca="1" si="30"/>
        <v>#REF!</v>
      </c>
      <c r="CL41" t="e">
        <f t="shared" ca="1" si="30"/>
        <v>#REF!</v>
      </c>
      <c r="CM41" t="e">
        <f t="shared" ca="1" si="30"/>
        <v>#REF!</v>
      </c>
      <c r="CN41" t="e">
        <f t="shared" ca="1" si="30"/>
        <v>#REF!</v>
      </c>
      <c r="CO41" t="e">
        <f t="shared" ca="1" si="30"/>
        <v>#REF!</v>
      </c>
      <c r="CP41" t="e">
        <f t="shared" ca="1" si="30"/>
        <v>#REF!</v>
      </c>
      <c r="CQ41" t="e">
        <f t="shared" ca="1" si="30"/>
        <v>#REF!</v>
      </c>
      <c r="CR41" t="e">
        <f t="shared" ca="1" si="30"/>
        <v>#REF!</v>
      </c>
      <c r="CS41" t="e">
        <f t="shared" ca="1" si="30"/>
        <v>#REF!</v>
      </c>
      <c r="CT41" t="e">
        <f t="shared" ca="1" si="30"/>
        <v>#REF!</v>
      </c>
      <c r="CU41" t="e">
        <f t="shared" ca="1" si="30"/>
        <v>#REF!</v>
      </c>
      <c r="CV41" t="e">
        <f t="shared" ca="1" si="31"/>
        <v>#REF!</v>
      </c>
      <c r="CW41" t="e">
        <f t="shared" ca="1" si="31"/>
        <v>#REF!</v>
      </c>
      <c r="CX41" t="e">
        <f t="shared" ca="1" si="31"/>
        <v>#REF!</v>
      </c>
      <c r="CY41" t="e">
        <f t="shared" ca="1" si="31"/>
        <v>#REF!</v>
      </c>
      <c r="CZ41" s="44" t="e">
        <f t="shared" ca="1" si="31"/>
        <v>#REF!</v>
      </c>
      <c r="DA41" s="44" t="e">
        <f t="shared" ca="1" si="31"/>
        <v>#REF!</v>
      </c>
      <c r="DB41" s="44" t="e">
        <f t="shared" ca="1" si="31"/>
        <v>#REF!</v>
      </c>
      <c r="DC41" s="44" t="e">
        <f t="shared" ca="1" si="31"/>
        <v>#REF!</v>
      </c>
      <c r="DD41" s="44" t="e">
        <f t="shared" ca="1" si="31"/>
        <v>#REF!</v>
      </c>
      <c r="DE41" s="44" t="e">
        <f t="shared" ca="1" si="31"/>
        <v>#REF!</v>
      </c>
      <c r="DF41" s="44" t="e">
        <f t="shared" ca="1" si="31"/>
        <v>#REF!</v>
      </c>
      <c r="DG41" s="44" t="e">
        <f t="shared" ca="1" si="31"/>
        <v>#REF!</v>
      </c>
      <c r="DH41" s="44" t="e">
        <f t="shared" ca="1" si="31"/>
        <v>#REF!</v>
      </c>
      <c r="DI41" s="44" t="e">
        <f t="shared" ca="1" si="31"/>
        <v>#REF!</v>
      </c>
      <c r="DJ41" s="44" t="e">
        <f t="shared" ca="1" si="31"/>
        <v>#REF!</v>
      </c>
      <c r="DK41" s="44" t="e">
        <f t="shared" ca="1" si="31"/>
        <v>#REF!</v>
      </c>
      <c r="DL41" s="44" t="e">
        <f t="shared" ca="1" si="32"/>
        <v>#REF!</v>
      </c>
      <c r="DM41" s="44" t="e">
        <f t="shared" ca="1" si="32"/>
        <v>#REF!</v>
      </c>
      <c r="DN41" s="44" t="e">
        <f t="shared" ca="1" si="32"/>
        <v>#REF!</v>
      </c>
      <c r="DO41" s="44" t="e">
        <f t="shared" ca="1" si="32"/>
        <v>#REF!</v>
      </c>
      <c r="DP41" s="44" t="e">
        <f t="shared" ca="1" si="32"/>
        <v>#REF!</v>
      </c>
      <c r="DQ41" s="44" t="e">
        <f t="shared" ca="1" si="32"/>
        <v>#REF!</v>
      </c>
      <c r="DR41" s="44" t="e">
        <f t="shared" ca="1" si="32"/>
        <v>#REF!</v>
      </c>
      <c r="DS41" t="e">
        <f t="shared" ca="1" si="32"/>
        <v>#REF!</v>
      </c>
      <c r="DT41" t="e">
        <f t="shared" ca="1" si="32"/>
        <v>#REF!</v>
      </c>
      <c r="DU41" t="e">
        <f t="shared" ca="1" si="32"/>
        <v>#REF!</v>
      </c>
      <c r="DV41" t="e">
        <f t="shared" ca="1" si="32"/>
        <v>#REF!</v>
      </c>
      <c r="DW41" t="e">
        <f t="shared" ca="1" si="32"/>
        <v>#REF!</v>
      </c>
      <c r="DX41" t="e">
        <f t="shared" ca="1" si="32"/>
        <v>#REF!</v>
      </c>
      <c r="DY41" t="e">
        <f t="shared" ca="1" si="32"/>
        <v>#REF!</v>
      </c>
      <c r="DZ41" t="e">
        <f t="shared" ca="1" si="32"/>
        <v>#REF!</v>
      </c>
      <c r="EA41" t="e">
        <f t="shared" ca="1" si="32"/>
        <v>#REF!</v>
      </c>
      <c r="EB41" t="e">
        <f t="shared" ca="1" si="33"/>
        <v>#REF!</v>
      </c>
      <c r="EC41" t="e">
        <f t="shared" ca="1" si="33"/>
        <v>#REF!</v>
      </c>
      <c r="ED41" t="e">
        <f t="shared" ca="1" si="33"/>
        <v>#REF!</v>
      </c>
      <c r="EE41" t="e">
        <f t="shared" ca="1" si="33"/>
        <v>#REF!</v>
      </c>
      <c r="EF41" t="e">
        <f t="shared" ca="1" si="33"/>
        <v>#REF!</v>
      </c>
      <c r="EG41" t="e">
        <f t="shared" ca="1" si="33"/>
        <v>#REF!</v>
      </c>
      <c r="EH41" t="e">
        <f t="shared" ca="1" si="33"/>
        <v>#REF!</v>
      </c>
      <c r="EI41" t="e">
        <f t="shared" ca="1" si="33"/>
        <v>#REF!</v>
      </c>
      <c r="EJ41" t="e">
        <f t="shared" ca="1" si="33"/>
        <v>#REF!</v>
      </c>
      <c r="EK41" s="44" t="e">
        <f t="shared" ca="1" si="33"/>
        <v>#REF!</v>
      </c>
      <c r="EL41" s="44" t="e">
        <f t="shared" ca="1" si="33"/>
        <v>#REF!</v>
      </c>
      <c r="EM41" s="44" t="e">
        <f t="shared" ca="1" si="33"/>
        <v>#REF!</v>
      </c>
      <c r="EN41" s="44" t="e">
        <f t="shared" ca="1" si="33"/>
        <v>#REF!</v>
      </c>
      <c r="EO41" s="44" t="e">
        <f t="shared" ca="1" si="33"/>
        <v>#REF!</v>
      </c>
      <c r="EP41" s="44" t="e">
        <f t="shared" ca="1" si="33"/>
        <v>#REF!</v>
      </c>
      <c r="EQ41" s="44" t="e">
        <f t="shared" ca="1" si="33"/>
        <v>#REF!</v>
      </c>
      <c r="ER41" s="44" t="e">
        <f t="shared" ca="1" si="34"/>
        <v>#REF!</v>
      </c>
      <c r="ES41" s="44" t="e">
        <f t="shared" ca="1" si="34"/>
        <v>#REF!</v>
      </c>
      <c r="ET41" s="44" t="e">
        <f t="shared" ca="1" si="34"/>
        <v>#REF!</v>
      </c>
      <c r="EU41" s="44" t="e">
        <f t="shared" ca="1" si="34"/>
        <v>#REF!</v>
      </c>
      <c r="EV41" s="44" t="e">
        <f t="shared" ca="1" si="34"/>
        <v>#REF!</v>
      </c>
      <c r="EW41" s="44" t="e">
        <f t="shared" ca="1" si="34"/>
        <v>#REF!</v>
      </c>
      <c r="EX41" s="44" t="e">
        <f t="shared" ca="1" si="34"/>
        <v>#REF!</v>
      </c>
      <c r="EY41" s="44" t="e">
        <f t="shared" ca="1" si="34"/>
        <v>#REF!</v>
      </c>
      <c r="EZ41" s="44" t="e">
        <f t="shared" ca="1" si="34"/>
        <v>#REF!</v>
      </c>
      <c r="FA41" s="44" t="e">
        <f t="shared" ca="1" si="34"/>
        <v>#REF!</v>
      </c>
      <c r="FB41" s="44" t="e">
        <f t="shared" ca="1" si="34"/>
        <v>#REF!</v>
      </c>
      <c r="FC41" s="56" t="e">
        <f t="shared" ca="1" si="34"/>
        <v>#REF!</v>
      </c>
      <c r="FD41" t="e">
        <f t="shared" ca="1" si="34"/>
        <v>#REF!</v>
      </c>
      <c r="FE41" t="e">
        <f t="shared" ca="1" si="34"/>
        <v>#REF!</v>
      </c>
      <c r="FF41" t="e">
        <f t="shared" ca="1" si="34"/>
        <v>#REF!</v>
      </c>
      <c r="FG41" t="e">
        <f t="shared" ca="1" si="34"/>
        <v>#REF!</v>
      </c>
      <c r="FH41" t="e">
        <f t="shared" ca="1" si="35"/>
        <v>#REF!</v>
      </c>
      <c r="FI41" t="e">
        <f t="shared" ca="1" si="35"/>
        <v>#REF!</v>
      </c>
      <c r="FJ41" t="e">
        <f t="shared" ca="1" si="35"/>
        <v>#REF!</v>
      </c>
      <c r="FK41" t="e">
        <f t="shared" ca="1" si="35"/>
        <v>#REF!</v>
      </c>
      <c r="FL41" t="e">
        <f t="shared" ca="1" si="35"/>
        <v>#REF!</v>
      </c>
      <c r="FM41" t="e">
        <f t="shared" ca="1" si="35"/>
        <v>#REF!</v>
      </c>
      <c r="FN41" t="e">
        <f t="shared" ca="1" si="35"/>
        <v>#REF!</v>
      </c>
      <c r="FO41" t="e">
        <f t="shared" ca="1" si="35"/>
        <v>#REF!</v>
      </c>
      <c r="FP41" t="e">
        <f t="shared" ca="1" si="35"/>
        <v>#REF!</v>
      </c>
      <c r="FQ41" t="e">
        <f t="shared" ca="1" si="35"/>
        <v>#REF!</v>
      </c>
      <c r="FR41" t="e">
        <f t="shared" ca="1" si="35"/>
        <v>#REF!</v>
      </c>
      <c r="FS41" t="e">
        <f t="shared" ca="1" si="35"/>
        <v>#REF!</v>
      </c>
      <c r="FT41" t="e">
        <f t="shared" ca="1" si="35"/>
        <v>#REF!</v>
      </c>
    </row>
    <row r="42" spans="1:176" x14ac:dyDescent="0.35">
      <c r="A42" s="240">
        <v>222</v>
      </c>
      <c r="B42" t="e">
        <f t="shared" ca="1" si="37"/>
        <v>#REF!</v>
      </c>
      <c r="C42" t="e">
        <f t="shared" ca="1" si="37"/>
        <v>#REF!</v>
      </c>
      <c r="D42" t="e">
        <f t="shared" ca="1" si="37"/>
        <v>#REF!</v>
      </c>
      <c r="E42" t="e">
        <f t="shared" ca="1" si="37"/>
        <v>#REF!</v>
      </c>
      <c r="F42" t="e">
        <f t="shared" ca="1" si="13"/>
        <v>#REF!</v>
      </c>
      <c r="G42" t="e">
        <f t="shared" ca="1" si="13"/>
        <v>#REF!</v>
      </c>
      <c r="H42" t="e">
        <f t="shared" ca="1" si="13"/>
        <v>#REF!</v>
      </c>
      <c r="I42" t="e">
        <f t="shared" ca="1" si="37"/>
        <v>#REF!</v>
      </c>
      <c r="J42" t="e">
        <f t="shared" ca="1" si="37"/>
        <v>#REF!</v>
      </c>
      <c r="K42" t="e">
        <f t="shared" ca="1" si="37"/>
        <v>#REF!</v>
      </c>
      <c r="L42" t="e">
        <f t="shared" ca="1" si="37"/>
        <v>#REF!</v>
      </c>
      <c r="M42" t="e">
        <f t="shared" ca="1" si="37"/>
        <v>#REF!</v>
      </c>
      <c r="N42" t="e">
        <f t="shared" ca="1" si="37"/>
        <v>#REF!</v>
      </c>
      <c r="O42" t="e">
        <f t="shared" ca="1" si="37"/>
        <v>#REF!</v>
      </c>
      <c r="P42" t="e">
        <f t="shared" ca="1" si="37"/>
        <v>#REF!</v>
      </c>
      <c r="Q42" t="e">
        <f t="shared" ca="1" si="37"/>
        <v>#REF!</v>
      </c>
      <c r="R42" t="e">
        <f t="shared" ca="1" si="37"/>
        <v>#REF!</v>
      </c>
      <c r="S42" t="e">
        <f t="shared" ca="1" si="36"/>
        <v>#REF!</v>
      </c>
      <c r="T42" t="e">
        <f t="shared" ca="1" si="26"/>
        <v>#REF!</v>
      </c>
      <c r="U42" t="e">
        <f t="shared" ca="1" si="26"/>
        <v>#REF!</v>
      </c>
      <c r="V42" t="e">
        <f t="shared" ca="1" si="26"/>
        <v>#REF!</v>
      </c>
      <c r="W42" t="e">
        <f t="shared" ca="1" si="26"/>
        <v>#REF!</v>
      </c>
      <c r="X42" t="e">
        <f t="shared" ca="1" si="26"/>
        <v>#REF!</v>
      </c>
      <c r="Y42" t="e">
        <f t="shared" ca="1" si="26"/>
        <v>#REF!</v>
      </c>
      <c r="Z42" t="e">
        <f t="shared" ca="1" si="26"/>
        <v>#REF!</v>
      </c>
      <c r="AA42" t="e">
        <f t="shared" ca="1" si="26"/>
        <v>#REF!</v>
      </c>
      <c r="AB42" s="44" t="e">
        <f t="shared" ca="1" si="26"/>
        <v>#REF!</v>
      </c>
      <c r="AC42" s="44" t="e">
        <f t="shared" ca="1" si="26"/>
        <v>#REF!</v>
      </c>
      <c r="AD42" s="44" t="e">
        <f t="shared" ca="1" si="26"/>
        <v>#REF!</v>
      </c>
      <c r="AE42" s="44" t="e">
        <f t="shared" ca="1" si="26"/>
        <v>#REF!</v>
      </c>
      <c r="AF42" s="44" t="e">
        <f t="shared" ca="1" si="26"/>
        <v>#REF!</v>
      </c>
      <c r="AG42" s="44" t="e">
        <f t="shared" ca="1" si="26"/>
        <v>#REF!</v>
      </c>
      <c r="AH42" s="44" t="e">
        <f t="shared" ca="1" si="26"/>
        <v>#REF!</v>
      </c>
      <c r="AI42" s="44" t="e">
        <f t="shared" ca="1" si="26"/>
        <v>#REF!</v>
      </c>
      <c r="AJ42" s="44" t="e">
        <f t="shared" ca="1" si="27"/>
        <v>#REF!</v>
      </c>
      <c r="AK42" s="44" t="e">
        <f t="shared" ca="1" si="27"/>
        <v>#REF!</v>
      </c>
      <c r="AL42" s="44" t="e">
        <f t="shared" ca="1" si="27"/>
        <v>#REF!</v>
      </c>
      <c r="AM42" s="44" t="e">
        <f t="shared" ca="1" si="27"/>
        <v>#REF!</v>
      </c>
      <c r="AN42" s="44" t="e">
        <f t="shared" ca="1" si="27"/>
        <v>#REF!</v>
      </c>
      <c r="AO42" s="44" t="e">
        <f t="shared" ca="1" si="27"/>
        <v>#REF!</v>
      </c>
      <c r="AP42" s="44" t="e">
        <f t="shared" ca="1" si="27"/>
        <v>#REF!</v>
      </c>
      <c r="AQ42" s="44" t="e">
        <f t="shared" ca="1" si="27"/>
        <v>#REF!</v>
      </c>
      <c r="AR42" s="44" t="e">
        <f t="shared" ca="1" si="27"/>
        <v>#REF!</v>
      </c>
      <c r="AS42" s="44" t="e">
        <f t="shared" ca="1" si="27"/>
        <v>#REF!</v>
      </c>
      <c r="AT42" s="44" t="e">
        <f t="shared" ca="1" si="27"/>
        <v>#REF!</v>
      </c>
      <c r="AU42" t="e">
        <f t="shared" ca="1" si="27"/>
        <v>#REF!</v>
      </c>
      <c r="AV42" t="e">
        <f t="shared" ca="1" si="27"/>
        <v>#REF!</v>
      </c>
      <c r="AW42" t="e">
        <f t="shared" ca="1" si="27"/>
        <v>#REF!</v>
      </c>
      <c r="AX42" t="e">
        <f t="shared" ca="1" si="27"/>
        <v>#REF!</v>
      </c>
      <c r="AY42" t="e">
        <f t="shared" ca="1" si="27"/>
        <v>#REF!</v>
      </c>
      <c r="AZ42" t="e">
        <f t="shared" ca="1" si="28"/>
        <v>#REF!</v>
      </c>
      <c r="BA42" t="e">
        <f t="shared" ca="1" si="28"/>
        <v>#REF!</v>
      </c>
      <c r="BB42" t="e">
        <f t="shared" ca="1" si="28"/>
        <v>#REF!</v>
      </c>
      <c r="BC42" t="e">
        <f t="shared" ca="1" si="28"/>
        <v>#REF!</v>
      </c>
      <c r="BD42" t="e">
        <f t="shared" ca="1" si="28"/>
        <v>#REF!</v>
      </c>
      <c r="BE42" t="e">
        <f t="shared" ca="1" si="28"/>
        <v>#REF!</v>
      </c>
      <c r="BF42" t="e">
        <f t="shared" ca="1" si="28"/>
        <v>#REF!</v>
      </c>
      <c r="BG42" t="e">
        <f t="shared" ca="1" si="28"/>
        <v>#REF!</v>
      </c>
      <c r="BH42" t="e">
        <f t="shared" ca="1" si="28"/>
        <v>#REF!</v>
      </c>
      <c r="BI42" t="e">
        <f t="shared" ca="1" si="28"/>
        <v>#REF!</v>
      </c>
      <c r="BJ42" t="e">
        <f t="shared" ca="1" si="28"/>
        <v>#REF!</v>
      </c>
      <c r="BK42" t="e">
        <f t="shared" ca="1" si="28"/>
        <v>#REF!</v>
      </c>
      <c r="BL42" t="e">
        <f t="shared" ca="1" si="28"/>
        <v>#REF!</v>
      </c>
      <c r="BM42" t="e">
        <f t="shared" ca="1" si="28"/>
        <v>#REF!</v>
      </c>
      <c r="BN42" s="44" t="e">
        <f t="shared" ca="1" si="28"/>
        <v>#REF!</v>
      </c>
      <c r="BO42" s="44" t="e">
        <f t="shared" ca="1" si="28"/>
        <v>#REF!</v>
      </c>
      <c r="BP42" s="44" t="e">
        <f t="shared" ca="1" si="29"/>
        <v>#REF!</v>
      </c>
      <c r="BQ42" s="44" t="e">
        <f t="shared" ca="1" si="29"/>
        <v>#REF!</v>
      </c>
      <c r="BR42" s="44" t="e">
        <f t="shared" ca="1" si="29"/>
        <v>#REF!</v>
      </c>
      <c r="BS42" s="44" t="e">
        <f t="shared" ca="1" si="29"/>
        <v>#REF!</v>
      </c>
      <c r="BT42" s="44" t="e">
        <f t="shared" ca="1" si="29"/>
        <v>#REF!</v>
      </c>
      <c r="BU42" s="44" t="e">
        <f t="shared" ca="1" si="29"/>
        <v>#REF!</v>
      </c>
      <c r="BV42" s="44" t="e">
        <f t="shared" ca="1" si="29"/>
        <v>#REF!</v>
      </c>
      <c r="BW42" s="44" t="e">
        <f t="shared" ca="1" si="29"/>
        <v>#REF!</v>
      </c>
      <c r="BX42" s="44" t="e">
        <f t="shared" ca="1" si="29"/>
        <v>#REF!</v>
      </c>
      <c r="BY42" s="44" t="e">
        <f t="shared" ca="1" si="29"/>
        <v>#REF!</v>
      </c>
      <c r="BZ42" s="44" t="e">
        <f t="shared" ca="1" si="29"/>
        <v>#REF!</v>
      </c>
      <c r="CA42" s="44" t="e">
        <f t="shared" ca="1" si="29"/>
        <v>#REF!</v>
      </c>
      <c r="CB42" s="44" t="e">
        <f t="shared" ca="1" si="29"/>
        <v>#REF!</v>
      </c>
      <c r="CC42" s="44" t="e">
        <f t="shared" ca="1" si="29"/>
        <v>#REF!</v>
      </c>
      <c r="CD42" s="44" t="e">
        <f t="shared" ca="1" si="29"/>
        <v>#REF!</v>
      </c>
      <c r="CE42" s="44" t="e">
        <f t="shared" ca="1" si="29"/>
        <v>#REF!</v>
      </c>
      <c r="CF42" s="44" t="e">
        <f t="shared" ca="1" si="30"/>
        <v>#REF!</v>
      </c>
      <c r="CG42" t="e">
        <f t="shared" ca="1" si="30"/>
        <v>#REF!</v>
      </c>
      <c r="CH42" t="e">
        <f t="shared" ca="1" si="30"/>
        <v>#REF!</v>
      </c>
      <c r="CI42" t="e">
        <f t="shared" ca="1" si="30"/>
        <v>#REF!</v>
      </c>
      <c r="CJ42" t="e">
        <f t="shared" ca="1" si="30"/>
        <v>#REF!</v>
      </c>
      <c r="CK42" t="e">
        <f t="shared" ca="1" si="30"/>
        <v>#REF!</v>
      </c>
      <c r="CL42" t="e">
        <f t="shared" ca="1" si="30"/>
        <v>#REF!</v>
      </c>
      <c r="CM42" t="e">
        <f t="shared" ca="1" si="30"/>
        <v>#REF!</v>
      </c>
      <c r="CN42" t="e">
        <f t="shared" ca="1" si="30"/>
        <v>#REF!</v>
      </c>
      <c r="CO42" t="e">
        <f t="shared" ca="1" si="30"/>
        <v>#REF!</v>
      </c>
      <c r="CP42" t="e">
        <f t="shared" ca="1" si="30"/>
        <v>#REF!</v>
      </c>
      <c r="CQ42" t="e">
        <f t="shared" ca="1" si="30"/>
        <v>#REF!</v>
      </c>
      <c r="CR42" t="e">
        <f t="shared" ca="1" si="30"/>
        <v>#REF!</v>
      </c>
      <c r="CS42" t="e">
        <f t="shared" ca="1" si="30"/>
        <v>#REF!</v>
      </c>
      <c r="CT42" t="e">
        <f t="shared" ca="1" si="30"/>
        <v>#REF!</v>
      </c>
      <c r="CU42" t="e">
        <f t="shared" ca="1" si="30"/>
        <v>#REF!</v>
      </c>
      <c r="CV42" t="e">
        <f t="shared" ca="1" si="31"/>
        <v>#REF!</v>
      </c>
      <c r="CW42" t="e">
        <f t="shared" ca="1" si="31"/>
        <v>#REF!</v>
      </c>
      <c r="CX42" t="e">
        <f t="shared" ca="1" si="31"/>
        <v>#REF!</v>
      </c>
      <c r="CY42" t="e">
        <f t="shared" ca="1" si="31"/>
        <v>#REF!</v>
      </c>
      <c r="CZ42" s="44" t="e">
        <f t="shared" ca="1" si="31"/>
        <v>#REF!</v>
      </c>
      <c r="DA42" s="44" t="e">
        <f t="shared" ca="1" si="31"/>
        <v>#REF!</v>
      </c>
      <c r="DB42" s="44" t="e">
        <f t="shared" ca="1" si="31"/>
        <v>#REF!</v>
      </c>
      <c r="DC42" s="44" t="e">
        <f t="shared" ca="1" si="31"/>
        <v>#REF!</v>
      </c>
      <c r="DD42" s="44" t="e">
        <f t="shared" ca="1" si="31"/>
        <v>#REF!</v>
      </c>
      <c r="DE42" s="44" t="e">
        <f t="shared" ca="1" si="31"/>
        <v>#REF!</v>
      </c>
      <c r="DF42" s="44" t="e">
        <f t="shared" ca="1" si="31"/>
        <v>#REF!</v>
      </c>
      <c r="DG42" s="44" t="e">
        <f t="shared" ca="1" si="31"/>
        <v>#REF!</v>
      </c>
      <c r="DH42" s="44" t="e">
        <f t="shared" ca="1" si="31"/>
        <v>#REF!</v>
      </c>
      <c r="DI42" s="44" t="e">
        <f t="shared" ca="1" si="31"/>
        <v>#REF!</v>
      </c>
      <c r="DJ42" s="44" t="e">
        <f t="shared" ca="1" si="31"/>
        <v>#REF!</v>
      </c>
      <c r="DK42" s="44" t="e">
        <f t="shared" ca="1" si="31"/>
        <v>#REF!</v>
      </c>
      <c r="DL42" s="44" t="e">
        <f t="shared" ca="1" si="32"/>
        <v>#REF!</v>
      </c>
      <c r="DM42" s="44" t="e">
        <f t="shared" ca="1" si="32"/>
        <v>#REF!</v>
      </c>
      <c r="DN42" s="44" t="e">
        <f t="shared" ca="1" si="32"/>
        <v>#REF!</v>
      </c>
      <c r="DO42" s="44" t="e">
        <f t="shared" ca="1" si="32"/>
        <v>#REF!</v>
      </c>
      <c r="DP42" s="44" t="e">
        <f t="shared" ca="1" si="32"/>
        <v>#REF!</v>
      </c>
      <c r="DQ42" s="44" t="e">
        <f t="shared" ca="1" si="32"/>
        <v>#REF!</v>
      </c>
      <c r="DR42" s="44" t="e">
        <f t="shared" ca="1" si="32"/>
        <v>#REF!</v>
      </c>
      <c r="DS42" t="e">
        <f t="shared" ca="1" si="32"/>
        <v>#REF!</v>
      </c>
      <c r="DT42" t="e">
        <f t="shared" ca="1" si="32"/>
        <v>#REF!</v>
      </c>
      <c r="DU42" t="e">
        <f t="shared" ca="1" si="32"/>
        <v>#REF!</v>
      </c>
      <c r="DV42" t="e">
        <f t="shared" ca="1" si="32"/>
        <v>#REF!</v>
      </c>
      <c r="DW42" t="e">
        <f t="shared" ca="1" si="32"/>
        <v>#REF!</v>
      </c>
      <c r="DX42" t="e">
        <f t="shared" ca="1" si="32"/>
        <v>#REF!</v>
      </c>
      <c r="DY42" t="e">
        <f t="shared" ca="1" si="32"/>
        <v>#REF!</v>
      </c>
      <c r="DZ42" t="e">
        <f t="shared" ca="1" si="32"/>
        <v>#REF!</v>
      </c>
      <c r="EA42" t="e">
        <f t="shared" ca="1" si="32"/>
        <v>#REF!</v>
      </c>
      <c r="EB42" t="e">
        <f t="shared" ca="1" si="33"/>
        <v>#REF!</v>
      </c>
      <c r="EC42" t="e">
        <f t="shared" ca="1" si="33"/>
        <v>#REF!</v>
      </c>
      <c r="ED42" t="e">
        <f t="shared" ca="1" si="33"/>
        <v>#REF!</v>
      </c>
      <c r="EE42" t="e">
        <f t="shared" ca="1" si="33"/>
        <v>#REF!</v>
      </c>
      <c r="EF42" t="e">
        <f t="shared" ca="1" si="33"/>
        <v>#REF!</v>
      </c>
      <c r="EG42" t="e">
        <f t="shared" ca="1" si="33"/>
        <v>#REF!</v>
      </c>
      <c r="EH42" t="e">
        <f t="shared" ca="1" si="33"/>
        <v>#REF!</v>
      </c>
      <c r="EI42" t="e">
        <f t="shared" ca="1" si="33"/>
        <v>#REF!</v>
      </c>
      <c r="EJ42" t="e">
        <f t="shared" ca="1" si="33"/>
        <v>#REF!</v>
      </c>
      <c r="EK42" s="44" t="e">
        <f t="shared" ca="1" si="33"/>
        <v>#REF!</v>
      </c>
      <c r="EL42" s="44" t="e">
        <f t="shared" ca="1" si="33"/>
        <v>#REF!</v>
      </c>
      <c r="EM42" s="44" t="e">
        <f t="shared" ca="1" si="33"/>
        <v>#REF!</v>
      </c>
      <c r="EN42" s="44" t="e">
        <f t="shared" ca="1" si="33"/>
        <v>#REF!</v>
      </c>
      <c r="EO42" s="44" t="e">
        <f t="shared" ca="1" si="33"/>
        <v>#REF!</v>
      </c>
      <c r="EP42" s="44" t="e">
        <f t="shared" ca="1" si="33"/>
        <v>#REF!</v>
      </c>
      <c r="EQ42" s="44" t="e">
        <f t="shared" ca="1" si="33"/>
        <v>#REF!</v>
      </c>
      <c r="ER42" s="44" t="e">
        <f t="shared" ca="1" si="34"/>
        <v>#REF!</v>
      </c>
      <c r="ES42" s="44" t="e">
        <f t="shared" ca="1" si="34"/>
        <v>#REF!</v>
      </c>
      <c r="ET42" s="44" t="e">
        <f t="shared" ca="1" si="34"/>
        <v>#REF!</v>
      </c>
      <c r="EU42" s="44" t="e">
        <f t="shared" ca="1" si="34"/>
        <v>#REF!</v>
      </c>
      <c r="EV42" s="44" t="e">
        <f t="shared" ca="1" si="34"/>
        <v>#REF!</v>
      </c>
      <c r="EW42" s="44" t="e">
        <f t="shared" ca="1" si="34"/>
        <v>#REF!</v>
      </c>
      <c r="EX42" s="44" t="e">
        <f t="shared" ca="1" si="34"/>
        <v>#REF!</v>
      </c>
      <c r="EY42" s="44" t="e">
        <f t="shared" ca="1" si="34"/>
        <v>#REF!</v>
      </c>
      <c r="EZ42" s="44" t="e">
        <f t="shared" ca="1" si="34"/>
        <v>#REF!</v>
      </c>
      <c r="FA42" s="44" t="e">
        <f t="shared" ca="1" si="34"/>
        <v>#REF!</v>
      </c>
      <c r="FB42" s="44" t="e">
        <f t="shared" ca="1" si="34"/>
        <v>#REF!</v>
      </c>
      <c r="FC42" s="56" t="e">
        <f t="shared" ca="1" si="34"/>
        <v>#REF!</v>
      </c>
      <c r="FD42" t="e">
        <f t="shared" ca="1" si="34"/>
        <v>#REF!</v>
      </c>
      <c r="FE42" t="e">
        <f t="shared" ca="1" si="34"/>
        <v>#REF!</v>
      </c>
      <c r="FF42" t="e">
        <f t="shared" ca="1" si="34"/>
        <v>#REF!</v>
      </c>
      <c r="FG42" t="e">
        <f t="shared" ca="1" si="34"/>
        <v>#REF!</v>
      </c>
      <c r="FH42" t="e">
        <f t="shared" ca="1" si="35"/>
        <v>#REF!</v>
      </c>
      <c r="FI42" t="e">
        <f t="shared" ca="1" si="35"/>
        <v>#REF!</v>
      </c>
      <c r="FJ42" t="e">
        <f t="shared" ca="1" si="35"/>
        <v>#REF!</v>
      </c>
      <c r="FK42" t="e">
        <f t="shared" ca="1" si="35"/>
        <v>#REF!</v>
      </c>
      <c r="FL42" t="e">
        <f t="shared" ca="1" si="35"/>
        <v>#REF!</v>
      </c>
      <c r="FM42" t="e">
        <f t="shared" ca="1" si="35"/>
        <v>#REF!</v>
      </c>
      <c r="FN42" t="e">
        <f t="shared" ca="1" si="35"/>
        <v>#REF!</v>
      </c>
      <c r="FO42" t="e">
        <f t="shared" ca="1" si="35"/>
        <v>#REF!</v>
      </c>
      <c r="FP42" t="e">
        <f t="shared" ca="1" si="35"/>
        <v>#REF!</v>
      </c>
      <c r="FQ42" t="e">
        <f t="shared" ca="1" si="35"/>
        <v>#REF!</v>
      </c>
      <c r="FR42" t="e">
        <f t="shared" ca="1" si="35"/>
        <v>#REF!</v>
      </c>
      <c r="FS42" t="e">
        <f t="shared" ca="1" si="35"/>
        <v>#REF!</v>
      </c>
      <c r="FT42" t="e">
        <f t="shared" ca="1" si="35"/>
        <v>#REF!</v>
      </c>
    </row>
    <row r="43" spans="1:176" x14ac:dyDescent="0.35">
      <c r="A43" s="240">
        <v>207</v>
      </c>
      <c r="B43" t="e">
        <f t="shared" ca="1" si="37"/>
        <v>#REF!</v>
      </c>
      <c r="C43" t="e">
        <f t="shared" ca="1" si="37"/>
        <v>#REF!</v>
      </c>
      <c r="D43" t="e">
        <f t="shared" ca="1" si="37"/>
        <v>#REF!</v>
      </c>
      <c r="E43" t="e">
        <f t="shared" ca="1" si="37"/>
        <v>#REF!</v>
      </c>
      <c r="F43" t="e">
        <f t="shared" ca="1" si="13"/>
        <v>#REF!</v>
      </c>
      <c r="G43" t="e">
        <f t="shared" ca="1" si="13"/>
        <v>#REF!</v>
      </c>
      <c r="H43" t="e">
        <f t="shared" ca="1" si="13"/>
        <v>#REF!</v>
      </c>
      <c r="I43" t="e">
        <f t="shared" ca="1" si="37"/>
        <v>#REF!</v>
      </c>
      <c r="J43" t="e">
        <f t="shared" ca="1" si="37"/>
        <v>#REF!</v>
      </c>
      <c r="K43" t="e">
        <f t="shared" ca="1" si="37"/>
        <v>#REF!</v>
      </c>
      <c r="L43" t="e">
        <f t="shared" ca="1" si="37"/>
        <v>#REF!</v>
      </c>
      <c r="M43" t="e">
        <f t="shared" ca="1" si="37"/>
        <v>#REF!</v>
      </c>
      <c r="N43" t="e">
        <f t="shared" ca="1" si="37"/>
        <v>#REF!</v>
      </c>
      <c r="O43" t="e">
        <f t="shared" ca="1" si="37"/>
        <v>#REF!</v>
      </c>
      <c r="P43" t="e">
        <f t="shared" ca="1" si="37"/>
        <v>#REF!</v>
      </c>
      <c r="Q43" t="e">
        <f t="shared" ca="1" si="37"/>
        <v>#REF!</v>
      </c>
      <c r="R43" t="e">
        <f t="shared" ca="1" si="37"/>
        <v>#REF!</v>
      </c>
      <c r="S43" t="e">
        <f t="shared" ca="1" si="36"/>
        <v>#REF!</v>
      </c>
      <c r="T43" t="e">
        <f t="shared" ca="1" si="26"/>
        <v>#REF!</v>
      </c>
      <c r="U43" t="e">
        <f t="shared" ca="1" si="26"/>
        <v>#REF!</v>
      </c>
      <c r="V43" t="e">
        <f t="shared" ca="1" si="26"/>
        <v>#REF!</v>
      </c>
      <c r="W43" t="e">
        <f t="shared" ca="1" si="26"/>
        <v>#REF!</v>
      </c>
      <c r="X43" t="e">
        <f t="shared" ca="1" si="26"/>
        <v>#REF!</v>
      </c>
      <c r="Y43" t="e">
        <f t="shared" ca="1" si="26"/>
        <v>#REF!</v>
      </c>
      <c r="Z43" t="e">
        <f t="shared" ca="1" si="26"/>
        <v>#REF!</v>
      </c>
      <c r="AA43" t="e">
        <f t="shared" ca="1" si="26"/>
        <v>#REF!</v>
      </c>
      <c r="AB43" s="44" t="e">
        <f t="shared" ca="1" si="26"/>
        <v>#REF!</v>
      </c>
      <c r="AC43" s="44" t="e">
        <f t="shared" ca="1" si="26"/>
        <v>#REF!</v>
      </c>
      <c r="AD43" s="44" t="e">
        <f t="shared" ca="1" si="26"/>
        <v>#REF!</v>
      </c>
      <c r="AE43" s="44" t="e">
        <f t="shared" ca="1" si="26"/>
        <v>#REF!</v>
      </c>
      <c r="AF43" s="44" t="e">
        <f t="shared" ca="1" si="26"/>
        <v>#REF!</v>
      </c>
      <c r="AG43" s="44" t="e">
        <f t="shared" ca="1" si="26"/>
        <v>#REF!</v>
      </c>
      <c r="AH43" s="44" t="e">
        <f t="shared" ca="1" si="26"/>
        <v>#REF!</v>
      </c>
      <c r="AI43" s="44" t="e">
        <f t="shared" ca="1" si="26"/>
        <v>#REF!</v>
      </c>
      <c r="AJ43" s="44" t="e">
        <f t="shared" ca="1" si="27"/>
        <v>#REF!</v>
      </c>
      <c r="AK43" s="44" t="e">
        <f t="shared" ca="1" si="27"/>
        <v>#REF!</v>
      </c>
      <c r="AL43" s="44" t="e">
        <f t="shared" ca="1" si="27"/>
        <v>#REF!</v>
      </c>
      <c r="AM43" s="44" t="e">
        <f t="shared" ca="1" si="27"/>
        <v>#REF!</v>
      </c>
      <c r="AN43" s="44" t="e">
        <f t="shared" ca="1" si="27"/>
        <v>#REF!</v>
      </c>
      <c r="AO43" s="44" t="e">
        <f t="shared" ca="1" si="27"/>
        <v>#REF!</v>
      </c>
      <c r="AP43" s="44" t="e">
        <f t="shared" ca="1" si="27"/>
        <v>#REF!</v>
      </c>
      <c r="AQ43" s="44" t="e">
        <f t="shared" ca="1" si="27"/>
        <v>#REF!</v>
      </c>
      <c r="AR43" s="44" t="e">
        <f t="shared" ca="1" si="27"/>
        <v>#REF!</v>
      </c>
      <c r="AS43" s="44" t="e">
        <f t="shared" ca="1" si="27"/>
        <v>#REF!</v>
      </c>
      <c r="AT43" s="44" t="e">
        <f t="shared" ca="1" si="27"/>
        <v>#REF!</v>
      </c>
      <c r="AU43" t="e">
        <f t="shared" ca="1" si="27"/>
        <v>#REF!</v>
      </c>
      <c r="AV43" t="e">
        <f t="shared" ca="1" si="27"/>
        <v>#REF!</v>
      </c>
      <c r="AW43" t="e">
        <f t="shared" ca="1" si="27"/>
        <v>#REF!</v>
      </c>
      <c r="AX43" t="e">
        <f t="shared" ca="1" si="27"/>
        <v>#REF!</v>
      </c>
      <c r="AY43" t="e">
        <f t="shared" ca="1" si="27"/>
        <v>#REF!</v>
      </c>
      <c r="AZ43" t="e">
        <f t="shared" ca="1" si="28"/>
        <v>#REF!</v>
      </c>
      <c r="BA43" t="e">
        <f t="shared" ca="1" si="28"/>
        <v>#REF!</v>
      </c>
      <c r="BB43" t="e">
        <f t="shared" ca="1" si="28"/>
        <v>#REF!</v>
      </c>
      <c r="BC43" t="e">
        <f t="shared" ca="1" si="28"/>
        <v>#REF!</v>
      </c>
      <c r="BD43" t="e">
        <f t="shared" ca="1" si="28"/>
        <v>#REF!</v>
      </c>
      <c r="BE43" t="e">
        <f t="shared" ca="1" si="28"/>
        <v>#REF!</v>
      </c>
      <c r="BF43" t="e">
        <f t="shared" ca="1" si="28"/>
        <v>#REF!</v>
      </c>
      <c r="BG43" t="e">
        <f t="shared" ca="1" si="28"/>
        <v>#REF!</v>
      </c>
      <c r="BH43" t="e">
        <f t="shared" ca="1" si="28"/>
        <v>#REF!</v>
      </c>
      <c r="BI43" t="e">
        <f t="shared" ca="1" si="28"/>
        <v>#REF!</v>
      </c>
      <c r="BJ43" t="e">
        <f t="shared" ca="1" si="28"/>
        <v>#REF!</v>
      </c>
      <c r="BK43" t="e">
        <f t="shared" ca="1" si="28"/>
        <v>#REF!</v>
      </c>
      <c r="BL43" t="e">
        <f t="shared" ca="1" si="28"/>
        <v>#REF!</v>
      </c>
      <c r="BM43" t="e">
        <f t="shared" ca="1" si="28"/>
        <v>#REF!</v>
      </c>
      <c r="BN43" s="44" t="e">
        <f t="shared" ca="1" si="28"/>
        <v>#REF!</v>
      </c>
      <c r="BO43" s="44" t="e">
        <f t="shared" ca="1" si="28"/>
        <v>#REF!</v>
      </c>
      <c r="BP43" s="44" t="e">
        <f t="shared" ca="1" si="29"/>
        <v>#REF!</v>
      </c>
      <c r="BQ43" s="44" t="e">
        <f t="shared" ca="1" si="29"/>
        <v>#REF!</v>
      </c>
      <c r="BR43" s="44" t="e">
        <f t="shared" ca="1" si="29"/>
        <v>#REF!</v>
      </c>
      <c r="BS43" s="44" t="e">
        <f t="shared" ca="1" si="29"/>
        <v>#REF!</v>
      </c>
      <c r="BT43" s="44" t="e">
        <f t="shared" ca="1" si="29"/>
        <v>#REF!</v>
      </c>
      <c r="BU43" s="44" t="e">
        <f t="shared" ca="1" si="29"/>
        <v>#REF!</v>
      </c>
      <c r="BV43" s="44" t="e">
        <f t="shared" ca="1" si="29"/>
        <v>#REF!</v>
      </c>
      <c r="BW43" s="44" t="e">
        <f t="shared" ca="1" si="29"/>
        <v>#REF!</v>
      </c>
      <c r="BX43" s="44" t="e">
        <f t="shared" ca="1" si="29"/>
        <v>#REF!</v>
      </c>
      <c r="BY43" s="44" t="e">
        <f t="shared" ca="1" si="29"/>
        <v>#REF!</v>
      </c>
      <c r="BZ43" s="44" t="e">
        <f t="shared" ca="1" si="29"/>
        <v>#REF!</v>
      </c>
      <c r="CA43" s="44" t="e">
        <f t="shared" ca="1" si="29"/>
        <v>#REF!</v>
      </c>
      <c r="CB43" s="44" t="e">
        <f t="shared" ca="1" si="29"/>
        <v>#REF!</v>
      </c>
      <c r="CC43" s="44" t="e">
        <f t="shared" ca="1" si="29"/>
        <v>#REF!</v>
      </c>
      <c r="CD43" s="44" t="e">
        <f t="shared" ca="1" si="29"/>
        <v>#REF!</v>
      </c>
      <c r="CE43" s="44" t="e">
        <f t="shared" ca="1" si="29"/>
        <v>#REF!</v>
      </c>
      <c r="CF43" s="44" t="e">
        <f t="shared" ca="1" si="30"/>
        <v>#REF!</v>
      </c>
      <c r="CG43" t="e">
        <f t="shared" ca="1" si="30"/>
        <v>#REF!</v>
      </c>
      <c r="CH43" t="e">
        <f t="shared" ca="1" si="30"/>
        <v>#REF!</v>
      </c>
      <c r="CI43" t="e">
        <f t="shared" ca="1" si="30"/>
        <v>#REF!</v>
      </c>
      <c r="CJ43" t="e">
        <f t="shared" ca="1" si="30"/>
        <v>#REF!</v>
      </c>
      <c r="CK43" t="e">
        <f t="shared" ca="1" si="30"/>
        <v>#REF!</v>
      </c>
      <c r="CL43" t="e">
        <f t="shared" ca="1" si="30"/>
        <v>#REF!</v>
      </c>
      <c r="CM43" t="e">
        <f t="shared" ca="1" si="30"/>
        <v>#REF!</v>
      </c>
      <c r="CN43" t="e">
        <f t="shared" ca="1" si="30"/>
        <v>#REF!</v>
      </c>
      <c r="CO43" t="e">
        <f t="shared" ca="1" si="30"/>
        <v>#REF!</v>
      </c>
      <c r="CP43" t="e">
        <f t="shared" ca="1" si="30"/>
        <v>#REF!</v>
      </c>
      <c r="CQ43" t="e">
        <f t="shared" ca="1" si="30"/>
        <v>#REF!</v>
      </c>
      <c r="CR43" t="e">
        <f t="shared" ca="1" si="30"/>
        <v>#REF!</v>
      </c>
      <c r="CS43" t="e">
        <f t="shared" ca="1" si="30"/>
        <v>#REF!</v>
      </c>
      <c r="CT43" t="e">
        <f t="shared" ca="1" si="30"/>
        <v>#REF!</v>
      </c>
      <c r="CU43" t="e">
        <f t="shared" ca="1" si="30"/>
        <v>#REF!</v>
      </c>
      <c r="CV43" t="e">
        <f t="shared" ca="1" si="31"/>
        <v>#REF!</v>
      </c>
      <c r="CW43" t="e">
        <f t="shared" ca="1" si="31"/>
        <v>#REF!</v>
      </c>
      <c r="CX43" t="e">
        <f t="shared" ca="1" si="31"/>
        <v>#REF!</v>
      </c>
      <c r="CY43" t="e">
        <f t="shared" ca="1" si="31"/>
        <v>#REF!</v>
      </c>
      <c r="CZ43" s="44" t="e">
        <f t="shared" ca="1" si="31"/>
        <v>#REF!</v>
      </c>
      <c r="DA43" s="44" t="e">
        <f t="shared" ca="1" si="31"/>
        <v>#REF!</v>
      </c>
      <c r="DB43" s="44" t="e">
        <f t="shared" ca="1" si="31"/>
        <v>#REF!</v>
      </c>
      <c r="DC43" s="44" t="e">
        <f t="shared" ca="1" si="31"/>
        <v>#REF!</v>
      </c>
      <c r="DD43" s="44" t="e">
        <f t="shared" ca="1" si="31"/>
        <v>#REF!</v>
      </c>
      <c r="DE43" s="44" t="e">
        <f t="shared" ca="1" si="31"/>
        <v>#REF!</v>
      </c>
      <c r="DF43" s="44" t="e">
        <f t="shared" ca="1" si="31"/>
        <v>#REF!</v>
      </c>
      <c r="DG43" s="44" t="e">
        <f t="shared" ca="1" si="31"/>
        <v>#REF!</v>
      </c>
      <c r="DH43" s="44" t="e">
        <f t="shared" ca="1" si="31"/>
        <v>#REF!</v>
      </c>
      <c r="DI43" s="44" t="e">
        <f t="shared" ca="1" si="31"/>
        <v>#REF!</v>
      </c>
      <c r="DJ43" s="44" t="e">
        <f t="shared" ca="1" si="31"/>
        <v>#REF!</v>
      </c>
      <c r="DK43" s="44" t="e">
        <f t="shared" ca="1" si="31"/>
        <v>#REF!</v>
      </c>
      <c r="DL43" s="44" t="e">
        <f t="shared" ca="1" si="32"/>
        <v>#REF!</v>
      </c>
      <c r="DM43" s="44" t="e">
        <f t="shared" ca="1" si="32"/>
        <v>#REF!</v>
      </c>
      <c r="DN43" s="44" t="e">
        <f t="shared" ca="1" si="32"/>
        <v>#REF!</v>
      </c>
      <c r="DO43" s="44" t="e">
        <f t="shared" ca="1" si="32"/>
        <v>#REF!</v>
      </c>
      <c r="DP43" s="44" t="e">
        <f t="shared" ca="1" si="32"/>
        <v>#REF!</v>
      </c>
      <c r="DQ43" s="44" t="e">
        <f t="shared" ca="1" si="32"/>
        <v>#REF!</v>
      </c>
      <c r="DR43" s="44" t="e">
        <f t="shared" ca="1" si="32"/>
        <v>#REF!</v>
      </c>
      <c r="DS43" t="e">
        <f t="shared" ca="1" si="32"/>
        <v>#REF!</v>
      </c>
      <c r="DT43" t="e">
        <f t="shared" ca="1" si="32"/>
        <v>#REF!</v>
      </c>
      <c r="DU43" t="e">
        <f t="shared" ca="1" si="32"/>
        <v>#REF!</v>
      </c>
      <c r="DV43" t="e">
        <f t="shared" ca="1" si="32"/>
        <v>#REF!</v>
      </c>
      <c r="DW43" t="e">
        <f t="shared" ca="1" si="32"/>
        <v>#REF!</v>
      </c>
      <c r="DX43" t="e">
        <f t="shared" ca="1" si="32"/>
        <v>#REF!</v>
      </c>
      <c r="DY43" t="e">
        <f t="shared" ca="1" si="32"/>
        <v>#REF!</v>
      </c>
      <c r="DZ43" t="e">
        <f t="shared" ca="1" si="32"/>
        <v>#REF!</v>
      </c>
      <c r="EA43" t="e">
        <f t="shared" ca="1" si="32"/>
        <v>#REF!</v>
      </c>
      <c r="EB43" t="e">
        <f t="shared" ca="1" si="33"/>
        <v>#REF!</v>
      </c>
      <c r="EC43" t="e">
        <f t="shared" ca="1" si="33"/>
        <v>#REF!</v>
      </c>
      <c r="ED43" t="e">
        <f t="shared" ca="1" si="33"/>
        <v>#REF!</v>
      </c>
      <c r="EE43" t="e">
        <f t="shared" ca="1" si="33"/>
        <v>#REF!</v>
      </c>
      <c r="EF43" t="e">
        <f t="shared" ca="1" si="33"/>
        <v>#REF!</v>
      </c>
      <c r="EG43" t="e">
        <f t="shared" ca="1" si="33"/>
        <v>#REF!</v>
      </c>
      <c r="EH43" t="e">
        <f t="shared" ca="1" si="33"/>
        <v>#REF!</v>
      </c>
      <c r="EI43" t="e">
        <f t="shared" ca="1" si="33"/>
        <v>#REF!</v>
      </c>
      <c r="EJ43" t="e">
        <f t="shared" ca="1" si="33"/>
        <v>#REF!</v>
      </c>
      <c r="EK43" s="44" t="e">
        <f t="shared" ca="1" si="33"/>
        <v>#REF!</v>
      </c>
      <c r="EL43" s="44" t="e">
        <f t="shared" ca="1" si="33"/>
        <v>#REF!</v>
      </c>
      <c r="EM43" s="44" t="e">
        <f t="shared" ca="1" si="33"/>
        <v>#REF!</v>
      </c>
      <c r="EN43" s="44" t="e">
        <f t="shared" ca="1" si="33"/>
        <v>#REF!</v>
      </c>
      <c r="EO43" s="44" t="e">
        <f t="shared" ca="1" si="33"/>
        <v>#REF!</v>
      </c>
      <c r="EP43" s="44" t="e">
        <f t="shared" ca="1" si="33"/>
        <v>#REF!</v>
      </c>
      <c r="EQ43" s="44" t="e">
        <f t="shared" ca="1" si="33"/>
        <v>#REF!</v>
      </c>
      <c r="ER43" s="44" t="e">
        <f t="shared" ca="1" si="34"/>
        <v>#REF!</v>
      </c>
      <c r="ES43" s="44" t="e">
        <f t="shared" ca="1" si="34"/>
        <v>#REF!</v>
      </c>
      <c r="ET43" s="44" t="e">
        <f t="shared" ca="1" si="34"/>
        <v>#REF!</v>
      </c>
      <c r="EU43" s="44" t="e">
        <f t="shared" ca="1" si="34"/>
        <v>#REF!</v>
      </c>
      <c r="EV43" s="44" t="e">
        <f t="shared" ca="1" si="34"/>
        <v>#REF!</v>
      </c>
      <c r="EW43" s="44" t="e">
        <f t="shared" ca="1" si="34"/>
        <v>#REF!</v>
      </c>
      <c r="EX43" s="44" t="e">
        <f t="shared" ca="1" si="34"/>
        <v>#REF!</v>
      </c>
      <c r="EY43" s="44" t="e">
        <f t="shared" ca="1" si="34"/>
        <v>#REF!</v>
      </c>
      <c r="EZ43" s="44" t="e">
        <f t="shared" ca="1" si="34"/>
        <v>#REF!</v>
      </c>
      <c r="FA43" s="44" t="e">
        <f t="shared" ca="1" si="34"/>
        <v>#REF!</v>
      </c>
      <c r="FB43" s="44" t="e">
        <f t="shared" ca="1" si="34"/>
        <v>#REF!</v>
      </c>
      <c r="FC43" s="56" t="e">
        <f t="shared" ca="1" si="34"/>
        <v>#REF!</v>
      </c>
      <c r="FD43" t="e">
        <f t="shared" ca="1" si="34"/>
        <v>#REF!</v>
      </c>
      <c r="FE43" t="e">
        <f t="shared" ca="1" si="34"/>
        <v>#REF!</v>
      </c>
      <c r="FF43" t="e">
        <f t="shared" ca="1" si="34"/>
        <v>#REF!</v>
      </c>
      <c r="FG43" t="e">
        <f t="shared" ca="1" si="34"/>
        <v>#REF!</v>
      </c>
      <c r="FH43" t="e">
        <f t="shared" ca="1" si="35"/>
        <v>#REF!</v>
      </c>
      <c r="FI43" t="e">
        <f t="shared" ca="1" si="35"/>
        <v>#REF!</v>
      </c>
      <c r="FJ43" t="e">
        <f t="shared" ca="1" si="35"/>
        <v>#REF!</v>
      </c>
      <c r="FK43" t="e">
        <f t="shared" ca="1" si="35"/>
        <v>#REF!</v>
      </c>
      <c r="FL43" t="e">
        <f t="shared" ca="1" si="35"/>
        <v>#REF!</v>
      </c>
      <c r="FM43" t="e">
        <f t="shared" ca="1" si="35"/>
        <v>#REF!</v>
      </c>
      <c r="FN43" t="e">
        <f t="shared" ca="1" si="35"/>
        <v>#REF!</v>
      </c>
      <c r="FO43" t="e">
        <f t="shared" ca="1" si="35"/>
        <v>#REF!</v>
      </c>
      <c r="FP43" t="e">
        <f t="shared" ca="1" si="35"/>
        <v>#REF!</v>
      </c>
      <c r="FQ43" t="e">
        <f t="shared" ca="1" si="35"/>
        <v>#REF!</v>
      </c>
      <c r="FR43" t="e">
        <f t="shared" ca="1" si="35"/>
        <v>#REF!</v>
      </c>
      <c r="FS43" t="e">
        <f t="shared" ca="1" si="35"/>
        <v>#REF!</v>
      </c>
      <c r="FT43" t="e">
        <f t="shared" ca="1" si="35"/>
        <v>#REF!</v>
      </c>
    </row>
    <row r="44" spans="1:176" x14ac:dyDescent="0.35">
      <c r="A44" s="240">
        <v>211</v>
      </c>
      <c r="B44" t="e">
        <f t="shared" ca="1" si="37"/>
        <v>#REF!</v>
      </c>
      <c r="C44" t="e">
        <f t="shared" ca="1" si="37"/>
        <v>#REF!</v>
      </c>
      <c r="D44" t="e">
        <f t="shared" ca="1" si="37"/>
        <v>#REF!</v>
      </c>
      <c r="E44" t="e">
        <f t="shared" ca="1" si="37"/>
        <v>#REF!</v>
      </c>
      <c r="F44" t="e">
        <f t="shared" ca="1" si="13"/>
        <v>#REF!</v>
      </c>
      <c r="G44" t="e">
        <f t="shared" ca="1" si="13"/>
        <v>#REF!</v>
      </c>
      <c r="H44" t="e">
        <f t="shared" ca="1" si="13"/>
        <v>#REF!</v>
      </c>
      <c r="I44" t="e">
        <f t="shared" ca="1" si="37"/>
        <v>#REF!</v>
      </c>
      <c r="J44" t="e">
        <f t="shared" ca="1" si="37"/>
        <v>#REF!</v>
      </c>
      <c r="K44" t="e">
        <f t="shared" ca="1" si="37"/>
        <v>#REF!</v>
      </c>
      <c r="L44" t="e">
        <f t="shared" ca="1" si="37"/>
        <v>#REF!</v>
      </c>
      <c r="M44" t="e">
        <f t="shared" ca="1" si="37"/>
        <v>#REF!</v>
      </c>
      <c r="N44" t="e">
        <f t="shared" ca="1" si="37"/>
        <v>#REF!</v>
      </c>
      <c r="O44" t="e">
        <f t="shared" ca="1" si="37"/>
        <v>#REF!</v>
      </c>
      <c r="P44" t="e">
        <f t="shared" ca="1" si="37"/>
        <v>#REF!</v>
      </c>
      <c r="Q44" t="e">
        <f t="shared" ca="1" si="37"/>
        <v>#REF!</v>
      </c>
      <c r="R44" t="e">
        <f t="shared" ca="1" si="37"/>
        <v>#REF!</v>
      </c>
      <c r="S44" t="e">
        <f t="shared" ca="1" si="36"/>
        <v>#REF!</v>
      </c>
      <c r="T44" t="e">
        <f t="shared" ca="1" si="26"/>
        <v>#REF!</v>
      </c>
      <c r="U44" t="e">
        <f t="shared" ca="1" si="26"/>
        <v>#REF!</v>
      </c>
      <c r="V44" t="e">
        <f t="shared" ca="1" si="26"/>
        <v>#REF!</v>
      </c>
      <c r="W44" t="e">
        <f t="shared" ca="1" si="26"/>
        <v>#REF!</v>
      </c>
      <c r="X44" t="e">
        <f t="shared" ca="1" si="26"/>
        <v>#REF!</v>
      </c>
      <c r="Y44" t="e">
        <f t="shared" ca="1" si="26"/>
        <v>#REF!</v>
      </c>
      <c r="Z44" t="e">
        <f t="shared" ca="1" si="26"/>
        <v>#REF!</v>
      </c>
      <c r="AA44" t="e">
        <f t="shared" ca="1" si="26"/>
        <v>#REF!</v>
      </c>
      <c r="AB44" s="44" t="e">
        <f t="shared" ca="1" si="26"/>
        <v>#REF!</v>
      </c>
      <c r="AC44" s="44" t="e">
        <f t="shared" ca="1" si="26"/>
        <v>#REF!</v>
      </c>
      <c r="AD44" s="44" t="e">
        <f t="shared" ca="1" si="26"/>
        <v>#REF!</v>
      </c>
      <c r="AE44" s="44" t="e">
        <f t="shared" ca="1" si="26"/>
        <v>#REF!</v>
      </c>
      <c r="AF44" s="44" t="e">
        <f t="shared" ca="1" si="26"/>
        <v>#REF!</v>
      </c>
      <c r="AG44" s="44" t="e">
        <f t="shared" ca="1" si="26"/>
        <v>#REF!</v>
      </c>
      <c r="AH44" s="44" t="e">
        <f t="shared" ca="1" si="26"/>
        <v>#REF!</v>
      </c>
      <c r="AI44" s="44" t="e">
        <f t="shared" ca="1" si="26"/>
        <v>#REF!</v>
      </c>
      <c r="AJ44" s="44" t="e">
        <f t="shared" ca="1" si="27"/>
        <v>#REF!</v>
      </c>
      <c r="AK44" s="44" t="e">
        <f t="shared" ca="1" si="27"/>
        <v>#REF!</v>
      </c>
      <c r="AL44" s="44" t="e">
        <f t="shared" ca="1" si="27"/>
        <v>#REF!</v>
      </c>
      <c r="AM44" s="44" t="e">
        <f t="shared" ca="1" si="27"/>
        <v>#REF!</v>
      </c>
      <c r="AN44" s="44" t="e">
        <f t="shared" ca="1" si="27"/>
        <v>#REF!</v>
      </c>
      <c r="AO44" s="44" t="e">
        <f t="shared" ca="1" si="27"/>
        <v>#REF!</v>
      </c>
      <c r="AP44" s="44" t="e">
        <f t="shared" ca="1" si="27"/>
        <v>#REF!</v>
      </c>
      <c r="AQ44" s="44" t="e">
        <f t="shared" ca="1" si="27"/>
        <v>#REF!</v>
      </c>
      <c r="AR44" s="44" t="e">
        <f t="shared" ca="1" si="27"/>
        <v>#REF!</v>
      </c>
      <c r="AS44" s="44" t="e">
        <f t="shared" ca="1" si="27"/>
        <v>#REF!</v>
      </c>
      <c r="AT44" s="44" t="e">
        <f t="shared" ca="1" si="27"/>
        <v>#REF!</v>
      </c>
      <c r="AU44" t="e">
        <f t="shared" ca="1" si="27"/>
        <v>#REF!</v>
      </c>
      <c r="AV44" t="e">
        <f t="shared" ca="1" si="27"/>
        <v>#REF!</v>
      </c>
      <c r="AW44" t="e">
        <f t="shared" ca="1" si="27"/>
        <v>#REF!</v>
      </c>
      <c r="AX44" t="e">
        <f t="shared" ca="1" si="27"/>
        <v>#REF!</v>
      </c>
      <c r="AY44" t="e">
        <f t="shared" ca="1" si="27"/>
        <v>#REF!</v>
      </c>
      <c r="AZ44" t="e">
        <f t="shared" ca="1" si="28"/>
        <v>#REF!</v>
      </c>
      <c r="BA44" t="e">
        <f t="shared" ca="1" si="28"/>
        <v>#REF!</v>
      </c>
      <c r="BB44" t="e">
        <f t="shared" ca="1" si="28"/>
        <v>#REF!</v>
      </c>
      <c r="BC44" t="e">
        <f t="shared" ca="1" si="28"/>
        <v>#REF!</v>
      </c>
      <c r="BD44" t="e">
        <f t="shared" ca="1" si="28"/>
        <v>#REF!</v>
      </c>
      <c r="BE44" t="e">
        <f t="shared" ca="1" si="28"/>
        <v>#REF!</v>
      </c>
      <c r="BF44" t="e">
        <f t="shared" ca="1" si="28"/>
        <v>#REF!</v>
      </c>
      <c r="BG44" t="e">
        <f t="shared" ca="1" si="28"/>
        <v>#REF!</v>
      </c>
      <c r="BH44" t="e">
        <f t="shared" ca="1" si="28"/>
        <v>#REF!</v>
      </c>
      <c r="BI44" t="e">
        <f t="shared" ca="1" si="28"/>
        <v>#REF!</v>
      </c>
      <c r="BJ44" t="e">
        <f t="shared" ca="1" si="28"/>
        <v>#REF!</v>
      </c>
      <c r="BK44" t="e">
        <f t="shared" ca="1" si="28"/>
        <v>#REF!</v>
      </c>
      <c r="BL44" t="e">
        <f t="shared" ca="1" si="28"/>
        <v>#REF!</v>
      </c>
      <c r="BM44" t="e">
        <f t="shared" ca="1" si="28"/>
        <v>#REF!</v>
      </c>
      <c r="BN44" s="44" t="e">
        <f t="shared" ca="1" si="28"/>
        <v>#REF!</v>
      </c>
      <c r="BO44" s="44" t="e">
        <f t="shared" ca="1" si="28"/>
        <v>#REF!</v>
      </c>
      <c r="BP44" s="44" t="e">
        <f t="shared" ca="1" si="29"/>
        <v>#REF!</v>
      </c>
      <c r="BQ44" s="44" t="e">
        <f t="shared" ca="1" si="29"/>
        <v>#REF!</v>
      </c>
      <c r="BR44" s="44" t="e">
        <f t="shared" ca="1" si="29"/>
        <v>#REF!</v>
      </c>
      <c r="BS44" s="44" t="e">
        <f t="shared" ca="1" si="29"/>
        <v>#REF!</v>
      </c>
      <c r="BT44" s="44" t="e">
        <f t="shared" ca="1" si="29"/>
        <v>#REF!</v>
      </c>
      <c r="BU44" s="44" t="e">
        <f t="shared" ca="1" si="29"/>
        <v>#REF!</v>
      </c>
      <c r="BV44" s="44" t="e">
        <f t="shared" ca="1" si="29"/>
        <v>#REF!</v>
      </c>
      <c r="BW44" s="44" t="e">
        <f t="shared" ca="1" si="29"/>
        <v>#REF!</v>
      </c>
      <c r="BX44" s="44" t="e">
        <f t="shared" ca="1" si="29"/>
        <v>#REF!</v>
      </c>
      <c r="BY44" s="44" t="e">
        <f t="shared" ca="1" si="29"/>
        <v>#REF!</v>
      </c>
      <c r="BZ44" s="44" t="e">
        <f t="shared" ca="1" si="29"/>
        <v>#REF!</v>
      </c>
      <c r="CA44" s="44" t="e">
        <f t="shared" ca="1" si="29"/>
        <v>#REF!</v>
      </c>
      <c r="CB44" s="44" t="e">
        <f t="shared" ca="1" si="29"/>
        <v>#REF!</v>
      </c>
      <c r="CC44" s="44" t="e">
        <f t="shared" ca="1" si="29"/>
        <v>#REF!</v>
      </c>
      <c r="CD44" s="44" t="e">
        <f t="shared" ca="1" si="29"/>
        <v>#REF!</v>
      </c>
      <c r="CE44" s="44" t="e">
        <f t="shared" ca="1" si="29"/>
        <v>#REF!</v>
      </c>
      <c r="CF44" s="44" t="e">
        <f t="shared" ca="1" si="30"/>
        <v>#REF!</v>
      </c>
      <c r="CG44" t="e">
        <f t="shared" ca="1" si="30"/>
        <v>#REF!</v>
      </c>
      <c r="CH44" t="e">
        <f t="shared" ca="1" si="30"/>
        <v>#REF!</v>
      </c>
      <c r="CI44" t="e">
        <f t="shared" ca="1" si="30"/>
        <v>#REF!</v>
      </c>
      <c r="CJ44" t="e">
        <f t="shared" ca="1" si="30"/>
        <v>#REF!</v>
      </c>
      <c r="CK44" t="e">
        <f t="shared" ca="1" si="30"/>
        <v>#REF!</v>
      </c>
      <c r="CL44" t="e">
        <f t="shared" ca="1" si="30"/>
        <v>#REF!</v>
      </c>
      <c r="CM44" t="e">
        <f t="shared" ca="1" si="30"/>
        <v>#REF!</v>
      </c>
      <c r="CN44" t="e">
        <f t="shared" ca="1" si="30"/>
        <v>#REF!</v>
      </c>
      <c r="CO44" t="e">
        <f t="shared" ca="1" si="30"/>
        <v>#REF!</v>
      </c>
      <c r="CP44" t="e">
        <f t="shared" ca="1" si="30"/>
        <v>#REF!</v>
      </c>
      <c r="CQ44" t="e">
        <f t="shared" ca="1" si="30"/>
        <v>#REF!</v>
      </c>
      <c r="CR44" t="e">
        <f t="shared" ca="1" si="30"/>
        <v>#REF!</v>
      </c>
      <c r="CS44" t="e">
        <f t="shared" ca="1" si="30"/>
        <v>#REF!</v>
      </c>
      <c r="CT44" t="e">
        <f t="shared" ca="1" si="30"/>
        <v>#REF!</v>
      </c>
      <c r="CU44" t="e">
        <f t="shared" ca="1" si="30"/>
        <v>#REF!</v>
      </c>
      <c r="CV44" t="e">
        <f t="shared" ca="1" si="31"/>
        <v>#REF!</v>
      </c>
      <c r="CW44" t="e">
        <f t="shared" ca="1" si="31"/>
        <v>#REF!</v>
      </c>
      <c r="CX44" t="e">
        <f t="shared" ca="1" si="31"/>
        <v>#REF!</v>
      </c>
      <c r="CY44" t="e">
        <f t="shared" ca="1" si="31"/>
        <v>#REF!</v>
      </c>
      <c r="CZ44" s="44" t="e">
        <f t="shared" ca="1" si="31"/>
        <v>#REF!</v>
      </c>
      <c r="DA44" s="44" t="e">
        <f t="shared" ca="1" si="31"/>
        <v>#REF!</v>
      </c>
      <c r="DB44" s="44" t="e">
        <f t="shared" ca="1" si="31"/>
        <v>#REF!</v>
      </c>
      <c r="DC44" s="44" t="e">
        <f t="shared" ca="1" si="31"/>
        <v>#REF!</v>
      </c>
      <c r="DD44" s="44" t="e">
        <f t="shared" ca="1" si="31"/>
        <v>#REF!</v>
      </c>
      <c r="DE44" s="44" t="e">
        <f t="shared" ca="1" si="31"/>
        <v>#REF!</v>
      </c>
      <c r="DF44" s="44" t="e">
        <f t="shared" ca="1" si="31"/>
        <v>#REF!</v>
      </c>
      <c r="DG44" s="44" t="e">
        <f t="shared" ca="1" si="31"/>
        <v>#REF!</v>
      </c>
      <c r="DH44" s="44" t="e">
        <f t="shared" ca="1" si="31"/>
        <v>#REF!</v>
      </c>
      <c r="DI44" s="44" t="e">
        <f t="shared" ca="1" si="31"/>
        <v>#REF!</v>
      </c>
      <c r="DJ44" s="44" t="e">
        <f t="shared" ca="1" si="31"/>
        <v>#REF!</v>
      </c>
      <c r="DK44" s="44" t="e">
        <f t="shared" ca="1" si="31"/>
        <v>#REF!</v>
      </c>
      <c r="DL44" s="44" t="e">
        <f t="shared" ca="1" si="32"/>
        <v>#REF!</v>
      </c>
      <c r="DM44" s="44" t="e">
        <f t="shared" ca="1" si="32"/>
        <v>#REF!</v>
      </c>
      <c r="DN44" s="44" t="e">
        <f t="shared" ca="1" si="32"/>
        <v>#REF!</v>
      </c>
      <c r="DO44" s="44" t="e">
        <f t="shared" ca="1" si="32"/>
        <v>#REF!</v>
      </c>
      <c r="DP44" s="44" t="e">
        <f t="shared" ca="1" si="32"/>
        <v>#REF!</v>
      </c>
      <c r="DQ44" s="44" t="e">
        <f t="shared" ca="1" si="32"/>
        <v>#REF!</v>
      </c>
      <c r="DR44" s="44" t="e">
        <f t="shared" ca="1" si="32"/>
        <v>#REF!</v>
      </c>
      <c r="DS44" t="e">
        <f t="shared" ca="1" si="32"/>
        <v>#REF!</v>
      </c>
      <c r="DT44" t="e">
        <f t="shared" ca="1" si="32"/>
        <v>#REF!</v>
      </c>
      <c r="DU44" t="e">
        <f t="shared" ca="1" si="32"/>
        <v>#REF!</v>
      </c>
      <c r="DV44" t="e">
        <f t="shared" ca="1" si="32"/>
        <v>#REF!</v>
      </c>
      <c r="DW44" t="e">
        <f t="shared" ca="1" si="32"/>
        <v>#REF!</v>
      </c>
      <c r="DX44" t="e">
        <f t="shared" ca="1" si="32"/>
        <v>#REF!</v>
      </c>
      <c r="DY44" t="e">
        <f t="shared" ca="1" si="32"/>
        <v>#REF!</v>
      </c>
      <c r="DZ44" t="e">
        <f t="shared" ca="1" si="32"/>
        <v>#REF!</v>
      </c>
      <c r="EA44" t="e">
        <f t="shared" ca="1" si="32"/>
        <v>#REF!</v>
      </c>
      <c r="EB44" t="e">
        <f t="shared" ca="1" si="33"/>
        <v>#REF!</v>
      </c>
      <c r="EC44" t="e">
        <f t="shared" ca="1" si="33"/>
        <v>#REF!</v>
      </c>
      <c r="ED44" t="e">
        <f t="shared" ca="1" si="33"/>
        <v>#REF!</v>
      </c>
      <c r="EE44" t="e">
        <f t="shared" ca="1" si="33"/>
        <v>#REF!</v>
      </c>
      <c r="EF44" t="e">
        <f t="shared" ca="1" si="33"/>
        <v>#REF!</v>
      </c>
      <c r="EG44" t="e">
        <f t="shared" ca="1" si="33"/>
        <v>#REF!</v>
      </c>
      <c r="EH44" t="e">
        <f t="shared" ca="1" si="33"/>
        <v>#REF!</v>
      </c>
      <c r="EI44" t="e">
        <f t="shared" ca="1" si="33"/>
        <v>#REF!</v>
      </c>
      <c r="EJ44" t="e">
        <f t="shared" ca="1" si="33"/>
        <v>#REF!</v>
      </c>
      <c r="EK44" s="44" t="e">
        <f t="shared" ca="1" si="33"/>
        <v>#REF!</v>
      </c>
      <c r="EL44" s="44" t="e">
        <f t="shared" ca="1" si="33"/>
        <v>#REF!</v>
      </c>
      <c r="EM44" s="44" t="e">
        <f t="shared" ca="1" si="33"/>
        <v>#REF!</v>
      </c>
      <c r="EN44" s="44" t="e">
        <f t="shared" ca="1" si="33"/>
        <v>#REF!</v>
      </c>
      <c r="EO44" s="44" t="e">
        <f t="shared" ca="1" si="33"/>
        <v>#REF!</v>
      </c>
      <c r="EP44" s="44" t="e">
        <f t="shared" ca="1" si="33"/>
        <v>#REF!</v>
      </c>
      <c r="EQ44" s="44" t="e">
        <f t="shared" ca="1" si="33"/>
        <v>#REF!</v>
      </c>
      <c r="ER44" s="44" t="e">
        <f t="shared" ca="1" si="34"/>
        <v>#REF!</v>
      </c>
      <c r="ES44" s="44" t="e">
        <f t="shared" ca="1" si="34"/>
        <v>#REF!</v>
      </c>
      <c r="ET44" s="44" t="e">
        <f t="shared" ca="1" si="34"/>
        <v>#REF!</v>
      </c>
      <c r="EU44" s="44" t="e">
        <f t="shared" ca="1" si="34"/>
        <v>#REF!</v>
      </c>
      <c r="EV44" s="44" t="e">
        <f t="shared" ca="1" si="34"/>
        <v>#REF!</v>
      </c>
      <c r="EW44" s="44" t="e">
        <f t="shared" ca="1" si="34"/>
        <v>#REF!</v>
      </c>
      <c r="EX44" s="44" t="e">
        <f t="shared" ca="1" si="34"/>
        <v>#REF!</v>
      </c>
      <c r="EY44" s="44" t="e">
        <f t="shared" ca="1" si="34"/>
        <v>#REF!</v>
      </c>
      <c r="EZ44" s="44" t="e">
        <f t="shared" ca="1" si="34"/>
        <v>#REF!</v>
      </c>
      <c r="FA44" s="44" t="e">
        <f t="shared" ca="1" si="34"/>
        <v>#REF!</v>
      </c>
      <c r="FB44" s="44" t="e">
        <f t="shared" ca="1" si="34"/>
        <v>#REF!</v>
      </c>
      <c r="FC44" s="56" t="e">
        <f t="shared" ca="1" si="34"/>
        <v>#REF!</v>
      </c>
      <c r="FD44" t="e">
        <f t="shared" ca="1" si="34"/>
        <v>#REF!</v>
      </c>
      <c r="FE44" t="e">
        <f t="shared" ca="1" si="34"/>
        <v>#REF!</v>
      </c>
      <c r="FF44" t="e">
        <f t="shared" ca="1" si="34"/>
        <v>#REF!</v>
      </c>
      <c r="FG44" t="e">
        <f t="shared" ca="1" si="34"/>
        <v>#REF!</v>
      </c>
      <c r="FH44" t="e">
        <f t="shared" ca="1" si="35"/>
        <v>#REF!</v>
      </c>
      <c r="FI44" t="e">
        <f t="shared" ca="1" si="35"/>
        <v>#REF!</v>
      </c>
      <c r="FJ44" t="e">
        <f t="shared" ca="1" si="35"/>
        <v>#REF!</v>
      </c>
      <c r="FK44" t="e">
        <f t="shared" ca="1" si="35"/>
        <v>#REF!</v>
      </c>
      <c r="FL44" t="e">
        <f t="shared" ca="1" si="35"/>
        <v>#REF!</v>
      </c>
      <c r="FM44" t="e">
        <f t="shared" ca="1" si="35"/>
        <v>#REF!</v>
      </c>
      <c r="FN44" t="e">
        <f t="shared" ca="1" si="35"/>
        <v>#REF!</v>
      </c>
      <c r="FO44" t="e">
        <f t="shared" ca="1" si="35"/>
        <v>#REF!</v>
      </c>
      <c r="FP44" t="e">
        <f t="shared" ca="1" si="35"/>
        <v>#REF!</v>
      </c>
      <c r="FQ44" t="e">
        <f t="shared" ca="1" si="35"/>
        <v>#REF!</v>
      </c>
      <c r="FR44" t="e">
        <f t="shared" ca="1" si="35"/>
        <v>#REF!</v>
      </c>
      <c r="FS44" t="e">
        <f t="shared" ca="1" si="35"/>
        <v>#REF!</v>
      </c>
      <c r="FT44" t="e">
        <f t="shared" ca="1" si="35"/>
        <v>#REF!</v>
      </c>
    </row>
    <row r="45" spans="1:176" x14ac:dyDescent="0.35">
      <c r="A45" s="240">
        <v>218</v>
      </c>
      <c r="B45" t="e">
        <f t="shared" ca="1" si="37"/>
        <v>#REF!</v>
      </c>
      <c r="C45" t="e">
        <f t="shared" ca="1" si="37"/>
        <v>#REF!</v>
      </c>
      <c r="D45" t="e">
        <f t="shared" ca="1" si="37"/>
        <v>#REF!</v>
      </c>
      <c r="E45" t="e">
        <f t="shared" ca="1" si="37"/>
        <v>#REF!</v>
      </c>
      <c r="F45" t="e">
        <f t="shared" ca="1" si="13"/>
        <v>#REF!</v>
      </c>
      <c r="G45" t="e">
        <f t="shared" ca="1" si="13"/>
        <v>#REF!</v>
      </c>
      <c r="H45" t="e">
        <f t="shared" ca="1" si="13"/>
        <v>#REF!</v>
      </c>
      <c r="I45" t="e">
        <f t="shared" ca="1" si="37"/>
        <v>#REF!</v>
      </c>
      <c r="J45" t="e">
        <f t="shared" ca="1" si="37"/>
        <v>#REF!</v>
      </c>
      <c r="K45" t="e">
        <f t="shared" ca="1" si="37"/>
        <v>#REF!</v>
      </c>
      <c r="L45" t="e">
        <f t="shared" ca="1" si="37"/>
        <v>#REF!</v>
      </c>
      <c r="M45" t="e">
        <f t="shared" ca="1" si="37"/>
        <v>#REF!</v>
      </c>
      <c r="N45" t="e">
        <f t="shared" ca="1" si="37"/>
        <v>#REF!</v>
      </c>
      <c r="O45" t="e">
        <f t="shared" ca="1" si="37"/>
        <v>#REF!</v>
      </c>
      <c r="P45" t="e">
        <f t="shared" ca="1" si="37"/>
        <v>#REF!</v>
      </c>
      <c r="Q45" t="e">
        <f t="shared" ca="1" si="37"/>
        <v>#REF!</v>
      </c>
      <c r="R45" t="e">
        <f t="shared" ca="1" si="37"/>
        <v>#REF!</v>
      </c>
      <c r="S45" t="e">
        <f t="shared" ca="1" si="36"/>
        <v>#REF!</v>
      </c>
      <c r="T45" t="e">
        <f t="shared" ca="1" si="26"/>
        <v>#REF!</v>
      </c>
      <c r="U45" t="e">
        <f t="shared" ca="1" si="26"/>
        <v>#REF!</v>
      </c>
      <c r="V45" t="e">
        <f t="shared" ca="1" si="26"/>
        <v>#REF!</v>
      </c>
      <c r="W45" t="e">
        <f t="shared" ca="1" si="26"/>
        <v>#REF!</v>
      </c>
      <c r="X45" t="e">
        <f t="shared" ca="1" si="26"/>
        <v>#REF!</v>
      </c>
      <c r="Y45" t="e">
        <f t="shared" ca="1" si="26"/>
        <v>#REF!</v>
      </c>
      <c r="Z45" t="e">
        <f t="shared" ca="1" si="26"/>
        <v>#REF!</v>
      </c>
      <c r="AA45" t="e">
        <f t="shared" ca="1" si="26"/>
        <v>#REF!</v>
      </c>
      <c r="AB45" s="44" t="e">
        <f t="shared" ca="1" si="26"/>
        <v>#REF!</v>
      </c>
      <c r="AC45" s="44" t="e">
        <f t="shared" ca="1" si="26"/>
        <v>#REF!</v>
      </c>
      <c r="AD45" s="44" t="e">
        <f t="shared" ca="1" si="26"/>
        <v>#REF!</v>
      </c>
      <c r="AE45" s="44" t="e">
        <f t="shared" ca="1" si="26"/>
        <v>#REF!</v>
      </c>
      <c r="AF45" s="44" t="e">
        <f t="shared" ca="1" si="26"/>
        <v>#REF!</v>
      </c>
      <c r="AG45" s="44" t="e">
        <f t="shared" ca="1" si="26"/>
        <v>#REF!</v>
      </c>
      <c r="AH45" s="44" t="e">
        <f t="shared" ca="1" si="26"/>
        <v>#REF!</v>
      </c>
      <c r="AI45" s="44" t="e">
        <f t="shared" ca="1" si="26"/>
        <v>#REF!</v>
      </c>
      <c r="AJ45" s="44" t="e">
        <f t="shared" ca="1" si="27"/>
        <v>#REF!</v>
      </c>
      <c r="AK45" s="44" t="e">
        <f t="shared" ca="1" si="27"/>
        <v>#REF!</v>
      </c>
      <c r="AL45" s="44" t="e">
        <f t="shared" ca="1" si="27"/>
        <v>#REF!</v>
      </c>
      <c r="AM45" s="44" t="e">
        <f t="shared" ca="1" si="27"/>
        <v>#REF!</v>
      </c>
      <c r="AN45" s="44" t="e">
        <f t="shared" ca="1" si="27"/>
        <v>#REF!</v>
      </c>
      <c r="AO45" s="44" t="e">
        <f t="shared" ca="1" si="27"/>
        <v>#REF!</v>
      </c>
      <c r="AP45" s="44" t="e">
        <f t="shared" ca="1" si="27"/>
        <v>#REF!</v>
      </c>
      <c r="AQ45" s="44" t="e">
        <f t="shared" ca="1" si="27"/>
        <v>#REF!</v>
      </c>
      <c r="AR45" s="44" t="e">
        <f t="shared" ca="1" si="27"/>
        <v>#REF!</v>
      </c>
      <c r="AS45" s="44" t="e">
        <f t="shared" ca="1" si="27"/>
        <v>#REF!</v>
      </c>
      <c r="AT45" s="44" t="e">
        <f t="shared" ca="1" si="27"/>
        <v>#REF!</v>
      </c>
      <c r="AU45" t="e">
        <f t="shared" ca="1" si="27"/>
        <v>#REF!</v>
      </c>
      <c r="AV45" t="e">
        <f t="shared" ca="1" si="27"/>
        <v>#REF!</v>
      </c>
      <c r="AW45" t="e">
        <f t="shared" ca="1" si="27"/>
        <v>#REF!</v>
      </c>
      <c r="AX45" t="e">
        <f t="shared" ca="1" si="27"/>
        <v>#REF!</v>
      </c>
      <c r="AY45" t="e">
        <f t="shared" ca="1" si="27"/>
        <v>#REF!</v>
      </c>
      <c r="AZ45" t="e">
        <f t="shared" ca="1" si="28"/>
        <v>#REF!</v>
      </c>
      <c r="BA45" t="e">
        <f t="shared" ca="1" si="28"/>
        <v>#REF!</v>
      </c>
      <c r="BB45" t="e">
        <f t="shared" ca="1" si="28"/>
        <v>#REF!</v>
      </c>
      <c r="BC45" t="e">
        <f t="shared" ca="1" si="28"/>
        <v>#REF!</v>
      </c>
      <c r="BD45" t="e">
        <f t="shared" ca="1" si="28"/>
        <v>#REF!</v>
      </c>
      <c r="BE45" t="e">
        <f t="shared" ca="1" si="28"/>
        <v>#REF!</v>
      </c>
      <c r="BF45" t="e">
        <f t="shared" ca="1" si="28"/>
        <v>#REF!</v>
      </c>
      <c r="BG45" t="e">
        <f t="shared" ca="1" si="28"/>
        <v>#REF!</v>
      </c>
      <c r="BH45" t="e">
        <f t="shared" ca="1" si="28"/>
        <v>#REF!</v>
      </c>
      <c r="BI45" t="e">
        <f t="shared" ca="1" si="28"/>
        <v>#REF!</v>
      </c>
      <c r="BJ45" t="e">
        <f t="shared" ca="1" si="28"/>
        <v>#REF!</v>
      </c>
      <c r="BK45" t="e">
        <f t="shared" ca="1" si="28"/>
        <v>#REF!</v>
      </c>
      <c r="BL45" t="e">
        <f t="shared" ca="1" si="28"/>
        <v>#REF!</v>
      </c>
      <c r="BM45" t="e">
        <f t="shared" ca="1" si="28"/>
        <v>#REF!</v>
      </c>
      <c r="BN45" s="44" t="e">
        <f t="shared" ca="1" si="28"/>
        <v>#REF!</v>
      </c>
      <c r="BO45" s="44" t="e">
        <f t="shared" ca="1" si="28"/>
        <v>#REF!</v>
      </c>
      <c r="BP45" s="44" t="e">
        <f t="shared" ca="1" si="29"/>
        <v>#REF!</v>
      </c>
      <c r="BQ45" s="44" t="e">
        <f t="shared" ca="1" si="29"/>
        <v>#REF!</v>
      </c>
      <c r="BR45" s="44" t="e">
        <f t="shared" ca="1" si="29"/>
        <v>#REF!</v>
      </c>
      <c r="BS45" s="44" t="e">
        <f t="shared" ca="1" si="29"/>
        <v>#REF!</v>
      </c>
      <c r="BT45" s="44" t="e">
        <f t="shared" ca="1" si="29"/>
        <v>#REF!</v>
      </c>
      <c r="BU45" s="44" t="e">
        <f t="shared" ca="1" si="29"/>
        <v>#REF!</v>
      </c>
      <c r="BV45" s="44" t="e">
        <f t="shared" ca="1" si="29"/>
        <v>#REF!</v>
      </c>
      <c r="BW45" s="44" t="e">
        <f t="shared" ca="1" si="29"/>
        <v>#REF!</v>
      </c>
      <c r="BX45" s="44" t="e">
        <f t="shared" ca="1" si="29"/>
        <v>#REF!</v>
      </c>
      <c r="BY45" s="44" t="e">
        <f t="shared" ca="1" si="29"/>
        <v>#REF!</v>
      </c>
      <c r="BZ45" s="44" t="e">
        <f t="shared" ca="1" si="29"/>
        <v>#REF!</v>
      </c>
      <c r="CA45" s="44" t="e">
        <f t="shared" ca="1" si="29"/>
        <v>#REF!</v>
      </c>
      <c r="CB45" s="44" t="e">
        <f t="shared" ca="1" si="29"/>
        <v>#REF!</v>
      </c>
      <c r="CC45" s="44" t="e">
        <f t="shared" ca="1" si="29"/>
        <v>#REF!</v>
      </c>
      <c r="CD45" s="44" t="e">
        <f t="shared" ca="1" si="29"/>
        <v>#REF!</v>
      </c>
      <c r="CE45" s="44" t="e">
        <f t="shared" ca="1" si="29"/>
        <v>#REF!</v>
      </c>
      <c r="CF45" s="44" t="e">
        <f t="shared" ca="1" si="30"/>
        <v>#REF!</v>
      </c>
      <c r="CG45" t="e">
        <f t="shared" ca="1" si="30"/>
        <v>#REF!</v>
      </c>
      <c r="CH45" t="e">
        <f t="shared" ca="1" si="30"/>
        <v>#REF!</v>
      </c>
      <c r="CI45" t="e">
        <f t="shared" ca="1" si="30"/>
        <v>#REF!</v>
      </c>
      <c r="CJ45" t="e">
        <f t="shared" ca="1" si="30"/>
        <v>#REF!</v>
      </c>
      <c r="CK45" t="e">
        <f t="shared" ca="1" si="30"/>
        <v>#REF!</v>
      </c>
      <c r="CL45" t="e">
        <f t="shared" ca="1" si="30"/>
        <v>#REF!</v>
      </c>
      <c r="CM45" t="e">
        <f t="shared" ca="1" si="30"/>
        <v>#REF!</v>
      </c>
      <c r="CN45" t="e">
        <f t="shared" ca="1" si="30"/>
        <v>#REF!</v>
      </c>
      <c r="CO45" t="e">
        <f t="shared" ca="1" si="30"/>
        <v>#REF!</v>
      </c>
      <c r="CP45" t="e">
        <f t="shared" ca="1" si="30"/>
        <v>#REF!</v>
      </c>
      <c r="CQ45" t="e">
        <f t="shared" ca="1" si="30"/>
        <v>#REF!</v>
      </c>
      <c r="CR45" t="e">
        <f t="shared" ca="1" si="30"/>
        <v>#REF!</v>
      </c>
      <c r="CS45" t="e">
        <f t="shared" ca="1" si="30"/>
        <v>#REF!</v>
      </c>
      <c r="CT45" t="e">
        <f t="shared" ca="1" si="30"/>
        <v>#REF!</v>
      </c>
      <c r="CU45" t="e">
        <f t="shared" ca="1" si="30"/>
        <v>#REF!</v>
      </c>
      <c r="CV45" t="e">
        <f t="shared" ca="1" si="31"/>
        <v>#REF!</v>
      </c>
      <c r="CW45" t="e">
        <f t="shared" ca="1" si="31"/>
        <v>#REF!</v>
      </c>
      <c r="CX45" t="e">
        <f t="shared" ca="1" si="31"/>
        <v>#REF!</v>
      </c>
      <c r="CY45" t="e">
        <f t="shared" ca="1" si="31"/>
        <v>#REF!</v>
      </c>
      <c r="CZ45" s="44" t="e">
        <f t="shared" ca="1" si="31"/>
        <v>#REF!</v>
      </c>
      <c r="DA45" s="44" t="e">
        <f t="shared" ca="1" si="31"/>
        <v>#REF!</v>
      </c>
      <c r="DB45" s="44" t="e">
        <f t="shared" ca="1" si="31"/>
        <v>#REF!</v>
      </c>
      <c r="DC45" s="44" t="e">
        <f t="shared" ca="1" si="31"/>
        <v>#REF!</v>
      </c>
      <c r="DD45" s="44" t="e">
        <f t="shared" ca="1" si="31"/>
        <v>#REF!</v>
      </c>
      <c r="DE45" s="44" t="e">
        <f t="shared" ca="1" si="31"/>
        <v>#REF!</v>
      </c>
      <c r="DF45" s="44" t="e">
        <f t="shared" ca="1" si="31"/>
        <v>#REF!</v>
      </c>
      <c r="DG45" s="44" t="e">
        <f t="shared" ca="1" si="31"/>
        <v>#REF!</v>
      </c>
      <c r="DH45" s="44" t="e">
        <f t="shared" ca="1" si="31"/>
        <v>#REF!</v>
      </c>
      <c r="DI45" s="44" t="e">
        <f t="shared" ca="1" si="31"/>
        <v>#REF!</v>
      </c>
      <c r="DJ45" s="44" t="e">
        <f t="shared" ca="1" si="31"/>
        <v>#REF!</v>
      </c>
      <c r="DK45" s="44" t="e">
        <f t="shared" ca="1" si="31"/>
        <v>#REF!</v>
      </c>
      <c r="DL45" s="44" t="e">
        <f t="shared" ca="1" si="32"/>
        <v>#REF!</v>
      </c>
      <c r="DM45" s="44" t="e">
        <f t="shared" ca="1" si="32"/>
        <v>#REF!</v>
      </c>
      <c r="DN45" s="44" t="e">
        <f t="shared" ca="1" si="32"/>
        <v>#REF!</v>
      </c>
      <c r="DO45" s="44" t="e">
        <f t="shared" ca="1" si="32"/>
        <v>#REF!</v>
      </c>
      <c r="DP45" s="44" t="e">
        <f t="shared" ca="1" si="32"/>
        <v>#REF!</v>
      </c>
      <c r="DQ45" s="44" t="e">
        <f t="shared" ca="1" si="32"/>
        <v>#REF!</v>
      </c>
      <c r="DR45" s="44" t="e">
        <f t="shared" ca="1" si="32"/>
        <v>#REF!</v>
      </c>
      <c r="DS45" t="e">
        <f t="shared" ca="1" si="32"/>
        <v>#REF!</v>
      </c>
      <c r="DT45" t="e">
        <f t="shared" ca="1" si="32"/>
        <v>#REF!</v>
      </c>
      <c r="DU45" t="e">
        <f t="shared" ca="1" si="32"/>
        <v>#REF!</v>
      </c>
      <c r="DV45" t="e">
        <f t="shared" ca="1" si="32"/>
        <v>#REF!</v>
      </c>
      <c r="DW45" t="e">
        <f t="shared" ca="1" si="32"/>
        <v>#REF!</v>
      </c>
      <c r="DX45" t="e">
        <f t="shared" ca="1" si="32"/>
        <v>#REF!</v>
      </c>
      <c r="DY45" t="e">
        <f t="shared" ca="1" si="32"/>
        <v>#REF!</v>
      </c>
      <c r="DZ45" t="e">
        <f t="shared" ca="1" si="32"/>
        <v>#REF!</v>
      </c>
      <c r="EA45" t="e">
        <f t="shared" ca="1" si="32"/>
        <v>#REF!</v>
      </c>
      <c r="EB45" t="e">
        <f t="shared" ca="1" si="33"/>
        <v>#REF!</v>
      </c>
      <c r="EC45" t="e">
        <f t="shared" ca="1" si="33"/>
        <v>#REF!</v>
      </c>
      <c r="ED45" t="e">
        <f t="shared" ca="1" si="33"/>
        <v>#REF!</v>
      </c>
      <c r="EE45" t="e">
        <f t="shared" ca="1" si="33"/>
        <v>#REF!</v>
      </c>
      <c r="EF45" t="e">
        <f t="shared" ca="1" si="33"/>
        <v>#REF!</v>
      </c>
      <c r="EG45" t="e">
        <f t="shared" ca="1" si="33"/>
        <v>#REF!</v>
      </c>
      <c r="EH45" t="e">
        <f t="shared" ca="1" si="33"/>
        <v>#REF!</v>
      </c>
      <c r="EI45" t="e">
        <f t="shared" ca="1" si="33"/>
        <v>#REF!</v>
      </c>
      <c r="EJ45" t="e">
        <f t="shared" ca="1" si="33"/>
        <v>#REF!</v>
      </c>
      <c r="EK45" s="44" t="e">
        <f t="shared" ca="1" si="33"/>
        <v>#REF!</v>
      </c>
      <c r="EL45" s="44" t="e">
        <f t="shared" ca="1" si="33"/>
        <v>#REF!</v>
      </c>
      <c r="EM45" s="44" t="e">
        <f t="shared" ca="1" si="33"/>
        <v>#REF!</v>
      </c>
      <c r="EN45" s="44" t="e">
        <f t="shared" ca="1" si="33"/>
        <v>#REF!</v>
      </c>
      <c r="EO45" s="44" t="e">
        <f t="shared" ca="1" si="33"/>
        <v>#REF!</v>
      </c>
      <c r="EP45" s="44" t="e">
        <f t="shared" ca="1" si="33"/>
        <v>#REF!</v>
      </c>
      <c r="EQ45" s="44" t="e">
        <f t="shared" ca="1" si="33"/>
        <v>#REF!</v>
      </c>
      <c r="ER45" s="44" t="e">
        <f t="shared" ca="1" si="34"/>
        <v>#REF!</v>
      </c>
      <c r="ES45" s="44" t="e">
        <f t="shared" ca="1" si="34"/>
        <v>#REF!</v>
      </c>
      <c r="ET45" s="44" t="e">
        <f t="shared" ca="1" si="34"/>
        <v>#REF!</v>
      </c>
      <c r="EU45" s="44" t="e">
        <f t="shared" ca="1" si="34"/>
        <v>#REF!</v>
      </c>
      <c r="EV45" s="44" t="e">
        <f t="shared" ca="1" si="34"/>
        <v>#REF!</v>
      </c>
      <c r="EW45" s="44" t="e">
        <f t="shared" ca="1" si="34"/>
        <v>#REF!</v>
      </c>
      <c r="EX45" s="44" t="e">
        <f t="shared" ca="1" si="34"/>
        <v>#REF!</v>
      </c>
      <c r="EY45" s="44" t="e">
        <f t="shared" ca="1" si="34"/>
        <v>#REF!</v>
      </c>
      <c r="EZ45" s="44" t="e">
        <f t="shared" ca="1" si="34"/>
        <v>#REF!</v>
      </c>
      <c r="FA45" s="44" t="e">
        <f t="shared" ca="1" si="34"/>
        <v>#REF!</v>
      </c>
      <c r="FB45" s="44" t="e">
        <f t="shared" ca="1" si="34"/>
        <v>#REF!</v>
      </c>
      <c r="FC45" s="56" t="e">
        <f t="shared" ca="1" si="34"/>
        <v>#REF!</v>
      </c>
      <c r="FD45" t="e">
        <f t="shared" ca="1" si="34"/>
        <v>#REF!</v>
      </c>
      <c r="FE45" t="e">
        <f t="shared" ca="1" si="34"/>
        <v>#REF!</v>
      </c>
      <c r="FF45" t="e">
        <f t="shared" ca="1" si="34"/>
        <v>#REF!</v>
      </c>
      <c r="FG45" t="e">
        <f t="shared" ca="1" si="34"/>
        <v>#REF!</v>
      </c>
      <c r="FH45" t="e">
        <f t="shared" ca="1" si="35"/>
        <v>#REF!</v>
      </c>
      <c r="FI45" t="e">
        <f t="shared" ca="1" si="35"/>
        <v>#REF!</v>
      </c>
      <c r="FJ45" t="e">
        <f t="shared" ca="1" si="35"/>
        <v>#REF!</v>
      </c>
      <c r="FK45" t="e">
        <f t="shared" ca="1" si="35"/>
        <v>#REF!</v>
      </c>
      <c r="FL45" t="e">
        <f t="shared" ca="1" si="35"/>
        <v>#REF!</v>
      </c>
      <c r="FM45" t="e">
        <f t="shared" ca="1" si="35"/>
        <v>#REF!</v>
      </c>
      <c r="FN45" t="e">
        <f t="shared" ca="1" si="35"/>
        <v>#REF!</v>
      </c>
      <c r="FO45" t="e">
        <f t="shared" ca="1" si="35"/>
        <v>#REF!</v>
      </c>
      <c r="FP45" t="e">
        <f t="shared" ca="1" si="35"/>
        <v>#REF!</v>
      </c>
      <c r="FQ45" t="e">
        <f t="shared" ca="1" si="35"/>
        <v>#REF!</v>
      </c>
      <c r="FR45" t="e">
        <f t="shared" ca="1" si="35"/>
        <v>#REF!</v>
      </c>
      <c r="FS45" t="e">
        <f t="shared" ca="1" si="35"/>
        <v>#REF!</v>
      </c>
      <c r="FT45" t="e">
        <f t="shared" ca="1" si="35"/>
        <v>#REF!</v>
      </c>
    </row>
    <row r="46" spans="1:176" x14ac:dyDescent="0.35">
      <c r="A46" s="240">
        <v>217</v>
      </c>
      <c r="B46" t="e">
        <f t="shared" ca="1" si="37"/>
        <v>#REF!</v>
      </c>
      <c r="C46" t="e">
        <f t="shared" ca="1" si="37"/>
        <v>#REF!</v>
      </c>
      <c r="D46" t="e">
        <f t="shared" ca="1" si="37"/>
        <v>#REF!</v>
      </c>
      <c r="E46" t="e">
        <f t="shared" ca="1" si="37"/>
        <v>#REF!</v>
      </c>
      <c r="F46" t="e">
        <f t="shared" ca="1" si="13"/>
        <v>#REF!</v>
      </c>
      <c r="G46" t="e">
        <f t="shared" ca="1" si="13"/>
        <v>#REF!</v>
      </c>
      <c r="H46" t="e">
        <f t="shared" ca="1" si="13"/>
        <v>#REF!</v>
      </c>
      <c r="I46" t="e">
        <f t="shared" ca="1" si="37"/>
        <v>#REF!</v>
      </c>
      <c r="J46" t="e">
        <f t="shared" ca="1" si="37"/>
        <v>#REF!</v>
      </c>
      <c r="K46" t="e">
        <f t="shared" ca="1" si="37"/>
        <v>#REF!</v>
      </c>
      <c r="L46" t="e">
        <f t="shared" ca="1" si="37"/>
        <v>#REF!</v>
      </c>
      <c r="M46" t="e">
        <f t="shared" ca="1" si="37"/>
        <v>#REF!</v>
      </c>
      <c r="N46" t="e">
        <f t="shared" ca="1" si="37"/>
        <v>#REF!</v>
      </c>
      <c r="O46" t="e">
        <f t="shared" ca="1" si="37"/>
        <v>#REF!</v>
      </c>
      <c r="P46" t="e">
        <f t="shared" ca="1" si="37"/>
        <v>#REF!</v>
      </c>
      <c r="Q46" t="e">
        <f t="shared" ca="1" si="37"/>
        <v>#REF!</v>
      </c>
      <c r="R46" t="e">
        <f t="shared" ca="1" si="37"/>
        <v>#REF!</v>
      </c>
      <c r="S46" t="e">
        <f t="shared" ca="1" si="36"/>
        <v>#REF!</v>
      </c>
      <c r="T46" t="e">
        <f t="shared" ca="1" si="26"/>
        <v>#REF!</v>
      </c>
      <c r="U46" t="e">
        <f t="shared" ca="1" si="26"/>
        <v>#REF!</v>
      </c>
      <c r="V46" t="e">
        <f t="shared" ca="1" si="26"/>
        <v>#REF!</v>
      </c>
      <c r="W46" t="e">
        <f t="shared" ca="1" si="26"/>
        <v>#REF!</v>
      </c>
      <c r="X46" t="e">
        <f t="shared" ca="1" si="26"/>
        <v>#REF!</v>
      </c>
      <c r="Y46" t="e">
        <f t="shared" ca="1" si="26"/>
        <v>#REF!</v>
      </c>
      <c r="Z46" t="e">
        <f t="shared" ca="1" si="26"/>
        <v>#REF!</v>
      </c>
      <c r="AA46" t="e">
        <f t="shared" ca="1" si="26"/>
        <v>#REF!</v>
      </c>
      <c r="AB46" s="44" t="e">
        <f t="shared" ca="1" si="26"/>
        <v>#REF!</v>
      </c>
      <c r="AC46" s="44" t="e">
        <f t="shared" ca="1" si="26"/>
        <v>#REF!</v>
      </c>
      <c r="AD46" s="44" t="e">
        <f t="shared" ca="1" si="26"/>
        <v>#REF!</v>
      </c>
      <c r="AE46" s="44" t="e">
        <f t="shared" ca="1" si="26"/>
        <v>#REF!</v>
      </c>
      <c r="AF46" s="44" t="e">
        <f t="shared" ca="1" si="26"/>
        <v>#REF!</v>
      </c>
      <c r="AG46" s="44" t="e">
        <f t="shared" ca="1" si="26"/>
        <v>#REF!</v>
      </c>
      <c r="AH46" s="44" t="e">
        <f t="shared" ca="1" si="26"/>
        <v>#REF!</v>
      </c>
      <c r="AI46" s="44" t="e">
        <f t="shared" ca="1" si="26"/>
        <v>#REF!</v>
      </c>
      <c r="AJ46" s="44" t="e">
        <f t="shared" ca="1" si="27"/>
        <v>#REF!</v>
      </c>
      <c r="AK46" s="44" t="e">
        <f t="shared" ca="1" si="27"/>
        <v>#REF!</v>
      </c>
      <c r="AL46" s="44" t="e">
        <f t="shared" ca="1" si="27"/>
        <v>#REF!</v>
      </c>
      <c r="AM46" s="44" t="e">
        <f t="shared" ca="1" si="27"/>
        <v>#REF!</v>
      </c>
      <c r="AN46" s="44" t="e">
        <f t="shared" ca="1" si="27"/>
        <v>#REF!</v>
      </c>
      <c r="AO46" s="44" t="e">
        <f t="shared" ca="1" si="27"/>
        <v>#REF!</v>
      </c>
      <c r="AP46" s="44" t="e">
        <f t="shared" ca="1" si="27"/>
        <v>#REF!</v>
      </c>
      <c r="AQ46" s="44" t="e">
        <f t="shared" ca="1" si="27"/>
        <v>#REF!</v>
      </c>
      <c r="AR46" s="44" t="e">
        <f t="shared" ca="1" si="27"/>
        <v>#REF!</v>
      </c>
      <c r="AS46" s="44" t="e">
        <f t="shared" ca="1" si="27"/>
        <v>#REF!</v>
      </c>
      <c r="AT46" s="44" t="e">
        <f t="shared" ca="1" si="27"/>
        <v>#REF!</v>
      </c>
      <c r="AU46" t="e">
        <f t="shared" ca="1" si="27"/>
        <v>#REF!</v>
      </c>
      <c r="AV46" t="e">
        <f t="shared" ca="1" si="27"/>
        <v>#REF!</v>
      </c>
      <c r="AW46" t="e">
        <f t="shared" ca="1" si="27"/>
        <v>#REF!</v>
      </c>
      <c r="AX46" t="e">
        <f t="shared" ca="1" si="27"/>
        <v>#REF!</v>
      </c>
      <c r="AY46" t="e">
        <f t="shared" ca="1" si="27"/>
        <v>#REF!</v>
      </c>
      <c r="AZ46" t="e">
        <f t="shared" ca="1" si="28"/>
        <v>#REF!</v>
      </c>
      <c r="BA46" t="e">
        <f t="shared" ca="1" si="28"/>
        <v>#REF!</v>
      </c>
      <c r="BB46" t="e">
        <f t="shared" ca="1" si="28"/>
        <v>#REF!</v>
      </c>
      <c r="BC46" t="e">
        <f t="shared" ca="1" si="28"/>
        <v>#REF!</v>
      </c>
      <c r="BD46" t="e">
        <f t="shared" ca="1" si="28"/>
        <v>#REF!</v>
      </c>
      <c r="BE46" t="e">
        <f t="shared" ca="1" si="28"/>
        <v>#REF!</v>
      </c>
      <c r="BF46" t="e">
        <f t="shared" ca="1" si="28"/>
        <v>#REF!</v>
      </c>
      <c r="BG46" t="e">
        <f t="shared" ca="1" si="28"/>
        <v>#REF!</v>
      </c>
      <c r="BH46" t="e">
        <f t="shared" ca="1" si="28"/>
        <v>#REF!</v>
      </c>
      <c r="BI46" t="e">
        <f t="shared" ca="1" si="28"/>
        <v>#REF!</v>
      </c>
      <c r="BJ46" t="e">
        <f t="shared" ca="1" si="28"/>
        <v>#REF!</v>
      </c>
      <c r="BK46" t="e">
        <f t="shared" ca="1" si="28"/>
        <v>#REF!</v>
      </c>
      <c r="BL46" t="e">
        <f t="shared" ca="1" si="28"/>
        <v>#REF!</v>
      </c>
      <c r="BM46" t="e">
        <f t="shared" ca="1" si="28"/>
        <v>#REF!</v>
      </c>
      <c r="BN46" s="44" t="e">
        <f t="shared" ca="1" si="28"/>
        <v>#REF!</v>
      </c>
      <c r="BO46" s="44" t="e">
        <f t="shared" ca="1" si="28"/>
        <v>#REF!</v>
      </c>
      <c r="BP46" s="44" t="e">
        <f t="shared" ca="1" si="29"/>
        <v>#REF!</v>
      </c>
      <c r="BQ46" s="44" t="e">
        <f t="shared" ca="1" si="29"/>
        <v>#REF!</v>
      </c>
      <c r="BR46" s="44" t="e">
        <f t="shared" ca="1" si="29"/>
        <v>#REF!</v>
      </c>
      <c r="BS46" s="44" t="e">
        <f t="shared" ca="1" si="29"/>
        <v>#REF!</v>
      </c>
      <c r="BT46" s="44" t="e">
        <f t="shared" ca="1" si="29"/>
        <v>#REF!</v>
      </c>
      <c r="BU46" s="44" t="e">
        <f t="shared" ca="1" si="29"/>
        <v>#REF!</v>
      </c>
      <c r="BV46" s="44" t="e">
        <f t="shared" ca="1" si="29"/>
        <v>#REF!</v>
      </c>
      <c r="BW46" s="44" t="e">
        <f t="shared" ca="1" si="29"/>
        <v>#REF!</v>
      </c>
      <c r="BX46" s="44" t="e">
        <f t="shared" ca="1" si="29"/>
        <v>#REF!</v>
      </c>
      <c r="BY46" s="44" t="e">
        <f t="shared" ca="1" si="29"/>
        <v>#REF!</v>
      </c>
      <c r="BZ46" s="44" t="e">
        <f t="shared" ca="1" si="29"/>
        <v>#REF!</v>
      </c>
      <c r="CA46" s="44" t="e">
        <f t="shared" ca="1" si="29"/>
        <v>#REF!</v>
      </c>
      <c r="CB46" s="44" t="e">
        <f t="shared" ca="1" si="29"/>
        <v>#REF!</v>
      </c>
      <c r="CC46" s="44" t="e">
        <f t="shared" ca="1" si="29"/>
        <v>#REF!</v>
      </c>
      <c r="CD46" s="44" t="e">
        <f t="shared" ca="1" si="29"/>
        <v>#REF!</v>
      </c>
      <c r="CE46" s="44" t="e">
        <f t="shared" ca="1" si="29"/>
        <v>#REF!</v>
      </c>
      <c r="CF46" s="44" t="e">
        <f t="shared" ca="1" si="30"/>
        <v>#REF!</v>
      </c>
      <c r="CG46" t="e">
        <f t="shared" ca="1" si="30"/>
        <v>#REF!</v>
      </c>
      <c r="CH46" t="e">
        <f t="shared" ca="1" si="30"/>
        <v>#REF!</v>
      </c>
      <c r="CI46" t="e">
        <f t="shared" ca="1" si="30"/>
        <v>#REF!</v>
      </c>
      <c r="CJ46" t="e">
        <f t="shared" ca="1" si="30"/>
        <v>#REF!</v>
      </c>
      <c r="CK46" t="e">
        <f t="shared" ca="1" si="30"/>
        <v>#REF!</v>
      </c>
      <c r="CL46" t="e">
        <f t="shared" ca="1" si="30"/>
        <v>#REF!</v>
      </c>
      <c r="CM46" t="e">
        <f t="shared" ca="1" si="30"/>
        <v>#REF!</v>
      </c>
      <c r="CN46" t="e">
        <f t="shared" ca="1" si="30"/>
        <v>#REF!</v>
      </c>
      <c r="CO46" t="e">
        <f t="shared" ca="1" si="30"/>
        <v>#REF!</v>
      </c>
      <c r="CP46" t="e">
        <f t="shared" ca="1" si="30"/>
        <v>#REF!</v>
      </c>
      <c r="CQ46" t="e">
        <f t="shared" ca="1" si="30"/>
        <v>#REF!</v>
      </c>
      <c r="CR46" t="e">
        <f t="shared" ca="1" si="30"/>
        <v>#REF!</v>
      </c>
      <c r="CS46" t="e">
        <f t="shared" ca="1" si="30"/>
        <v>#REF!</v>
      </c>
      <c r="CT46" t="e">
        <f t="shared" ca="1" si="30"/>
        <v>#REF!</v>
      </c>
      <c r="CU46" t="e">
        <f t="shared" ca="1" si="30"/>
        <v>#REF!</v>
      </c>
      <c r="CV46" t="e">
        <f t="shared" ca="1" si="31"/>
        <v>#REF!</v>
      </c>
      <c r="CW46" t="e">
        <f t="shared" ca="1" si="31"/>
        <v>#REF!</v>
      </c>
      <c r="CX46" t="e">
        <f t="shared" ca="1" si="31"/>
        <v>#REF!</v>
      </c>
      <c r="CY46" t="e">
        <f t="shared" ca="1" si="31"/>
        <v>#REF!</v>
      </c>
      <c r="CZ46" s="44" t="e">
        <f t="shared" ca="1" si="31"/>
        <v>#REF!</v>
      </c>
      <c r="DA46" s="44" t="e">
        <f t="shared" ca="1" si="31"/>
        <v>#REF!</v>
      </c>
      <c r="DB46" s="44" t="e">
        <f t="shared" ca="1" si="31"/>
        <v>#REF!</v>
      </c>
      <c r="DC46" s="44" t="e">
        <f t="shared" ca="1" si="31"/>
        <v>#REF!</v>
      </c>
      <c r="DD46" s="44" t="e">
        <f t="shared" ca="1" si="31"/>
        <v>#REF!</v>
      </c>
      <c r="DE46" s="44" t="e">
        <f t="shared" ca="1" si="31"/>
        <v>#REF!</v>
      </c>
      <c r="DF46" s="44" t="e">
        <f t="shared" ca="1" si="31"/>
        <v>#REF!</v>
      </c>
      <c r="DG46" s="44" t="e">
        <f t="shared" ca="1" si="31"/>
        <v>#REF!</v>
      </c>
      <c r="DH46" s="44" t="e">
        <f t="shared" ca="1" si="31"/>
        <v>#REF!</v>
      </c>
      <c r="DI46" s="44" t="e">
        <f t="shared" ca="1" si="31"/>
        <v>#REF!</v>
      </c>
      <c r="DJ46" s="44" t="e">
        <f t="shared" ca="1" si="31"/>
        <v>#REF!</v>
      </c>
      <c r="DK46" s="44" t="e">
        <f t="shared" ca="1" si="31"/>
        <v>#REF!</v>
      </c>
      <c r="DL46" s="44" t="e">
        <f t="shared" ca="1" si="32"/>
        <v>#REF!</v>
      </c>
      <c r="DM46" s="44" t="e">
        <f t="shared" ca="1" si="32"/>
        <v>#REF!</v>
      </c>
      <c r="DN46" s="44" t="e">
        <f t="shared" ca="1" si="32"/>
        <v>#REF!</v>
      </c>
      <c r="DO46" s="44" t="e">
        <f t="shared" ca="1" si="32"/>
        <v>#REF!</v>
      </c>
      <c r="DP46" s="44" t="e">
        <f t="shared" ca="1" si="32"/>
        <v>#REF!</v>
      </c>
      <c r="DQ46" s="44" t="e">
        <f t="shared" ca="1" si="32"/>
        <v>#REF!</v>
      </c>
      <c r="DR46" s="44" t="e">
        <f t="shared" ca="1" si="32"/>
        <v>#REF!</v>
      </c>
      <c r="DS46" t="e">
        <f t="shared" ca="1" si="32"/>
        <v>#REF!</v>
      </c>
      <c r="DT46" t="e">
        <f t="shared" ca="1" si="32"/>
        <v>#REF!</v>
      </c>
      <c r="DU46" t="e">
        <f t="shared" ca="1" si="32"/>
        <v>#REF!</v>
      </c>
      <c r="DV46" t="e">
        <f t="shared" ca="1" si="32"/>
        <v>#REF!</v>
      </c>
      <c r="DW46" t="e">
        <f t="shared" ca="1" si="32"/>
        <v>#REF!</v>
      </c>
      <c r="DX46" t="e">
        <f t="shared" ca="1" si="32"/>
        <v>#REF!</v>
      </c>
      <c r="DY46" t="e">
        <f t="shared" ca="1" si="32"/>
        <v>#REF!</v>
      </c>
      <c r="DZ46" t="e">
        <f t="shared" ca="1" si="32"/>
        <v>#REF!</v>
      </c>
      <c r="EA46" t="e">
        <f t="shared" ca="1" si="32"/>
        <v>#REF!</v>
      </c>
      <c r="EB46" t="e">
        <f t="shared" ca="1" si="33"/>
        <v>#REF!</v>
      </c>
      <c r="EC46" t="e">
        <f t="shared" ca="1" si="33"/>
        <v>#REF!</v>
      </c>
      <c r="ED46" t="e">
        <f t="shared" ca="1" si="33"/>
        <v>#REF!</v>
      </c>
      <c r="EE46" t="e">
        <f t="shared" ca="1" si="33"/>
        <v>#REF!</v>
      </c>
      <c r="EF46" t="e">
        <f t="shared" ca="1" si="33"/>
        <v>#REF!</v>
      </c>
      <c r="EG46" t="e">
        <f t="shared" ca="1" si="33"/>
        <v>#REF!</v>
      </c>
      <c r="EH46" t="e">
        <f t="shared" ca="1" si="33"/>
        <v>#REF!</v>
      </c>
      <c r="EI46" t="e">
        <f t="shared" ca="1" si="33"/>
        <v>#REF!</v>
      </c>
      <c r="EJ46" t="e">
        <f t="shared" ca="1" si="33"/>
        <v>#REF!</v>
      </c>
      <c r="EK46" s="44" t="e">
        <f t="shared" ca="1" si="33"/>
        <v>#REF!</v>
      </c>
      <c r="EL46" s="44" t="e">
        <f t="shared" ca="1" si="33"/>
        <v>#REF!</v>
      </c>
      <c r="EM46" s="44" t="e">
        <f t="shared" ca="1" si="33"/>
        <v>#REF!</v>
      </c>
      <c r="EN46" s="44" t="e">
        <f t="shared" ca="1" si="33"/>
        <v>#REF!</v>
      </c>
      <c r="EO46" s="44" t="e">
        <f t="shared" ca="1" si="33"/>
        <v>#REF!</v>
      </c>
      <c r="EP46" s="44" t="e">
        <f t="shared" ca="1" si="33"/>
        <v>#REF!</v>
      </c>
      <c r="EQ46" s="44" t="e">
        <f t="shared" ca="1" si="33"/>
        <v>#REF!</v>
      </c>
      <c r="ER46" s="44" t="e">
        <f t="shared" ca="1" si="34"/>
        <v>#REF!</v>
      </c>
      <c r="ES46" s="44" t="e">
        <f t="shared" ca="1" si="34"/>
        <v>#REF!</v>
      </c>
      <c r="ET46" s="44" t="e">
        <f t="shared" ca="1" si="34"/>
        <v>#REF!</v>
      </c>
      <c r="EU46" s="44" t="e">
        <f t="shared" ca="1" si="34"/>
        <v>#REF!</v>
      </c>
      <c r="EV46" s="44" t="e">
        <f t="shared" ca="1" si="34"/>
        <v>#REF!</v>
      </c>
      <c r="EW46" s="44" t="e">
        <f t="shared" ca="1" si="34"/>
        <v>#REF!</v>
      </c>
      <c r="EX46" s="44" t="e">
        <f t="shared" ca="1" si="34"/>
        <v>#REF!</v>
      </c>
      <c r="EY46" s="44" t="e">
        <f t="shared" ca="1" si="34"/>
        <v>#REF!</v>
      </c>
      <c r="EZ46" s="44" t="e">
        <f t="shared" ca="1" si="34"/>
        <v>#REF!</v>
      </c>
      <c r="FA46" s="44" t="e">
        <f t="shared" ca="1" si="34"/>
        <v>#REF!</v>
      </c>
      <c r="FB46" s="44" t="e">
        <f t="shared" ca="1" si="34"/>
        <v>#REF!</v>
      </c>
      <c r="FC46" s="56" t="e">
        <f t="shared" ca="1" si="34"/>
        <v>#REF!</v>
      </c>
      <c r="FD46" t="e">
        <f t="shared" ca="1" si="34"/>
        <v>#REF!</v>
      </c>
      <c r="FE46" t="e">
        <f t="shared" ca="1" si="34"/>
        <v>#REF!</v>
      </c>
      <c r="FF46" t="e">
        <f t="shared" ca="1" si="34"/>
        <v>#REF!</v>
      </c>
      <c r="FG46" t="e">
        <f t="shared" ca="1" si="34"/>
        <v>#REF!</v>
      </c>
      <c r="FH46" t="e">
        <f t="shared" ca="1" si="35"/>
        <v>#REF!</v>
      </c>
      <c r="FI46" t="e">
        <f t="shared" ca="1" si="35"/>
        <v>#REF!</v>
      </c>
      <c r="FJ46" t="e">
        <f t="shared" ca="1" si="35"/>
        <v>#REF!</v>
      </c>
      <c r="FK46" t="e">
        <f t="shared" ca="1" si="35"/>
        <v>#REF!</v>
      </c>
      <c r="FL46" t="e">
        <f t="shared" ca="1" si="35"/>
        <v>#REF!</v>
      </c>
      <c r="FM46" t="e">
        <f t="shared" ca="1" si="35"/>
        <v>#REF!</v>
      </c>
      <c r="FN46" t="e">
        <f t="shared" ca="1" si="35"/>
        <v>#REF!</v>
      </c>
      <c r="FO46" t="e">
        <f t="shared" ca="1" si="35"/>
        <v>#REF!</v>
      </c>
      <c r="FP46" t="e">
        <f t="shared" ca="1" si="35"/>
        <v>#REF!</v>
      </c>
      <c r="FQ46" t="e">
        <f t="shared" ca="1" si="35"/>
        <v>#REF!</v>
      </c>
      <c r="FR46" t="e">
        <f t="shared" ca="1" si="35"/>
        <v>#REF!</v>
      </c>
      <c r="FS46" t="e">
        <f t="shared" ca="1" si="35"/>
        <v>#REF!</v>
      </c>
      <c r="FT46" t="e">
        <f t="shared" ca="1" si="35"/>
        <v>#REF!</v>
      </c>
    </row>
    <row r="47" spans="1:176" x14ac:dyDescent="0.35">
      <c r="A47" s="240">
        <v>192</v>
      </c>
      <c r="B47" t="e">
        <f t="shared" ca="1" si="37"/>
        <v>#REF!</v>
      </c>
      <c r="C47" t="e">
        <f t="shared" ca="1" si="37"/>
        <v>#REF!</v>
      </c>
      <c r="D47" t="e">
        <f t="shared" ca="1" si="37"/>
        <v>#REF!</v>
      </c>
      <c r="E47" t="e">
        <f t="shared" ca="1" si="37"/>
        <v>#REF!</v>
      </c>
      <c r="F47" t="e">
        <f t="shared" ca="1" si="13"/>
        <v>#REF!</v>
      </c>
      <c r="G47" t="e">
        <f t="shared" ca="1" si="13"/>
        <v>#REF!</v>
      </c>
      <c r="H47" t="e">
        <f t="shared" ca="1" si="13"/>
        <v>#REF!</v>
      </c>
      <c r="I47" t="e">
        <f t="shared" ca="1" si="37"/>
        <v>#REF!</v>
      </c>
      <c r="J47" t="e">
        <f t="shared" ca="1" si="37"/>
        <v>#REF!</v>
      </c>
      <c r="K47" t="e">
        <f t="shared" ca="1" si="37"/>
        <v>#REF!</v>
      </c>
      <c r="L47" t="e">
        <f t="shared" ca="1" si="37"/>
        <v>#REF!</v>
      </c>
      <c r="M47" t="e">
        <f t="shared" ca="1" si="37"/>
        <v>#REF!</v>
      </c>
      <c r="N47" t="e">
        <f t="shared" ca="1" si="37"/>
        <v>#REF!</v>
      </c>
      <c r="O47" t="e">
        <f t="shared" ca="1" si="37"/>
        <v>#REF!</v>
      </c>
      <c r="P47" t="e">
        <f t="shared" ca="1" si="37"/>
        <v>#REF!</v>
      </c>
      <c r="Q47" t="e">
        <f t="shared" ca="1" si="37"/>
        <v>#REF!</v>
      </c>
      <c r="R47" t="e">
        <f t="shared" ca="1" si="37"/>
        <v>#REF!</v>
      </c>
      <c r="S47" t="e">
        <f t="shared" ca="1" si="36"/>
        <v>#REF!</v>
      </c>
      <c r="T47" t="e">
        <f t="shared" ca="1" si="26"/>
        <v>#REF!</v>
      </c>
      <c r="U47" t="e">
        <f t="shared" ca="1" si="26"/>
        <v>#REF!</v>
      </c>
      <c r="V47" t="e">
        <f t="shared" ca="1" si="26"/>
        <v>#REF!</v>
      </c>
      <c r="W47" t="e">
        <f t="shared" ca="1" si="26"/>
        <v>#REF!</v>
      </c>
      <c r="X47" t="e">
        <f t="shared" ca="1" si="26"/>
        <v>#REF!</v>
      </c>
      <c r="Y47" t="e">
        <f t="shared" ca="1" si="26"/>
        <v>#REF!</v>
      </c>
      <c r="Z47" t="e">
        <f t="shared" ca="1" si="26"/>
        <v>#REF!</v>
      </c>
      <c r="AA47" t="e">
        <f t="shared" ca="1" si="26"/>
        <v>#REF!</v>
      </c>
      <c r="AB47" s="44" t="e">
        <f t="shared" ca="1" si="26"/>
        <v>#REF!</v>
      </c>
      <c r="AC47" s="44" t="e">
        <f t="shared" ca="1" si="26"/>
        <v>#REF!</v>
      </c>
      <c r="AD47" s="44" t="e">
        <f t="shared" ca="1" si="26"/>
        <v>#REF!</v>
      </c>
      <c r="AE47" s="44" t="e">
        <f t="shared" ca="1" si="26"/>
        <v>#REF!</v>
      </c>
      <c r="AF47" s="44" t="e">
        <f t="shared" ca="1" si="26"/>
        <v>#REF!</v>
      </c>
      <c r="AG47" s="44" t="e">
        <f t="shared" ca="1" si="26"/>
        <v>#REF!</v>
      </c>
      <c r="AH47" s="44" t="e">
        <f t="shared" ca="1" si="26"/>
        <v>#REF!</v>
      </c>
      <c r="AI47" s="44" t="e">
        <f t="shared" ca="1" si="26"/>
        <v>#REF!</v>
      </c>
      <c r="AJ47" s="44" t="e">
        <f t="shared" ca="1" si="27"/>
        <v>#REF!</v>
      </c>
      <c r="AK47" s="44" t="e">
        <f t="shared" ca="1" si="27"/>
        <v>#REF!</v>
      </c>
      <c r="AL47" s="44" t="e">
        <f t="shared" ca="1" si="27"/>
        <v>#REF!</v>
      </c>
      <c r="AM47" s="44" t="e">
        <f t="shared" ca="1" si="27"/>
        <v>#REF!</v>
      </c>
      <c r="AN47" s="44" t="e">
        <f t="shared" ca="1" si="27"/>
        <v>#REF!</v>
      </c>
      <c r="AO47" s="44" t="e">
        <f t="shared" ca="1" si="27"/>
        <v>#REF!</v>
      </c>
      <c r="AP47" s="44" t="e">
        <f t="shared" ca="1" si="27"/>
        <v>#REF!</v>
      </c>
      <c r="AQ47" s="44" t="e">
        <f t="shared" ca="1" si="27"/>
        <v>#REF!</v>
      </c>
      <c r="AR47" s="44" t="e">
        <f t="shared" ca="1" si="27"/>
        <v>#REF!</v>
      </c>
      <c r="AS47" s="44" t="e">
        <f t="shared" ca="1" si="27"/>
        <v>#REF!</v>
      </c>
      <c r="AT47" s="44" t="e">
        <f t="shared" ca="1" si="27"/>
        <v>#REF!</v>
      </c>
      <c r="AU47" t="e">
        <f t="shared" ca="1" si="27"/>
        <v>#REF!</v>
      </c>
      <c r="AV47" t="e">
        <f t="shared" ca="1" si="27"/>
        <v>#REF!</v>
      </c>
      <c r="AW47" t="e">
        <f t="shared" ca="1" si="27"/>
        <v>#REF!</v>
      </c>
      <c r="AX47" t="e">
        <f t="shared" ca="1" si="27"/>
        <v>#REF!</v>
      </c>
      <c r="AY47" t="e">
        <f t="shared" ca="1" si="27"/>
        <v>#REF!</v>
      </c>
      <c r="AZ47" t="e">
        <f t="shared" ca="1" si="28"/>
        <v>#REF!</v>
      </c>
      <c r="BA47" t="e">
        <f t="shared" ca="1" si="28"/>
        <v>#REF!</v>
      </c>
      <c r="BB47" t="e">
        <f t="shared" ca="1" si="28"/>
        <v>#REF!</v>
      </c>
      <c r="BC47" t="e">
        <f t="shared" ca="1" si="28"/>
        <v>#REF!</v>
      </c>
      <c r="BD47" t="e">
        <f t="shared" ca="1" si="28"/>
        <v>#REF!</v>
      </c>
      <c r="BE47" t="e">
        <f t="shared" ca="1" si="28"/>
        <v>#REF!</v>
      </c>
      <c r="BF47" t="e">
        <f t="shared" ca="1" si="28"/>
        <v>#REF!</v>
      </c>
      <c r="BG47" t="e">
        <f t="shared" ca="1" si="28"/>
        <v>#REF!</v>
      </c>
      <c r="BH47" t="e">
        <f t="shared" ca="1" si="28"/>
        <v>#REF!</v>
      </c>
      <c r="BI47" t="e">
        <f t="shared" ca="1" si="28"/>
        <v>#REF!</v>
      </c>
      <c r="BJ47" t="e">
        <f t="shared" ca="1" si="28"/>
        <v>#REF!</v>
      </c>
      <c r="BK47" t="e">
        <f t="shared" ca="1" si="28"/>
        <v>#REF!</v>
      </c>
      <c r="BL47" t="e">
        <f t="shared" ca="1" si="28"/>
        <v>#REF!</v>
      </c>
      <c r="BM47" t="e">
        <f t="shared" ca="1" si="28"/>
        <v>#REF!</v>
      </c>
      <c r="BN47" s="44" t="e">
        <f t="shared" ca="1" si="28"/>
        <v>#REF!</v>
      </c>
      <c r="BO47" s="44" t="e">
        <f t="shared" ca="1" si="28"/>
        <v>#REF!</v>
      </c>
      <c r="BP47" s="44" t="e">
        <f t="shared" ca="1" si="29"/>
        <v>#REF!</v>
      </c>
      <c r="BQ47" s="44" t="e">
        <f t="shared" ca="1" si="29"/>
        <v>#REF!</v>
      </c>
      <c r="BR47" s="44" t="e">
        <f t="shared" ca="1" si="29"/>
        <v>#REF!</v>
      </c>
      <c r="BS47" s="44" t="e">
        <f t="shared" ca="1" si="29"/>
        <v>#REF!</v>
      </c>
      <c r="BT47" s="44" t="e">
        <f t="shared" ca="1" si="29"/>
        <v>#REF!</v>
      </c>
      <c r="BU47" s="44" t="e">
        <f t="shared" ca="1" si="29"/>
        <v>#REF!</v>
      </c>
      <c r="BV47" s="44" t="e">
        <f t="shared" ca="1" si="29"/>
        <v>#REF!</v>
      </c>
      <c r="BW47" s="44" t="e">
        <f t="shared" ca="1" si="29"/>
        <v>#REF!</v>
      </c>
      <c r="BX47" s="44" t="e">
        <f t="shared" ca="1" si="29"/>
        <v>#REF!</v>
      </c>
      <c r="BY47" s="44" t="e">
        <f t="shared" ca="1" si="29"/>
        <v>#REF!</v>
      </c>
      <c r="BZ47" s="44" t="e">
        <f t="shared" ca="1" si="29"/>
        <v>#REF!</v>
      </c>
      <c r="CA47" s="44" t="e">
        <f t="shared" ca="1" si="29"/>
        <v>#REF!</v>
      </c>
      <c r="CB47" s="44" t="e">
        <f t="shared" ca="1" si="29"/>
        <v>#REF!</v>
      </c>
      <c r="CC47" s="44" t="e">
        <f t="shared" ca="1" si="29"/>
        <v>#REF!</v>
      </c>
      <c r="CD47" s="44" t="e">
        <f t="shared" ca="1" si="29"/>
        <v>#REF!</v>
      </c>
      <c r="CE47" s="44" t="e">
        <f t="shared" ca="1" si="29"/>
        <v>#REF!</v>
      </c>
      <c r="CF47" s="44" t="e">
        <f t="shared" ca="1" si="30"/>
        <v>#REF!</v>
      </c>
      <c r="CG47" t="e">
        <f t="shared" ca="1" si="30"/>
        <v>#REF!</v>
      </c>
      <c r="CH47" t="e">
        <f t="shared" ca="1" si="30"/>
        <v>#REF!</v>
      </c>
      <c r="CI47" t="e">
        <f t="shared" ca="1" si="30"/>
        <v>#REF!</v>
      </c>
      <c r="CJ47" t="e">
        <f t="shared" ca="1" si="30"/>
        <v>#REF!</v>
      </c>
      <c r="CK47" t="e">
        <f t="shared" ca="1" si="30"/>
        <v>#REF!</v>
      </c>
      <c r="CL47" t="e">
        <f t="shared" ca="1" si="30"/>
        <v>#REF!</v>
      </c>
      <c r="CM47" t="e">
        <f t="shared" ca="1" si="30"/>
        <v>#REF!</v>
      </c>
      <c r="CN47" t="e">
        <f t="shared" ca="1" si="30"/>
        <v>#REF!</v>
      </c>
      <c r="CO47" t="e">
        <f t="shared" ca="1" si="30"/>
        <v>#REF!</v>
      </c>
      <c r="CP47" t="e">
        <f t="shared" ca="1" si="30"/>
        <v>#REF!</v>
      </c>
      <c r="CQ47" t="e">
        <f t="shared" ca="1" si="30"/>
        <v>#REF!</v>
      </c>
      <c r="CR47" t="e">
        <f t="shared" ca="1" si="30"/>
        <v>#REF!</v>
      </c>
      <c r="CS47" t="e">
        <f t="shared" ca="1" si="30"/>
        <v>#REF!</v>
      </c>
      <c r="CT47" t="e">
        <f t="shared" ca="1" si="30"/>
        <v>#REF!</v>
      </c>
      <c r="CU47" t="e">
        <f t="shared" ca="1" si="30"/>
        <v>#REF!</v>
      </c>
      <c r="CV47" t="e">
        <f t="shared" ca="1" si="31"/>
        <v>#REF!</v>
      </c>
      <c r="CW47" t="e">
        <f t="shared" ca="1" si="31"/>
        <v>#REF!</v>
      </c>
      <c r="CX47" t="e">
        <f t="shared" ca="1" si="31"/>
        <v>#REF!</v>
      </c>
      <c r="CY47" t="e">
        <f t="shared" ca="1" si="31"/>
        <v>#REF!</v>
      </c>
      <c r="CZ47" s="44" t="e">
        <f t="shared" ca="1" si="31"/>
        <v>#REF!</v>
      </c>
      <c r="DA47" s="44" t="e">
        <f t="shared" ca="1" si="31"/>
        <v>#REF!</v>
      </c>
      <c r="DB47" s="44" t="e">
        <f t="shared" ca="1" si="31"/>
        <v>#REF!</v>
      </c>
      <c r="DC47" s="44" t="e">
        <f t="shared" ca="1" si="31"/>
        <v>#REF!</v>
      </c>
      <c r="DD47" s="44" t="e">
        <f t="shared" ca="1" si="31"/>
        <v>#REF!</v>
      </c>
      <c r="DE47" s="44" t="e">
        <f t="shared" ca="1" si="31"/>
        <v>#REF!</v>
      </c>
      <c r="DF47" s="44" t="e">
        <f t="shared" ca="1" si="31"/>
        <v>#REF!</v>
      </c>
      <c r="DG47" s="44" t="e">
        <f t="shared" ca="1" si="31"/>
        <v>#REF!</v>
      </c>
      <c r="DH47" s="44" t="e">
        <f t="shared" ca="1" si="31"/>
        <v>#REF!</v>
      </c>
      <c r="DI47" s="44" t="e">
        <f t="shared" ca="1" si="31"/>
        <v>#REF!</v>
      </c>
      <c r="DJ47" s="44" t="e">
        <f t="shared" ca="1" si="31"/>
        <v>#REF!</v>
      </c>
      <c r="DK47" s="44" t="e">
        <f t="shared" ca="1" si="31"/>
        <v>#REF!</v>
      </c>
      <c r="DL47" s="44" t="e">
        <f t="shared" ca="1" si="32"/>
        <v>#REF!</v>
      </c>
      <c r="DM47" s="44" t="e">
        <f t="shared" ca="1" si="32"/>
        <v>#REF!</v>
      </c>
      <c r="DN47" s="44" t="e">
        <f t="shared" ca="1" si="32"/>
        <v>#REF!</v>
      </c>
      <c r="DO47" s="44" t="e">
        <f t="shared" ca="1" si="32"/>
        <v>#REF!</v>
      </c>
      <c r="DP47" s="44" t="e">
        <f t="shared" ca="1" si="32"/>
        <v>#REF!</v>
      </c>
      <c r="DQ47" s="44" t="e">
        <f t="shared" ca="1" si="32"/>
        <v>#REF!</v>
      </c>
      <c r="DR47" s="44" t="e">
        <f t="shared" ca="1" si="32"/>
        <v>#REF!</v>
      </c>
      <c r="DS47" t="e">
        <f t="shared" ca="1" si="32"/>
        <v>#REF!</v>
      </c>
      <c r="DT47" t="e">
        <f t="shared" ca="1" si="32"/>
        <v>#REF!</v>
      </c>
      <c r="DU47" t="e">
        <f t="shared" ca="1" si="32"/>
        <v>#REF!</v>
      </c>
      <c r="DV47" t="e">
        <f t="shared" ca="1" si="32"/>
        <v>#REF!</v>
      </c>
      <c r="DW47" t="e">
        <f t="shared" ca="1" si="32"/>
        <v>#REF!</v>
      </c>
      <c r="DX47" t="e">
        <f t="shared" ca="1" si="32"/>
        <v>#REF!</v>
      </c>
      <c r="DY47" t="e">
        <f t="shared" ca="1" si="32"/>
        <v>#REF!</v>
      </c>
      <c r="DZ47" t="e">
        <f t="shared" ca="1" si="32"/>
        <v>#REF!</v>
      </c>
      <c r="EA47" t="e">
        <f t="shared" ca="1" si="32"/>
        <v>#REF!</v>
      </c>
      <c r="EB47" t="e">
        <f t="shared" ca="1" si="33"/>
        <v>#REF!</v>
      </c>
      <c r="EC47" t="e">
        <f t="shared" ca="1" si="33"/>
        <v>#REF!</v>
      </c>
      <c r="ED47" t="e">
        <f t="shared" ca="1" si="33"/>
        <v>#REF!</v>
      </c>
      <c r="EE47" t="e">
        <f t="shared" ca="1" si="33"/>
        <v>#REF!</v>
      </c>
      <c r="EF47" t="e">
        <f t="shared" ca="1" si="33"/>
        <v>#REF!</v>
      </c>
      <c r="EG47" t="e">
        <f t="shared" ca="1" si="33"/>
        <v>#REF!</v>
      </c>
      <c r="EH47" t="e">
        <f t="shared" ca="1" si="33"/>
        <v>#REF!</v>
      </c>
      <c r="EI47" t="e">
        <f t="shared" ca="1" si="33"/>
        <v>#REF!</v>
      </c>
      <c r="EJ47" t="e">
        <f t="shared" ca="1" si="33"/>
        <v>#REF!</v>
      </c>
      <c r="EK47" s="44" t="e">
        <f t="shared" ca="1" si="33"/>
        <v>#REF!</v>
      </c>
      <c r="EL47" s="44" t="e">
        <f t="shared" ca="1" si="33"/>
        <v>#REF!</v>
      </c>
      <c r="EM47" s="44" t="e">
        <f t="shared" ca="1" si="33"/>
        <v>#REF!</v>
      </c>
      <c r="EN47" s="44" t="e">
        <f t="shared" ca="1" si="33"/>
        <v>#REF!</v>
      </c>
      <c r="EO47" s="44" t="e">
        <f t="shared" ca="1" si="33"/>
        <v>#REF!</v>
      </c>
      <c r="EP47" s="44" t="e">
        <f t="shared" ca="1" si="33"/>
        <v>#REF!</v>
      </c>
      <c r="EQ47" s="44" t="e">
        <f t="shared" ca="1" si="33"/>
        <v>#REF!</v>
      </c>
      <c r="ER47" s="44" t="e">
        <f t="shared" ca="1" si="34"/>
        <v>#REF!</v>
      </c>
      <c r="ES47" s="44" t="e">
        <f t="shared" ca="1" si="34"/>
        <v>#REF!</v>
      </c>
      <c r="ET47" s="44" t="e">
        <f t="shared" ca="1" si="34"/>
        <v>#REF!</v>
      </c>
      <c r="EU47" s="44" t="e">
        <f t="shared" ca="1" si="34"/>
        <v>#REF!</v>
      </c>
      <c r="EV47" s="44" t="e">
        <f t="shared" ca="1" si="34"/>
        <v>#REF!</v>
      </c>
      <c r="EW47" s="44" t="e">
        <f t="shared" ca="1" si="34"/>
        <v>#REF!</v>
      </c>
      <c r="EX47" s="44" t="e">
        <f t="shared" ca="1" si="34"/>
        <v>#REF!</v>
      </c>
      <c r="EY47" s="44" t="e">
        <f t="shared" ca="1" si="34"/>
        <v>#REF!</v>
      </c>
      <c r="EZ47" s="44" t="e">
        <f t="shared" ca="1" si="34"/>
        <v>#REF!</v>
      </c>
      <c r="FA47" s="44" t="e">
        <f t="shared" ca="1" si="34"/>
        <v>#REF!</v>
      </c>
      <c r="FB47" s="44" t="e">
        <f t="shared" ca="1" si="34"/>
        <v>#REF!</v>
      </c>
      <c r="FC47" s="56" t="e">
        <f t="shared" ca="1" si="34"/>
        <v>#REF!</v>
      </c>
      <c r="FD47" t="e">
        <f t="shared" ca="1" si="34"/>
        <v>#REF!</v>
      </c>
      <c r="FE47" t="e">
        <f t="shared" ca="1" si="34"/>
        <v>#REF!</v>
      </c>
      <c r="FF47" t="e">
        <f t="shared" ca="1" si="34"/>
        <v>#REF!</v>
      </c>
      <c r="FG47" t="e">
        <f t="shared" ca="1" si="34"/>
        <v>#REF!</v>
      </c>
      <c r="FH47" t="e">
        <f t="shared" ca="1" si="35"/>
        <v>#REF!</v>
      </c>
      <c r="FI47" t="e">
        <f t="shared" ca="1" si="35"/>
        <v>#REF!</v>
      </c>
      <c r="FJ47" t="e">
        <f t="shared" ca="1" si="35"/>
        <v>#REF!</v>
      </c>
      <c r="FK47" t="e">
        <f t="shared" ca="1" si="35"/>
        <v>#REF!</v>
      </c>
      <c r="FL47" t="e">
        <f t="shared" ca="1" si="35"/>
        <v>#REF!</v>
      </c>
      <c r="FM47" t="e">
        <f t="shared" ca="1" si="35"/>
        <v>#REF!</v>
      </c>
      <c r="FN47" t="e">
        <f t="shared" ca="1" si="35"/>
        <v>#REF!</v>
      </c>
      <c r="FO47" t="e">
        <f t="shared" ca="1" si="35"/>
        <v>#REF!</v>
      </c>
      <c r="FP47" t="e">
        <f t="shared" ca="1" si="35"/>
        <v>#REF!</v>
      </c>
      <c r="FQ47" t="e">
        <f t="shared" ca="1" si="35"/>
        <v>#REF!</v>
      </c>
      <c r="FR47" t="e">
        <f t="shared" ca="1" si="35"/>
        <v>#REF!</v>
      </c>
      <c r="FS47" t="e">
        <f t="shared" ca="1" si="35"/>
        <v>#REF!</v>
      </c>
      <c r="FT47" t="e">
        <f t="shared" ca="1" si="35"/>
        <v>#REF!</v>
      </c>
    </row>
    <row r="48" spans="1:176" x14ac:dyDescent="0.35">
      <c r="A48" s="240">
        <v>148</v>
      </c>
      <c r="B48" t="e">
        <f t="shared" ca="1" si="37"/>
        <v>#REF!</v>
      </c>
      <c r="C48" t="e">
        <f t="shared" ca="1" si="37"/>
        <v>#REF!</v>
      </c>
      <c r="D48" t="e">
        <f t="shared" ca="1" si="37"/>
        <v>#REF!</v>
      </c>
      <c r="E48" t="e">
        <f t="shared" ca="1" si="37"/>
        <v>#REF!</v>
      </c>
      <c r="F48" t="e">
        <f t="shared" ca="1" si="13"/>
        <v>#REF!</v>
      </c>
      <c r="G48" t="e">
        <f t="shared" ca="1" si="13"/>
        <v>#REF!</v>
      </c>
      <c r="H48" t="e">
        <f t="shared" ca="1" si="13"/>
        <v>#REF!</v>
      </c>
      <c r="I48" t="e">
        <f t="shared" ca="1" si="37"/>
        <v>#REF!</v>
      </c>
      <c r="J48" t="e">
        <f t="shared" ca="1" si="37"/>
        <v>#REF!</v>
      </c>
      <c r="K48" t="e">
        <f t="shared" ca="1" si="37"/>
        <v>#REF!</v>
      </c>
      <c r="L48" t="e">
        <f t="shared" ca="1" si="37"/>
        <v>#REF!</v>
      </c>
      <c r="M48" t="e">
        <f t="shared" ca="1" si="37"/>
        <v>#REF!</v>
      </c>
      <c r="N48" t="e">
        <f t="shared" ca="1" si="37"/>
        <v>#REF!</v>
      </c>
      <c r="O48" t="e">
        <f t="shared" ca="1" si="37"/>
        <v>#REF!</v>
      </c>
      <c r="P48" t="e">
        <f t="shared" ca="1" si="37"/>
        <v>#REF!</v>
      </c>
      <c r="Q48" t="e">
        <f t="shared" ca="1" si="37"/>
        <v>#REF!</v>
      </c>
      <c r="R48" t="e">
        <f t="shared" ca="1" si="37"/>
        <v>#REF!</v>
      </c>
      <c r="S48" t="e">
        <f t="shared" ca="1" si="36"/>
        <v>#REF!</v>
      </c>
      <c r="T48" t="e">
        <f t="shared" ca="1" si="26"/>
        <v>#REF!</v>
      </c>
      <c r="U48" t="e">
        <f t="shared" ca="1" si="26"/>
        <v>#REF!</v>
      </c>
      <c r="V48" t="e">
        <f t="shared" ca="1" si="26"/>
        <v>#REF!</v>
      </c>
      <c r="W48" t="e">
        <f t="shared" ca="1" si="26"/>
        <v>#REF!</v>
      </c>
      <c r="X48" t="e">
        <f t="shared" ca="1" si="26"/>
        <v>#REF!</v>
      </c>
      <c r="Y48" t="e">
        <f t="shared" ca="1" si="26"/>
        <v>#REF!</v>
      </c>
      <c r="Z48" t="e">
        <f t="shared" ca="1" si="26"/>
        <v>#REF!</v>
      </c>
      <c r="AA48" t="e">
        <f t="shared" ca="1" si="26"/>
        <v>#REF!</v>
      </c>
      <c r="AB48" s="44" t="e">
        <f t="shared" ca="1" si="26"/>
        <v>#REF!</v>
      </c>
      <c r="AC48" s="44" t="e">
        <f t="shared" ca="1" si="26"/>
        <v>#REF!</v>
      </c>
      <c r="AD48" s="44" t="e">
        <f t="shared" ca="1" si="26"/>
        <v>#REF!</v>
      </c>
      <c r="AE48" s="44" t="e">
        <f t="shared" ca="1" si="26"/>
        <v>#REF!</v>
      </c>
      <c r="AF48" s="44" t="e">
        <f t="shared" ca="1" si="26"/>
        <v>#REF!</v>
      </c>
      <c r="AG48" s="44" t="e">
        <f t="shared" ca="1" si="26"/>
        <v>#REF!</v>
      </c>
      <c r="AH48" s="44" t="e">
        <f t="shared" ca="1" si="26"/>
        <v>#REF!</v>
      </c>
      <c r="AI48" s="44" t="e">
        <f t="shared" ca="1" si="26"/>
        <v>#REF!</v>
      </c>
      <c r="AJ48" s="44" t="e">
        <f t="shared" ca="1" si="27"/>
        <v>#REF!</v>
      </c>
      <c r="AK48" s="44" t="e">
        <f t="shared" ca="1" si="27"/>
        <v>#REF!</v>
      </c>
      <c r="AL48" s="44" t="e">
        <f t="shared" ca="1" si="27"/>
        <v>#REF!</v>
      </c>
      <c r="AM48" s="44" t="e">
        <f t="shared" ca="1" si="27"/>
        <v>#REF!</v>
      </c>
      <c r="AN48" s="44" t="e">
        <f t="shared" ca="1" si="27"/>
        <v>#REF!</v>
      </c>
      <c r="AO48" s="44" t="e">
        <f t="shared" ca="1" si="27"/>
        <v>#REF!</v>
      </c>
      <c r="AP48" s="44" t="e">
        <f t="shared" ca="1" si="27"/>
        <v>#REF!</v>
      </c>
      <c r="AQ48" s="44" t="e">
        <f t="shared" ca="1" si="27"/>
        <v>#REF!</v>
      </c>
      <c r="AR48" s="44" t="e">
        <f t="shared" ca="1" si="27"/>
        <v>#REF!</v>
      </c>
      <c r="AS48" s="44" t="e">
        <f t="shared" ca="1" si="27"/>
        <v>#REF!</v>
      </c>
      <c r="AT48" s="44" t="e">
        <f t="shared" ca="1" si="27"/>
        <v>#REF!</v>
      </c>
      <c r="AU48" t="e">
        <f t="shared" ca="1" si="27"/>
        <v>#REF!</v>
      </c>
      <c r="AV48" t="e">
        <f t="shared" ca="1" si="27"/>
        <v>#REF!</v>
      </c>
      <c r="AW48" t="e">
        <f t="shared" ca="1" si="27"/>
        <v>#REF!</v>
      </c>
      <c r="AX48" t="e">
        <f t="shared" ca="1" si="27"/>
        <v>#REF!</v>
      </c>
      <c r="AY48" t="e">
        <f t="shared" ca="1" si="27"/>
        <v>#REF!</v>
      </c>
      <c r="AZ48" t="e">
        <f t="shared" ca="1" si="28"/>
        <v>#REF!</v>
      </c>
      <c r="BA48" t="e">
        <f t="shared" ca="1" si="28"/>
        <v>#REF!</v>
      </c>
      <c r="BB48" t="e">
        <f t="shared" ca="1" si="28"/>
        <v>#REF!</v>
      </c>
      <c r="BC48" t="e">
        <f t="shared" ca="1" si="28"/>
        <v>#REF!</v>
      </c>
      <c r="BD48" t="e">
        <f t="shared" ca="1" si="28"/>
        <v>#REF!</v>
      </c>
      <c r="BE48" t="e">
        <f t="shared" ca="1" si="28"/>
        <v>#REF!</v>
      </c>
      <c r="BF48" t="e">
        <f t="shared" ca="1" si="28"/>
        <v>#REF!</v>
      </c>
      <c r="BG48" t="e">
        <f t="shared" ca="1" si="28"/>
        <v>#REF!</v>
      </c>
      <c r="BH48" t="e">
        <f t="shared" ca="1" si="28"/>
        <v>#REF!</v>
      </c>
      <c r="BI48" t="e">
        <f t="shared" ca="1" si="28"/>
        <v>#REF!</v>
      </c>
      <c r="BJ48" t="e">
        <f t="shared" ca="1" si="28"/>
        <v>#REF!</v>
      </c>
      <c r="BK48" t="e">
        <f t="shared" ca="1" si="28"/>
        <v>#REF!</v>
      </c>
      <c r="BL48" t="e">
        <f t="shared" ca="1" si="28"/>
        <v>#REF!</v>
      </c>
      <c r="BM48" t="e">
        <f t="shared" ca="1" si="28"/>
        <v>#REF!</v>
      </c>
      <c r="BN48" s="44" t="e">
        <f t="shared" ca="1" si="28"/>
        <v>#REF!</v>
      </c>
      <c r="BO48" s="44" t="e">
        <f t="shared" ca="1" si="28"/>
        <v>#REF!</v>
      </c>
      <c r="BP48" s="44" t="e">
        <f t="shared" ca="1" si="29"/>
        <v>#REF!</v>
      </c>
      <c r="BQ48" s="44" t="e">
        <f t="shared" ca="1" si="29"/>
        <v>#REF!</v>
      </c>
      <c r="BR48" s="44" t="e">
        <f t="shared" ca="1" si="29"/>
        <v>#REF!</v>
      </c>
      <c r="BS48" s="44" t="e">
        <f t="shared" ca="1" si="29"/>
        <v>#REF!</v>
      </c>
      <c r="BT48" s="44" t="e">
        <f t="shared" ca="1" si="29"/>
        <v>#REF!</v>
      </c>
      <c r="BU48" s="44" t="e">
        <f t="shared" ca="1" si="29"/>
        <v>#REF!</v>
      </c>
      <c r="BV48" s="44" t="e">
        <f t="shared" ca="1" si="29"/>
        <v>#REF!</v>
      </c>
      <c r="BW48" s="44" t="e">
        <f t="shared" ca="1" si="29"/>
        <v>#REF!</v>
      </c>
      <c r="BX48" s="44" t="e">
        <f t="shared" ca="1" si="29"/>
        <v>#REF!</v>
      </c>
      <c r="BY48" s="44" t="e">
        <f t="shared" ca="1" si="29"/>
        <v>#REF!</v>
      </c>
      <c r="BZ48" s="44" t="e">
        <f t="shared" ca="1" si="29"/>
        <v>#REF!</v>
      </c>
      <c r="CA48" s="44" t="e">
        <f t="shared" ca="1" si="29"/>
        <v>#REF!</v>
      </c>
      <c r="CB48" s="44" t="e">
        <f t="shared" ca="1" si="29"/>
        <v>#REF!</v>
      </c>
      <c r="CC48" s="44" t="e">
        <f t="shared" ca="1" si="29"/>
        <v>#REF!</v>
      </c>
      <c r="CD48" s="44" t="e">
        <f t="shared" ca="1" si="29"/>
        <v>#REF!</v>
      </c>
      <c r="CE48" s="44" t="e">
        <f t="shared" ca="1" si="29"/>
        <v>#REF!</v>
      </c>
      <c r="CF48" s="44" t="e">
        <f t="shared" ca="1" si="30"/>
        <v>#REF!</v>
      </c>
      <c r="CG48" t="e">
        <f t="shared" ca="1" si="30"/>
        <v>#REF!</v>
      </c>
      <c r="CH48" t="e">
        <f t="shared" ca="1" si="30"/>
        <v>#REF!</v>
      </c>
      <c r="CI48" t="e">
        <f t="shared" ca="1" si="30"/>
        <v>#REF!</v>
      </c>
      <c r="CJ48" t="e">
        <f t="shared" ca="1" si="30"/>
        <v>#REF!</v>
      </c>
      <c r="CK48" t="e">
        <f t="shared" ca="1" si="30"/>
        <v>#REF!</v>
      </c>
      <c r="CL48" t="e">
        <f t="shared" ca="1" si="30"/>
        <v>#REF!</v>
      </c>
      <c r="CM48" t="e">
        <f t="shared" ca="1" si="30"/>
        <v>#REF!</v>
      </c>
      <c r="CN48" t="e">
        <f t="shared" ca="1" si="30"/>
        <v>#REF!</v>
      </c>
      <c r="CO48" t="e">
        <f t="shared" ca="1" si="30"/>
        <v>#REF!</v>
      </c>
      <c r="CP48" t="e">
        <f t="shared" ca="1" si="30"/>
        <v>#REF!</v>
      </c>
      <c r="CQ48" t="e">
        <f t="shared" ca="1" si="30"/>
        <v>#REF!</v>
      </c>
      <c r="CR48" t="e">
        <f t="shared" ca="1" si="30"/>
        <v>#REF!</v>
      </c>
      <c r="CS48" t="e">
        <f t="shared" ca="1" si="30"/>
        <v>#REF!</v>
      </c>
      <c r="CT48" t="e">
        <f t="shared" ca="1" si="30"/>
        <v>#REF!</v>
      </c>
      <c r="CU48" t="e">
        <f t="shared" ca="1" si="30"/>
        <v>#REF!</v>
      </c>
      <c r="CV48" t="e">
        <f t="shared" ca="1" si="31"/>
        <v>#REF!</v>
      </c>
      <c r="CW48" t="e">
        <f t="shared" ca="1" si="31"/>
        <v>#REF!</v>
      </c>
      <c r="CX48" t="e">
        <f t="shared" ca="1" si="31"/>
        <v>#REF!</v>
      </c>
      <c r="CY48" t="e">
        <f t="shared" ca="1" si="31"/>
        <v>#REF!</v>
      </c>
      <c r="CZ48" s="44" t="e">
        <f t="shared" ca="1" si="31"/>
        <v>#REF!</v>
      </c>
      <c r="DA48" s="44" t="e">
        <f t="shared" ca="1" si="31"/>
        <v>#REF!</v>
      </c>
      <c r="DB48" s="44" t="e">
        <f t="shared" ca="1" si="31"/>
        <v>#REF!</v>
      </c>
      <c r="DC48" s="44" t="e">
        <f t="shared" ca="1" si="31"/>
        <v>#REF!</v>
      </c>
      <c r="DD48" s="44" t="e">
        <f t="shared" ca="1" si="31"/>
        <v>#REF!</v>
      </c>
      <c r="DE48" s="44" t="e">
        <f t="shared" ca="1" si="31"/>
        <v>#REF!</v>
      </c>
      <c r="DF48" s="44" t="e">
        <f t="shared" ca="1" si="31"/>
        <v>#REF!</v>
      </c>
      <c r="DG48" s="44" t="e">
        <f t="shared" ca="1" si="31"/>
        <v>#REF!</v>
      </c>
      <c r="DH48" s="44" t="e">
        <f t="shared" ca="1" si="31"/>
        <v>#REF!</v>
      </c>
      <c r="DI48" s="44" t="e">
        <f t="shared" ca="1" si="31"/>
        <v>#REF!</v>
      </c>
      <c r="DJ48" s="44" t="e">
        <f t="shared" ca="1" si="31"/>
        <v>#REF!</v>
      </c>
      <c r="DK48" s="44" t="e">
        <f t="shared" ca="1" si="31"/>
        <v>#REF!</v>
      </c>
      <c r="DL48" s="44" t="e">
        <f t="shared" ca="1" si="32"/>
        <v>#REF!</v>
      </c>
      <c r="DM48" s="44" t="e">
        <f t="shared" ca="1" si="32"/>
        <v>#REF!</v>
      </c>
      <c r="DN48" s="44" t="e">
        <f t="shared" ca="1" si="32"/>
        <v>#REF!</v>
      </c>
      <c r="DO48" s="44" t="e">
        <f t="shared" ca="1" si="32"/>
        <v>#REF!</v>
      </c>
      <c r="DP48" s="44" t="e">
        <f t="shared" ca="1" si="32"/>
        <v>#REF!</v>
      </c>
      <c r="DQ48" s="44" t="e">
        <f t="shared" ca="1" si="32"/>
        <v>#REF!</v>
      </c>
      <c r="DR48" s="44" t="e">
        <f t="shared" ca="1" si="32"/>
        <v>#REF!</v>
      </c>
      <c r="DS48" t="e">
        <f t="shared" ca="1" si="32"/>
        <v>#REF!</v>
      </c>
      <c r="DT48" t="e">
        <f t="shared" ca="1" si="32"/>
        <v>#REF!</v>
      </c>
      <c r="DU48" t="e">
        <f t="shared" ca="1" si="32"/>
        <v>#REF!</v>
      </c>
      <c r="DV48" t="e">
        <f t="shared" ca="1" si="32"/>
        <v>#REF!</v>
      </c>
      <c r="DW48" t="e">
        <f t="shared" ca="1" si="32"/>
        <v>#REF!</v>
      </c>
      <c r="DX48" t="e">
        <f t="shared" ca="1" si="32"/>
        <v>#REF!</v>
      </c>
      <c r="DY48" t="e">
        <f t="shared" ca="1" si="32"/>
        <v>#REF!</v>
      </c>
      <c r="DZ48" t="e">
        <f t="shared" ca="1" si="32"/>
        <v>#REF!</v>
      </c>
      <c r="EA48" t="e">
        <f t="shared" ca="1" si="32"/>
        <v>#REF!</v>
      </c>
      <c r="EB48" t="e">
        <f t="shared" ca="1" si="33"/>
        <v>#REF!</v>
      </c>
      <c r="EC48" t="e">
        <f t="shared" ca="1" si="33"/>
        <v>#REF!</v>
      </c>
      <c r="ED48" t="e">
        <f t="shared" ca="1" si="33"/>
        <v>#REF!</v>
      </c>
      <c r="EE48" t="e">
        <f t="shared" ca="1" si="33"/>
        <v>#REF!</v>
      </c>
      <c r="EF48" t="e">
        <f t="shared" ca="1" si="33"/>
        <v>#REF!</v>
      </c>
      <c r="EG48" t="e">
        <f t="shared" ca="1" si="33"/>
        <v>#REF!</v>
      </c>
      <c r="EH48" t="e">
        <f t="shared" ca="1" si="33"/>
        <v>#REF!</v>
      </c>
      <c r="EI48" t="e">
        <f t="shared" ca="1" si="33"/>
        <v>#REF!</v>
      </c>
      <c r="EJ48" t="e">
        <f t="shared" ca="1" si="33"/>
        <v>#REF!</v>
      </c>
      <c r="EK48" s="44" t="e">
        <f t="shared" ca="1" si="33"/>
        <v>#REF!</v>
      </c>
      <c r="EL48" s="44" t="e">
        <f t="shared" ca="1" si="33"/>
        <v>#REF!</v>
      </c>
      <c r="EM48" s="44" t="e">
        <f t="shared" ca="1" si="33"/>
        <v>#REF!</v>
      </c>
      <c r="EN48" s="44" t="e">
        <f t="shared" ca="1" si="33"/>
        <v>#REF!</v>
      </c>
      <c r="EO48" s="44" t="e">
        <f t="shared" ca="1" si="33"/>
        <v>#REF!</v>
      </c>
      <c r="EP48" s="44" t="e">
        <f t="shared" ca="1" si="33"/>
        <v>#REF!</v>
      </c>
      <c r="EQ48" s="44" t="e">
        <f t="shared" ca="1" si="33"/>
        <v>#REF!</v>
      </c>
      <c r="ER48" s="44" t="e">
        <f t="shared" ca="1" si="34"/>
        <v>#REF!</v>
      </c>
      <c r="ES48" s="44" t="e">
        <f t="shared" ca="1" si="34"/>
        <v>#REF!</v>
      </c>
      <c r="ET48" s="44" t="e">
        <f t="shared" ca="1" si="34"/>
        <v>#REF!</v>
      </c>
      <c r="EU48" s="44" t="e">
        <f t="shared" ca="1" si="34"/>
        <v>#REF!</v>
      </c>
      <c r="EV48" s="44" t="e">
        <f t="shared" ca="1" si="34"/>
        <v>#REF!</v>
      </c>
      <c r="EW48" s="44" t="e">
        <f t="shared" ca="1" si="34"/>
        <v>#REF!</v>
      </c>
      <c r="EX48" s="44" t="e">
        <f t="shared" ca="1" si="34"/>
        <v>#REF!</v>
      </c>
      <c r="EY48" s="44" t="e">
        <f t="shared" ca="1" si="34"/>
        <v>#REF!</v>
      </c>
      <c r="EZ48" s="44" t="e">
        <f t="shared" ca="1" si="34"/>
        <v>#REF!</v>
      </c>
      <c r="FA48" s="44" t="e">
        <f t="shared" ca="1" si="34"/>
        <v>#REF!</v>
      </c>
      <c r="FB48" s="44" t="e">
        <f t="shared" ca="1" si="34"/>
        <v>#REF!</v>
      </c>
      <c r="FC48" s="56" t="e">
        <f t="shared" ca="1" si="34"/>
        <v>#REF!</v>
      </c>
      <c r="FD48" t="e">
        <f t="shared" ca="1" si="34"/>
        <v>#REF!</v>
      </c>
      <c r="FE48" t="e">
        <f t="shared" ca="1" si="34"/>
        <v>#REF!</v>
      </c>
      <c r="FF48" t="e">
        <f t="shared" ca="1" si="34"/>
        <v>#REF!</v>
      </c>
      <c r="FG48" t="e">
        <f t="shared" ca="1" si="34"/>
        <v>#REF!</v>
      </c>
      <c r="FH48" t="e">
        <f t="shared" ca="1" si="35"/>
        <v>#REF!</v>
      </c>
      <c r="FI48" t="e">
        <f t="shared" ca="1" si="35"/>
        <v>#REF!</v>
      </c>
      <c r="FJ48" t="e">
        <f t="shared" ca="1" si="35"/>
        <v>#REF!</v>
      </c>
      <c r="FK48" t="e">
        <f t="shared" ca="1" si="35"/>
        <v>#REF!</v>
      </c>
      <c r="FL48" t="e">
        <f t="shared" ca="1" si="35"/>
        <v>#REF!</v>
      </c>
      <c r="FM48" t="e">
        <f t="shared" ca="1" si="35"/>
        <v>#REF!</v>
      </c>
      <c r="FN48" t="e">
        <f t="shared" ca="1" si="35"/>
        <v>#REF!</v>
      </c>
      <c r="FO48" t="e">
        <f t="shared" ca="1" si="35"/>
        <v>#REF!</v>
      </c>
      <c r="FP48" t="e">
        <f t="shared" ca="1" si="35"/>
        <v>#REF!</v>
      </c>
      <c r="FQ48" t="e">
        <f t="shared" ca="1" si="35"/>
        <v>#REF!</v>
      </c>
      <c r="FR48" t="e">
        <f t="shared" ca="1" si="35"/>
        <v>#REF!</v>
      </c>
      <c r="FS48" t="e">
        <f t="shared" ca="1" si="35"/>
        <v>#REF!</v>
      </c>
      <c r="FT48" t="e">
        <f t="shared" ca="1" si="35"/>
        <v>#REF!</v>
      </c>
    </row>
    <row r="49" spans="1:176" x14ac:dyDescent="0.35">
      <c r="A49" s="240">
        <v>219</v>
      </c>
      <c r="B49" t="e">
        <f t="shared" ca="1" si="37"/>
        <v>#REF!</v>
      </c>
      <c r="C49" t="e">
        <f t="shared" ca="1" si="37"/>
        <v>#REF!</v>
      </c>
      <c r="D49" t="e">
        <f t="shared" ca="1" si="37"/>
        <v>#REF!</v>
      </c>
      <c r="E49" t="e">
        <f t="shared" ca="1" si="37"/>
        <v>#REF!</v>
      </c>
      <c r="F49" t="e">
        <f t="shared" ca="1" si="13"/>
        <v>#REF!</v>
      </c>
      <c r="G49" t="e">
        <f t="shared" ca="1" si="13"/>
        <v>#REF!</v>
      </c>
      <c r="H49" t="e">
        <f t="shared" ca="1" si="13"/>
        <v>#REF!</v>
      </c>
      <c r="I49" t="e">
        <f t="shared" ca="1" si="37"/>
        <v>#REF!</v>
      </c>
      <c r="J49" t="e">
        <f t="shared" ca="1" si="37"/>
        <v>#REF!</v>
      </c>
      <c r="K49" t="e">
        <f t="shared" ca="1" si="37"/>
        <v>#REF!</v>
      </c>
      <c r="L49" t="e">
        <f t="shared" ca="1" si="37"/>
        <v>#REF!</v>
      </c>
      <c r="M49" t="e">
        <f t="shared" ca="1" si="37"/>
        <v>#REF!</v>
      </c>
      <c r="N49" t="e">
        <f t="shared" ca="1" si="37"/>
        <v>#REF!</v>
      </c>
      <c r="O49" t="e">
        <f t="shared" ca="1" si="37"/>
        <v>#REF!</v>
      </c>
      <c r="P49" t="e">
        <f t="shared" ca="1" si="37"/>
        <v>#REF!</v>
      </c>
      <c r="Q49" t="e">
        <f t="shared" ca="1" si="37"/>
        <v>#REF!</v>
      </c>
      <c r="R49" t="e">
        <f t="shared" ca="1" si="37"/>
        <v>#REF!</v>
      </c>
      <c r="S49" t="e">
        <f t="shared" ca="1" si="36"/>
        <v>#REF!</v>
      </c>
      <c r="T49" t="e">
        <f t="shared" ca="1" si="26"/>
        <v>#REF!</v>
      </c>
      <c r="U49" t="e">
        <f t="shared" ca="1" si="26"/>
        <v>#REF!</v>
      </c>
      <c r="V49" t="e">
        <f t="shared" ca="1" si="26"/>
        <v>#REF!</v>
      </c>
      <c r="W49" t="e">
        <f t="shared" ca="1" si="26"/>
        <v>#REF!</v>
      </c>
      <c r="X49" t="e">
        <f t="shared" ca="1" si="26"/>
        <v>#REF!</v>
      </c>
      <c r="Y49" t="e">
        <f t="shared" ca="1" si="26"/>
        <v>#REF!</v>
      </c>
      <c r="Z49" t="e">
        <f t="shared" ca="1" si="26"/>
        <v>#REF!</v>
      </c>
      <c r="AA49" t="e">
        <f t="shared" ca="1" si="26"/>
        <v>#REF!</v>
      </c>
      <c r="AB49" s="44" t="e">
        <f t="shared" ca="1" si="26"/>
        <v>#REF!</v>
      </c>
      <c r="AC49" s="44" t="e">
        <f t="shared" ca="1" si="26"/>
        <v>#REF!</v>
      </c>
      <c r="AD49" s="44" t="e">
        <f t="shared" ca="1" si="26"/>
        <v>#REF!</v>
      </c>
      <c r="AE49" s="44" t="e">
        <f t="shared" ca="1" si="26"/>
        <v>#REF!</v>
      </c>
      <c r="AF49" s="44" t="e">
        <f t="shared" ca="1" si="26"/>
        <v>#REF!</v>
      </c>
      <c r="AG49" s="44" t="e">
        <f t="shared" ca="1" si="26"/>
        <v>#REF!</v>
      </c>
      <c r="AH49" s="44" t="e">
        <f t="shared" ca="1" si="26"/>
        <v>#REF!</v>
      </c>
      <c r="AI49" s="44" t="e">
        <f t="shared" ref="AI49:AX64" ca="1" si="38">IF($A49="", "", IF(INDIRECT($A49&amp; "!"&amp; AI$2)="", "", INDIRECT($A49&amp; "!"&amp; AI$2)))</f>
        <v>#REF!</v>
      </c>
      <c r="AJ49" s="44" t="e">
        <f t="shared" ca="1" si="27"/>
        <v>#REF!</v>
      </c>
      <c r="AK49" s="44" t="e">
        <f t="shared" ca="1" si="27"/>
        <v>#REF!</v>
      </c>
      <c r="AL49" s="44" t="e">
        <f t="shared" ca="1" si="27"/>
        <v>#REF!</v>
      </c>
      <c r="AM49" s="44" t="e">
        <f t="shared" ca="1" si="27"/>
        <v>#REF!</v>
      </c>
      <c r="AN49" s="44" t="e">
        <f t="shared" ca="1" si="27"/>
        <v>#REF!</v>
      </c>
      <c r="AO49" s="44" t="e">
        <f t="shared" ca="1" si="27"/>
        <v>#REF!</v>
      </c>
      <c r="AP49" s="44" t="e">
        <f t="shared" ca="1" si="27"/>
        <v>#REF!</v>
      </c>
      <c r="AQ49" s="44" t="e">
        <f t="shared" ca="1" si="27"/>
        <v>#REF!</v>
      </c>
      <c r="AR49" s="44" t="e">
        <f t="shared" ca="1" si="27"/>
        <v>#REF!</v>
      </c>
      <c r="AS49" s="44" t="e">
        <f t="shared" ca="1" si="27"/>
        <v>#REF!</v>
      </c>
      <c r="AT49" s="44" t="e">
        <f t="shared" ca="1" si="27"/>
        <v>#REF!</v>
      </c>
      <c r="AU49" t="e">
        <f t="shared" ca="1" si="27"/>
        <v>#REF!</v>
      </c>
      <c r="AV49" t="e">
        <f t="shared" ca="1" si="27"/>
        <v>#REF!</v>
      </c>
      <c r="AW49" t="e">
        <f t="shared" ca="1" si="27"/>
        <v>#REF!</v>
      </c>
      <c r="AX49" t="e">
        <f t="shared" ca="1" si="27"/>
        <v>#REF!</v>
      </c>
      <c r="AY49" t="e">
        <f t="shared" ref="AY49:BN64" ca="1" si="39">IF($A49="", "", IF(INDIRECT($A49&amp; "!"&amp; AY$2)="", "", INDIRECT($A49&amp; "!"&amp; AY$2)))</f>
        <v>#REF!</v>
      </c>
      <c r="AZ49" t="e">
        <f t="shared" ca="1" si="28"/>
        <v>#REF!</v>
      </c>
      <c r="BA49" t="e">
        <f t="shared" ca="1" si="28"/>
        <v>#REF!</v>
      </c>
      <c r="BB49" t="e">
        <f t="shared" ca="1" si="28"/>
        <v>#REF!</v>
      </c>
      <c r="BC49" t="e">
        <f t="shared" ca="1" si="28"/>
        <v>#REF!</v>
      </c>
      <c r="BD49" t="e">
        <f t="shared" ca="1" si="28"/>
        <v>#REF!</v>
      </c>
      <c r="BE49" t="e">
        <f t="shared" ca="1" si="28"/>
        <v>#REF!</v>
      </c>
      <c r="BF49" t="e">
        <f t="shared" ca="1" si="28"/>
        <v>#REF!</v>
      </c>
      <c r="BG49" t="e">
        <f t="shared" ca="1" si="28"/>
        <v>#REF!</v>
      </c>
      <c r="BH49" t="e">
        <f t="shared" ca="1" si="28"/>
        <v>#REF!</v>
      </c>
      <c r="BI49" t="e">
        <f t="shared" ca="1" si="28"/>
        <v>#REF!</v>
      </c>
      <c r="BJ49" t="e">
        <f t="shared" ca="1" si="28"/>
        <v>#REF!</v>
      </c>
      <c r="BK49" t="e">
        <f t="shared" ca="1" si="28"/>
        <v>#REF!</v>
      </c>
      <c r="BL49" t="e">
        <f t="shared" ca="1" si="28"/>
        <v>#REF!</v>
      </c>
      <c r="BM49" t="e">
        <f t="shared" ca="1" si="28"/>
        <v>#REF!</v>
      </c>
      <c r="BN49" s="44" t="e">
        <f t="shared" ca="1" si="28"/>
        <v>#REF!</v>
      </c>
      <c r="BO49" s="44" t="e">
        <f t="shared" ref="BO49:CD64" ca="1" si="40">IF($A49="", "", IF(INDIRECT($A49&amp; "!"&amp; BO$2)="", "", INDIRECT($A49&amp; "!"&amp; BO$2)))</f>
        <v>#REF!</v>
      </c>
      <c r="BP49" s="44" t="e">
        <f t="shared" ca="1" si="29"/>
        <v>#REF!</v>
      </c>
      <c r="BQ49" s="44" t="e">
        <f t="shared" ca="1" si="29"/>
        <v>#REF!</v>
      </c>
      <c r="BR49" s="44" t="e">
        <f t="shared" ca="1" si="29"/>
        <v>#REF!</v>
      </c>
      <c r="BS49" s="44" t="e">
        <f t="shared" ca="1" si="29"/>
        <v>#REF!</v>
      </c>
      <c r="BT49" s="44" t="e">
        <f t="shared" ca="1" si="29"/>
        <v>#REF!</v>
      </c>
      <c r="BU49" s="44" t="e">
        <f t="shared" ca="1" si="29"/>
        <v>#REF!</v>
      </c>
      <c r="BV49" s="44" t="e">
        <f t="shared" ca="1" si="29"/>
        <v>#REF!</v>
      </c>
      <c r="BW49" s="44" t="e">
        <f t="shared" ca="1" si="29"/>
        <v>#REF!</v>
      </c>
      <c r="BX49" s="44" t="e">
        <f t="shared" ca="1" si="29"/>
        <v>#REF!</v>
      </c>
      <c r="BY49" s="44" t="e">
        <f t="shared" ca="1" si="29"/>
        <v>#REF!</v>
      </c>
      <c r="BZ49" s="44" t="e">
        <f t="shared" ca="1" si="29"/>
        <v>#REF!</v>
      </c>
      <c r="CA49" s="44" t="e">
        <f t="shared" ca="1" si="29"/>
        <v>#REF!</v>
      </c>
      <c r="CB49" s="44" t="e">
        <f t="shared" ca="1" si="29"/>
        <v>#REF!</v>
      </c>
      <c r="CC49" s="44" t="e">
        <f t="shared" ca="1" si="29"/>
        <v>#REF!</v>
      </c>
      <c r="CD49" s="44" t="e">
        <f t="shared" ca="1" si="29"/>
        <v>#REF!</v>
      </c>
      <c r="CE49" s="44" t="e">
        <f t="shared" ref="CE49:CT64" ca="1" si="41">IF($A49="", "", IF(INDIRECT($A49&amp; "!"&amp; CE$2)="", "", INDIRECT($A49&amp; "!"&amp; CE$2)))</f>
        <v>#REF!</v>
      </c>
      <c r="CF49" s="44" t="e">
        <f t="shared" ca="1" si="30"/>
        <v>#REF!</v>
      </c>
      <c r="CG49" t="e">
        <f t="shared" ca="1" si="30"/>
        <v>#REF!</v>
      </c>
      <c r="CH49" t="e">
        <f t="shared" ca="1" si="30"/>
        <v>#REF!</v>
      </c>
      <c r="CI49" t="e">
        <f t="shared" ca="1" si="30"/>
        <v>#REF!</v>
      </c>
      <c r="CJ49" t="e">
        <f t="shared" ca="1" si="30"/>
        <v>#REF!</v>
      </c>
      <c r="CK49" t="e">
        <f t="shared" ca="1" si="30"/>
        <v>#REF!</v>
      </c>
      <c r="CL49" t="e">
        <f t="shared" ca="1" si="30"/>
        <v>#REF!</v>
      </c>
      <c r="CM49" t="e">
        <f t="shared" ca="1" si="30"/>
        <v>#REF!</v>
      </c>
      <c r="CN49" t="e">
        <f t="shared" ca="1" si="30"/>
        <v>#REF!</v>
      </c>
      <c r="CO49" t="e">
        <f t="shared" ca="1" si="30"/>
        <v>#REF!</v>
      </c>
      <c r="CP49" t="e">
        <f t="shared" ca="1" si="30"/>
        <v>#REF!</v>
      </c>
      <c r="CQ49" t="e">
        <f t="shared" ca="1" si="30"/>
        <v>#REF!</v>
      </c>
      <c r="CR49" t="e">
        <f t="shared" ca="1" si="30"/>
        <v>#REF!</v>
      </c>
      <c r="CS49" t="e">
        <f t="shared" ca="1" si="30"/>
        <v>#REF!</v>
      </c>
      <c r="CT49" t="e">
        <f t="shared" ca="1" si="30"/>
        <v>#REF!</v>
      </c>
      <c r="CU49" t="e">
        <f t="shared" ref="CU49:DJ64" ca="1" si="42">IF($A49="", "", IF(INDIRECT($A49&amp; "!"&amp; CU$2)="", "", INDIRECT($A49&amp; "!"&amp; CU$2)))</f>
        <v>#REF!</v>
      </c>
      <c r="CV49" t="e">
        <f t="shared" ca="1" si="31"/>
        <v>#REF!</v>
      </c>
      <c r="CW49" t="e">
        <f t="shared" ca="1" si="31"/>
        <v>#REF!</v>
      </c>
      <c r="CX49" t="e">
        <f t="shared" ca="1" si="31"/>
        <v>#REF!</v>
      </c>
      <c r="CY49" t="e">
        <f t="shared" ca="1" si="31"/>
        <v>#REF!</v>
      </c>
      <c r="CZ49" s="44" t="e">
        <f t="shared" ca="1" si="31"/>
        <v>#REF!</v>
      </c>
      <c r="DA49" s="44" t="e">
        <f t="shared" ca="1" si="31"/>
        <v>#REF!</v>
      </c>
      <c r="DB49" s="44" t="e">
        <f t="shared" ca="1" si="31"/>
        <v>#REF!</v>
      </c>
      <c r="DC49" s="44" t="e">
        <f t="shared" ca="1" si="31"/>
        <v>#REF!</v>
      </c>
      <c r="DD49" s="44" t="e">
        <f t="shared" ca="1" si="31"/>
        <v>#REF!</v>
      </c>
      <c r="DE49" s="44" t="e">
        <f t="shared" ca="1" si="31"/>
        <v>#REF!</v>
      </c>
      <c r="DF49" s="44" t="e">
        <f t="shared" ca="1" si="31"/>
        <v>#REF!</v>
      </c>
      <c r="DG49" s="44" t="e">
        <f t="shared" ca="1" si="31"/>
        <v>#REF!</v>
      </c>
      <c r="DH49" s="44" t="e">
        <f t="shared" ca="1" si="31"/>
        <v>#REF!</v>
      </c>
      <c r="DI49" s="44" t="e">
        <f t="shared" ca="1" si="31"/>
        <v>#REF!</v>
      </c>
      <c r="DJ49" s="44" t="e">
        <f t="shared" ca="1" si="31"/>
        <v>#REF!</v>
      </c>
      <c r="DK49" s="44" t="e">
        <f t="shared" ref="DK49:DZ64" ca="1" si="43">IF($A49="", "", IF(INDIRECT($A49&amp; "!"&amp; DK$2)="", "", INDIRECT($A49&amp; "!"&amp; DK$2)))</f>
        <v>#REF!</v>
      </c>
      <c r="DL49" s="44" t="e">
        <f t="shared" ca="1" si="32"/>
        <v>#REF!</v>
      </c>
      <c r="DM49" s="44" t="e">
        <f t="shared" ca="1" si="32"/>
        <v>#REF!</v>
      </c>
      <c r="DN49" s="44" t="e">
        <f t="shared" ca="1" si="32"/>
        <v>#REF!</v>
      </c>
      <c r="DO49" s="44" t="e">
        <f t="shared" ca="1" si="32"/>
        <v>#REF!</v>
      </c>
      <c r="DP49" s="44" t="e">
        <f t="shared" ca="1" si="32"/>
        <v>#REF!</v>
      </c>
      <c r="DQ49" s="44" t="e">
        <f t="shared" ca="1" si="32"/>
        <v>#REF!</v>
      </c>
      <c r="DR49" s="44" t="e">
        <f t="shared" ca="1" si="32"/>
        <v>#REF!</v>
      </c>
      <c r="DS49" t="e">
        <f t="shared" ca="1" si="32"/>
        <v>#REF!</v>
      </c>
      <c r="DT49" t="e">
        <f t="shared" ca="1" si="32"/>
        <v>#REF!</v>
      </c>
      <c r="DU49" t="e">
        <f t="shared" ca="1" si="32"/>
        <v>#REF!</v>
      </c>
      <c r="DV49" t="e">
        <f t="shared" ca="1" si="32"/>
        <v>#REF!</v>
      </c>
      <c r="DW49" t="e">
        <f t="shared" ca="1" si="32"/>
        <v>#REF!</v>
      </c>
      <c r="DX49" t="e">
        <f t="shared" ca="1" si="32"/>
        <v>#REF!</v>
      </c>
      <c r="DY49" t="e">
        <f t="shared" ca="1" si="32"/>
        <v>#REF!</v>
      </c>
      <c r="DZ49" t="e">
        <f t="shared" ca="1" si="32"/>
        <v>#REF!</v>
      </c>
      <c r="EA49" t="e">
        <f t="shared" ref="EA49:EP64" ca="1" si="44">IF($A49="", "", IF(INDIRECT($A49&amp; "!"&amp; EA$2)="", "", INDIRECT($A49&amp; "!"&amp; EA$2)))</f>
        <v>#REF!</v>
      </c>
      <c r="EB49" t="e">
        <f t="shared" ca="1" si="33"/>
        <v>#REF!</v>
      </c>
      <c r="EC49" t="e">
        <f t="shared" ca="1" si="33"/>
        <v>#REF!</v>
      </c>
      <c r="ED49" t="e">
        <f t="shared" ca="1" si="33"/>
        <v>#REF!</v>
      </c>
      <c r="EE49" t="e">
        <f t="shared" ca="1" si="33"/>
        <v>#REF!</v>
      </c>
      <c r="EF49" t="e">
        <f t="shared" ca="1" si="33"/>
        <v>#REF!</v>
      </c>
      <c r="EG49" t="e">
        <f t="shared" ca="1" si="33"/>
        <v>#REF!</v>
      </c>
      <c r="EH49" t="e">
        <f t="shared" ca="1" si="33"/>
        <v>#REF!</v>
      </c>
      <c r="EI49" t="e">
        <f t="shared" ca="1" si="33"/>
        <v>#REF!</v>
      </c>
      <c r="EJ49" t="e">
        <f t="shared" ca="1" si="33"/>
        <v>#REF!</v>
      </c>
      <c r="EK49" s="44" t="e">
        <f t="shared" ca="1" si="33"/>
        <v>#REF!</v>
      </c>
      <c r="EL49" s="44" t="e">
        <f t="shared" ca="1" si="33"/>
        <v>#REF!</v>
      </c>
      <c r="EM49" s="44" t="e">
        <f t="shared" ca="1" si="33"/>
        <v>#REF!</v>
      </c>
      <c r="EN49" s="44" t="e">
        <f t="shared" ca="1" si="33"/>
        <v>#REF!</v>
      </c>
      <c r="EO49" s="44" t="e">
        <f t="shared" ca="1" si="33"/>
        <v>#REF!</v>
      </c>
      <c r="EP49" s="44" t="e">
        <f t="shared" ca="1" si="33"/>
        <v>#REF!</v>
      </c>
      <c r="EQ49" s="44" t="e">
        <f t="shared" ref="EQ49:FF64" ca="1" si="45">IF($A49="", "", IF(INDIRECT($A49&amp; "!"&amp; EQ$2)="", "", INDIRECT($A49&amp; "!"&amp; EQ$2)))</f>
        <v>#REF!</v>
      </c>
      <c r="ER49" s="44" t="e">
        <f t="shared" ca="1" si="34"/>
        <v>#REF!</v>
      </c>
      <c r="ES49" s="44" t="e">
        <f t="shared" ca="1" si="34"/>
        <v>#REF!</v>
      </c>
      <c r="ET49" s="44" t="e">
        <f t="shared" ca="1" si="34"/>
        <v>#REF!</v>
      </c>
      <c r="EU49" s="44" t="e">
        <f t="shared" ca="1" si="34"/>
        <v>#REF!</v>
      </c>
      <c r="EV49" s="44" t="e">
        <f t="shared" ca="1" si="34"/>
        <v>#REF!</v>
      </c>
      <c r="EW49" s="44" t="e">
        <f t="shared" ca="1" si="34"/>
        <v>#REF!</v>
      </c>
      <c r="EX49" s="44" t="e">
        <f t="shared" ca="1" si="34"/>
        <v>#REF!</v>
      </c>
      <c r="EY49" s="44" t="e">
        <f t="shared" ca="1" si="34"/>
        <v>#REF!</v>
      </c>
      <c r="EZ49" s="44" t="e">
        <f t="shared" ca="1" si="34"/>
        <v>#REF!</v>
      </c>
      <c r="FA49" s="44" t="e">
        <f t="shared" ca="1" si="34"/>
        <v>#REF!</v>
      </c>
      <c r="FB49" s="44" t="e">
        <f t="shared" ca="1" si="34"/>
        <v>#REF!</v>
      </c>
      <c r="FC49" s="56" t="e">
        <f t="shared" ca="1" si="34"/>
        <v>#REF!</v>
      </c>
      <c r="FD49" t="e">
        <f t="shared" ca="1" si="34"/>
        <v>#REF!</v>
      </c>
      <c r="FE49" t="e">
        <f t="shared" ca="1" si="34"/>
        <v>#REF!</v>
      </c>
      <c r="FF49" t="e">
        <f t="shared" ca="1" si="34"/>
        <v>#REF!</v>
      </c>
      <c r="FG49" t="e">
        <f t="shared" ref="FG49:FT64" ca="1" si="46">IF($A49="", "", IF(INDIRECT($A49&amp; "!"&amp; FG$2)="", "", INDIRECT($A49&amp; "!"&amp; FG$2)))</f>
        <v>#REF!</v>
      </c>
      <c r="FH49" t="e">
        <f t="shared" ca="1" si="35"/>
        <v>#REF!</v>
      </c>
      <c r="FI49" t="e">
        <f t="shared" ca="1" si="35"/>
        <v>#REF!</v>
      </c>
      <c r="FJ49" t="e">
        <f t="shared" ca="1" si="35"/>
        <v>#REF!</v>
      </c>
      <c r="FK49" t="e">
        <f t="shared" ca="1" si="35"/>
        <v>#REF!</v>
      </c>
      <c r="FL49" t="e">
        <f t="shared" ca="1" si="35"/>
        <v>#REF!</v>
      </c>
      <c r="FM49" t="e">
        <f t="shared" ca="1" si="35"/>
        <v>#REF!</v>
      </c>
      <c r="FN49" t="e">
        <f t="shared" ca="1" si="35"/>
        <v>#REF!</v>
      </c>
      <c r="FO49" t="e">
        <f t="shared" ca="1" si="35"/>
        <v>#REF!</v>
      </c>
      <c r="FP49" t="e">
        <f t="shared" ca="1" si="35"/>
        <v>#REF!</v>
      </c>
      <c r="FQ49" t="e">
        <f t="shared" ca="1" si="35"/>
        <v>#REF!</v>
      </c>
      <c r="FR49" t="e">
        <f t="shared" ca="1" si="35"/>
        <v>#REF!</v>
      </c>
      <c r="FS49" t="e">
        <f t="shared" ca="1" si="35"/>
        <v>#REF!</v>
      </c>
      <c r="FT49" t="e">
        <f t="shared" ca="1" si="35"/>
        <v>#REF!</v>
      </c>
    </row>
    <row r="50" spans="1:176" x14ac:dyDescent="0.35">
      <c r="A50" s="240">
        <v>209</v>
      </c>
      <c r="B50" t="e">
        <f t="shared" ca="1" si="37"/>
        <v>#REF!</v>
      </c>
      <c r="C50" t="e">
        <f t="shared" ca="1" si="37"/>
        <v>#REF!</v>
      </c>
      <c r="D50" t="e">
        <f t="shared" ca="1" si="37"/>
        <v>#REF!</v>
      </c>
      <c r="E50" t="e">
        <f t="shared" ca="1" si="37"/>
        <v>#REF!</v>
      </c>
      <c r="F50" t="e">
        <f t="shared" ca="1" si="13"/>
        <v>#REF!</v>
      </c>
      <c r="G50" t="e">
        <f t="shared" ca="1" si="13"/>
        <v>#REF!</v>
      </c>
      <c r="H50" t="e">
        <f t="shared" ca="1" si="13"/>
        <v>#REF!</v>
      </c>
      <c r="I50" t="e">
        <f t="shared" ca="1" si="37"/>
        <v>#REF!</v>
      </c>
      <c r="J50" t="e">
        <f t="shared" ca="1" si="37"/>
        <v>#REF!</v>
      </c>
      <c r="K50" t="e">
        <f t="shared" ca="1" si="37"/>
        <v>#REF!</v>
      </c>
      <c r="L50" t="e">
        <f t="shared" ca="1" si="37"/>
        <v>#REF!</v>
      </c>
      <c r="M50" t="e">
        <f t="shared" ca="1" si="37"/>
        <v>#REF!</v>
      </c>
      <c r="N50" t="e">
        <f t="shared" ca="1" si="37"/>
        <v>#REF!</v>
      </c>
      <c r="O50" t="e">
        <f t="shared" ca="1" si="37"/>
        <v>#REF!</v>
      </c>
      <c r="P50" t="e">
        <f t="shared" ca="1" si="37"/>
        <v>#REF!</v>
      </c>
      <c r="Q50" t="e">
        <f t="shared" ca="1" si="37"/>
        <v>#REF!</v>
      </c>
      <c r="R50" t="e">
        <f t="shared" ca="1" si="37"/>
        <v>#REF!</v>
      </c>
      <c r="S50" t="e">
        <f t="shared" ca="1" si="36"/>
        <v>#REF!</v>
      </c>
      <c r="T50" t="e">
        <f t="shared" ref="T50:AH50" ca="1" si="47">IF($A50="", "", IF(INDIRECT($A50&amp; "!"&amp; T$2)="", "", INDIRECT($A50&amp; "!"&amp; T$2)))</f>
        <v>#REF!</v>
      </c>
      <c r="U50" t="e">
        <f t="shared" ca="1" si="47"/>
        <v>#REF!</v>
      </c>
      <c r="V50" t="e">
        <f t="shared" ca="1" si="47"/>
        <v>#REF!</v>
      </c>
      <c r="W50" t="e">
        <f t="shared" ca="1" si="47"/>
        <v>#REF!</v>
      </c>
      <c r="X50" t="e">
        <f t="shared" ca="1" si="47"/>
        <v>#REF!</v>
      </c>
      <c r="Y50" t="e">
        <f t="shared" ca="1" si="47"/>
        <v>#REF!</v>
      </c>
      <c r="Z50" t="e">
        <f t="shared" ca="1" si="47"/>
        <v>#REF!</v>
      </c>
      <c r="AA50" t="e">
        <f t="shared" ca="1" si="47"/>
        <v>#REF!</v>
      </c>
      <c r="AB50" s="44" t="e">
        <f t="shared" ca="1" si="47"/>
        <v>#REF!</v>
      </c>
      <c r="AC50" s="44" t="e">
        <f t="shared" ca="1" si="47"/>
        <v>#REF!</v>
      </c>
      <c r="AD50" s="44" t="e">
        <f t="shared" ca="1" si="47"/>
        <v>#REF!</v>
      </c>
      <c r="AE50" s="44" t="e">
        <f t="shared" ca="1" si="47"/>
        <v>#REF!</v>
      </c>
      <c r="AF50" s="44" t="e">
        <f t="shared" ca="1" si="47"/>
        <v>#REF!</v>
      </c>
      <c r="AG50" s="44" t="e">
        <f t="shared" ca="1" si="47"/>
        <v>#REF!</v>
      </c>
      <c r="AH50" s="44" t="e">
        <f t="shared" ca="1" si="47"/>
        <v>#REF!</v>
      </c>
      <c r="AI50" s="44" t="e">
        <f t="shared" ca="1" si="38"/>
        <v>#REF!</v>
      </c>
      <c r="AJ50" s="44" t="e">
        <f t="shared" ca="1" si="38"/>
        <v>#REF!</v>
      </c>
      <c r="AK50" s="44" t="e">
        <f t="shared" ca="1" si="38"/>
        <v>#REF!</v>
      </c>
      <c r="AL50" s="44" t="e">
        <f t="shared" ca="1" si="38"/>
        <v>#REF!</v>
      </c>
      <c r="AM50" s="44" t="e">
        <f t="shared" ca="1" si="38"/>
        <v>#REF!</v>
      </c>
      <c r="AN50" s="44" t="e">
        <f t="shared" ca="1" si="38"/>
        <v>#REF!</v>
      </c>
      <c r="AO50" s="44" t="e">
        <f t="shared" ca="1" si="38"/>
        <v>#REF!</v>
      </c>
      <c r="AP50" s="44" t="e">
        <f t="shared" ca="1" si="38"/>
        <v>#REF!</v>
      </c>
      <c r="AQ50" s="44" t="e">
        <f t="shared" ca="1" si="38"/>
        <v>#REF!</v>
      </c>
      <c r="AR50" s="44" t="e">
        <f t="shared" ca="1" si="38"/>
        <v>#REF!</v>
      </c>
      <c r="AS50" s="44" t="e">
        <f t="shared" ca="1" si="38"/>
        <v>#REF!</v>
      </c>
      <c r="AT50" s="44" t="e">
        <f t="shared" ca="1" si="38"/>
        <v>#REF!</v>
      </c>
      <c r="AU50" t="e">
        <f t="shared" ca="1" si="38"/>
        <v>#REF!</v>
      </c>
      <c r="AV50" t="e">
        <f t="shared" ca="1" si="38"/>
        <v>#REF!</v>
      </c>
      <c r="AW50" t="e">
        <f t="shared" ca="1" si="38"/>
        <v>#REF!</v>
      </c>
      <c r="AX50" t="e">
        <f t="shared" ca="1" si="38"/>
        <v>#REF!</v>
      </c>
      <c r="AY50" t="e">
        <f t="shared" ca="1" si="39"/>
        <v>#REF!</v>
      </c>
      <c r="AZ50" t="e">
        <f t="shared" ca="1" si="39"/>
        <v>#REF!</v>
      </c>
      <c r="BA50" t="e">
        <f t="shared" ca="1" si="39"/>
        <v>#REF!</v>
      </c>
      <c r="BB50" t="e">
        <f t="shared" ca="1" si="39"/>
        <v>#REF!</v>
      </c>
      <c r="BC50" t="e">
        <f t="shared" ca="1" si="39"/>
        <v>#REF!</v>
      </c>
      <c r="BD50" t="e">
        <f t="shared" ca="1" si="39"/>
        <v>#REF!</v>
      </c>
      <c r="BE50" t="e">
        <f t="shared" ca="1" si="39"/>
        <v>#REF!</v>
      </c>
      <c r="BF50" t="e">
        <f t="shared" ca="1" si="39"/>
        <v>#REF!</v>
      </c>
      <c r="BG50" t="e">
        <f t="shared" ca="1" si="39"/>
        <v>#REF!</v>
      </c>
      <c r="BH50" t="e">
        <f t="shared" ca="1" si="39"/>
        <v>#REF!</v>
      </c>
      <c r="BI50" t="e">
        <f t="shared" ca="1" si="39"/>
        <v>#REF!</v>
      </c>
      <c r="BJ50" t="e">
        <f t="shared" ca="1" si="39"/>
        <v>#REF!</v>
      </c>
      <c r="BK50" t="e">
        <f t="shared" ca="1" si="39"/>
        <v>#REF!</v>
      </c>
      <c r="BL50" t="e">
        <f t="shared" ca="1" si="39"/>
        <v>#REF!</v>
      </c>
      <c r="BM50" t="e">
        <f t="shared" ca="1" si="39"/>
        <v>#REF!</v>
      </c>
      <c r="BN50" s="44" t="e">
        <f t="shared" ca="1" si="39"/>
        <v>#REF!</v>
      </c>
      <c r="BO50" s="44" t="e">
        <f t="shared" ca="1" si="40"/>
        <v>#REF!</v>
      </c>
      <c r="BP50" s="44" t="e">
        <f t="shared" ca="1" si="40"/>
        <v>#REF!</v>
      </c>
      <c r="BQ50" s="44" t="e">
        <f t="shared" ca="1" si="40"/>
        <v>#REF!</v>
      </c>
      <c r="BR50" s="44" t="e">
        <f t="shared" ca="1" si="40"/>
        <v>#REF!</v>
      </c>
      <c r="BS50" s="44" t="e">
        <f t="shared" ca="1" si="40"/>
        <v>#REF!</v>
      </c>
      <c r="BT50" s="44" t="e">
        <f t="shared" ca="1" si="40"/>
        <v>#REF!</v>
      </c>
      <c r="BU50" s="44" t="e">
        <f t="shared" ca="1" si="40"/>
        <v>#REF!</v>
      </c>
      <c r="BV50" s="44" t="e">
        <f t="shared" ca="1" si="40"/>
        <v>#REF!</v>
      </c>
      <c r="BW50" s="44" t="e">
        <f t="shared" ca="1" si="40"/>
        <v>#REF!</v>
      </c>
      <c r="BX50" s="44" t="e">
        <f t="shared" ca="1" si="40"/>
        <v>#REF!</v>
      </c>
      <c r="BY50" s="44" t="e">
        <f t="shared" ca="1" si="40"/>
        <v>#REF!</v>
      </c>
      <c r="BZ50" s="44" t="e">
        <f t="shared" ca="1" si="40"/>
        <v>#REF!</v>
      </c>
      <c r="CA50" s="44" t="e">
        <f t="shared" ca="1" si="40"/>
        <v>#REF!</v>
      </c>
      <c r="CB50" s="44" t="e">
        <f t="shared" ca="1" si="40"/>
        <v>#REF!</v>
      </c>
      <c r="CC50" s="44" t="e">
        <f t="shared" ca="1" si="40"/>
        <v>#REF!</v>
      </c>
      <c r="CD50" s="44" t="e">
        <f t="shared" ca="1" si="40"/>
        <v>#REF!</v>
      </c>
      <c r="CE50" s="44" t="e">
        <f t="shared" ca="1" si="41"/>
        <v>#REF!</v>
      </c>
      <c r="CF50" s="44" t="e">
        <f t="shared" ca="1" si="41"/>
        <v>#REF!</v>
      </c>
      <c r="CG50" t="e">
        <f t="shared" ca="1" si="41"/>
        <v>#REF!</v>
      </c>
      <c r="CH50" t="e">
        <f t="shared" ca="1" si="41"/>
        <v>#REF!</v>
      </c>
      <c r="CI50" t="e">
        <f t="shared" ca="1" si="41"/>
        <v>#REF!</v>
      </c>
      <c r="CJ50" t="e">
        <f t="shared" ca="1" si="41"/>
        <v>#REF!</v>
      </c>
      <c r="CK50" t="e">
        <f t="shared" ca="1" si="41"/>
        <v>#REF!</v>
      </c>
      <c r="CL50" t="e">
        <f t="shared" ca="1" si="41"/>
        <v>#REF!</v>
      </c>
      <c r="CM50" t="e">
        <f t="shared" ca="1" si="41"/>
        <v>#REF!</v>
      </c>
      <c r="CN50" t="e">
        <f t="shared" ca="1" si="41"/>
        <v>#REF!</v>
      </c>
      <c r="CO50" t="e">
        <f t="shared" ca="1" si="41"/>
        <v>#REF!</v>
      </c>
      <c r="CP50" t="e">
        <f t="shared" ca="1" si="41"/>
        <v>#REF!</v>
      </c>
      <c r="CQ50" t="e">
        <f t="shared" ca="1" si="41"/>
        <v>#REF!</v>
      </c>
      <c r="CR50" t="e">
        <f t="shared" ca="1" si="41"/>
        <v>#REF!</v>
      </c>
      <c r="CS50" t="e">
        <f t="shared" ca="1" si="41"/>
        <v>#REF!</v>
      </c>
      <c r="CT50" t="e">
        <f t="shared" ca="1" si="41"/>
        <v>#REF!</v>
      </c>
      <c r="CU50" t="e">
        <f t="shared" ca="1" si="42"/>
        <v>#REF!</v>
      </c>
      <c r="CV50" t="e">
        <f t="shared" ca="1" si="42"/>
        <v>#REF!</v>
      </c>
      <c r="CW50" t="e">
        <f t="shared" ca="1" si="42"/>
        <v>#REF!</v>
      </c>
      <c r="CX50" t="e">
        <f t="shared" ca="1" si="42"/>
        <v>#REF!</v>
      </c>
      <c r="CY50" t="e">
        <f t="shared" ca="1" si="42"/>
        <v>#REF!</v>
      </c>
      <c r="CZ50" s="44" t="e">
        <f t="shared" ca="1" si="42"/>
        <v>#REF!</v>
      </c>
      <c r="DA50" s="44" t="e">
        <f t="shared" ca="1" si="42"/>
        <v>#REF!</v>
      </c>
      <c r="DB50" s="44" t="e">
        <f t="shared" ca="1" si="42"/>
        <v>#REF!</v>
      </c>
      <c r="DC50" s="44" t="e">
        <f t="shared" ca="1" si="42"/>
        <v>#REF!</v>
      </c>
      <c r="DD50" s="44" t="e">
        <f t="shared" ca="1" si="42"/>
        <v>#REF!</v>
      </c>
      <c r="DE50" s="44" t="e">
        <f t="shared" ca="1" si="42"/>
        <v>#REF!</v>
      </c>
      <c r="DF50" s="44" t="e">
        <f t="shared" ca="1" si="42"/>
        <v>#REF!</v>
      </c>
      <c r="DG50" s="44" t="e">
        <f t="shared" ca="1" si="42"/>
        <v>#REF!</v>
      </c>
      <c r="DH50" s="44" t="e">
        <f t="shared" ca="1" si="42"/>
        <v>#REF!</v>
      </c>
      <c r="DI50" s="44" t="e">
        <f t="shared" ca="1" si="42"/>
        <v>#REF!</v>
      </c>
      <c r="DJ50" s="44" t="e">
        <f t="shared" ca="1" si="42"/>
        <v>#REF!</v>
      </c>
      <c r="DK50" s="44" t="e">
        <f t="shared" ca="1" si="43"/>
        <v>#REF!</v>
      </c>
      <c r="DL50" s="44" t="e">
        <f t="shared" ca="1" si="43"/>
        <v>#REF!</v>
      </c>
      <c r="DM50" s="44" t="e">
        <f t="shared" ca="1" si="43"/>
        <v>#REF!</v>
      </c>
      <c r="DN50" s="44" t="e">
        <f t="shared" ca="1" si="43"/>
        <v>#REF!</v>
      </c>
      <c r="DO50" s="44" t="e">
        <f t="shared" ca="1" si="43"/>
        <v>#REF!</v>
      </c>
      <c r="DP50" s="44" t="e">
        <f t="shared" ca="1" si="43"/>
        <v>#REF!</v>
      </c>
      <c r="DQ50" s="44" t="e">
        <f t="shared" ca="1" si="43"/>
        <v>#REF!</v>
      </c>
      <c r="DR50" s="44" t="e">
        <f t="shared" ca="1" si="43"/>
        <v>#REF!</v>
      </c>
      <c r="DS50" t="e">
        <f t="shared" ca="1" si="43"/>
        <v>#REF!</v>
      </c>
      <c r="DT50" t="e">
        <f t="shared" ca="1" si="43"/>
        <v>#REF!</v>
      </c>
      <c r="DU50" t="e">
        <f t="shared" ca="1" si="43"/>
        <v>#REF!</v>
      </c>
      <c r="DV50" t="e">
        <f t="shared" ca="1" si="43"/>
        <v>#REF!</v>
      </c>
      <c r="DW50" t="e">
        <f t="shared" ca="1" si="43"/>
        <v>#REF!</v>
      </c>
      <c r="DX50" t="e">
        <f t="shared" ca="1" si="43"/>
        <v>#REF!</v>
      </c>
      <c r="DY50" t="e">
        <f t="shared" ca="1" si="43"/>
        <v>#REF!</v>
      </c>
      <c r="DZ50" t="e">
        <f t="shared" ca="1" si="43"/>
        <v>#REF!</v>
      </c>
      <c r="EA50" t="e">
        <f t="shared" ca="1" si="44"/>
        <v>#REF!</v>
      </c>
      <c r="EB50" t="e">
        <f t="shared" ca="1" si="44"/>
        <v>#REF!</v>
      </c>
      <c r="EC50" t="e">
        <f t="shared" ca="1" si="44"/>
        <v>#REF!</v>
      </c>
      <c r="ED50" t="e">
        <f t="shared" ca="1" si="44"/>
        <v>#REF!</v>
      </c>
      <c r="EE50" t="e">
        <f t="shared" ca="1" si="44"/>
        <v>#REF!</v>
      </c>
      <c r="EF50" t="e">
        <f t="shared" ca="1" si="44"/>
        <v>#REF!</v>
      </c>
      <c r="EG50" t="e">
        <f t="shared" ca="1" si="44"/>
        <v>#REF!</v>
      </c>
      <c r="EH50" t="e">
        <f t="shared" ca="1" si="44"/>
        <v>#REF!</v>
      </c>
      <c r="EI50" t="e">
        <f t="shared" ca="1" si="44"/>
        <v>#REF!</v>
      </c>
      <c r="EJ50" t="e">
        <f t="shared" ca="1" si="44"/>
        <v>#REF!</v>
      </c>
      <c r="EK50" s="44" t="e">
        <f t="shared" ca="1" si="44"/>
        <v>#REF!</v>
      </c>
      <c r="EL50" s="44" t="e">
        <f t="shared" ca="1" si="44"/>
        <v>#REF!</v>
      </c>
      <c r="EM50" s="44" t="e">
        <f t="shared" ca="1" si="44"/>
        <v>#REF!</v>
      </c>
      <c r="EN50" s="44" t="e">
        <f t="shared" ca="1" si="44"/>
        <v>#REF!</v>
      </c>
      <c r="EO50" s="44" t="e">
        <f t="shared" ca="1" si="44"/>
        <v>#REF!</v>
      </c>
      <c r="EP50" s="44" t="e">
        <f t="shared" ca="1" si="44"/>
        <v>#REF!</v>
      </c>
      <c r="EQ50" s="44" t="e">
        <f t="shared" ca="1" si="45"/>
        <v>#REF!</v>
      </c>
      <c r="ER50" s="44" t="e">
        <f t="shared" ca="1" si="45"/>
        <v>#REF!</v>
      </c>
      <c r="ES50" s="44" t="e">
        <f t="shared" ca="1" si="45"/>
        <v>#REF!</v>
      </c>
      <c r="ET50" s="44" t="e">
        <f t="shared" ca="1" si="45"/>
        <v>#REF!</v>
      </c>
      <c r="EU50" s="44" t="e">
        <f t="shared" ca="1" si="45"/>
        <v>#REF!</v>
      </c>
      <c r="EV50" s="44" t="e">
        <f t="shared" ca="1" si="45"/>
        <v>#REF!</v>
      </c>
      <c r="EW50" s="44" t="e">
        <f t="shared" ca="1" si="45"/>
        <v>#REF!</v>
      </c>
      <c r="EX50" s="44" t="e">
        <f t="shared" ca="1" si="45"/>
        <v>#REF!</v>
      </c>
      <c r="EY50" s="44" t="e">
        <f t="shared" ca="1" si="45"/>
        <v>#REF!</v>
      </c>
      <c r="EZ50" s="44" t="e">
        <f t="shared" ca="1" si="45"/>
        <v>#REF!</v>
      </c>
      <c r="FA50" s="44" t="e">
        <f t="shared" ca="1" si="45"/>
        <v>#REF!</v>
      </c>
      <c r="FB50" s="44" t="e">
        <f t="shared" ca="1" si="45"/>
        <v>#REF!</v>
      </c>
      <c r="FC50" s="56" t="e">
        <f t="shared" ca="1" si="45"/>
        <v>#REF!</v>
      </c>
      <c r="FD50" t="e">
        <f t="shared" ca="1" si="45"/>
        <v>#REF!</v>
      </c>
      <c r="FE50" t="e">
        <f t="shared" ca="1" si="45"/>
        <v>#REF!</v>
      </c>
      <c r="FF50" t="e">
        <f t="shared" ca="1" si="45"/>
        <v>#REF!</v>
      </c>
      <c r="FG50" t="e">
        <f t="shared" ca="1" si="46"/>
        <v>#REF!</v>
      </c>
      <c r="FH50" t="e">
        <f t="shared" ca="1" si="46"/>
        <v>#REF!</v>
      </c>
      <c r="FI50" t="e">
        <f t="shared" ca="1" si="46"/>
        <v>#REF!</v>
      </c>
      <c r="FJ50" t="e">
        <f t="shared" ca="1" si="46"/>
        <v>#REF!</v>
      </c>
      <c r="FK50" t="e">
        <f t="shared" ca="1" si="46"/>
        <v>#REF!</v>
      </c>
      <c r="FL50" t="e">
        <f t="shared" ca="1" si="46"/>
        <v>#REF!</v>
      </c>
      <c r="FM50" t="e">
        <f t="shared" ca="1" si="46"/>
        <v>#REF!</v>
      </c>
      <c r="FN50" t="e">
        <f t="shared" ca="1" si="46"/>
        <v>#REF!</v>
      </c>
      <c r="FO50" t="e">
        <f t="shared" ca="1" si="46"/>
        <v>#REF!</v>
      </c>
      <c r="FP50" t="e">
        <f t="shared" ca="1" si="46"/>
        <v>#REF!</v>
      </c>
      <c r="FQ50" t="e">
        <f t="shared" ca="1" si="46"/>
        <v>#REF!</v>
      </c>
      <c r="FR50" t="e">
        <f t="shared" ca="1" si="46"/>
        <v>#REF!</v>
      </c>
      <c r="FS50" t="e">
        <f t="shared" ca="1" si="46"/>
        <v>#REF!</v>
      </c>
      <c r="FT50" t="e">
        <f t="shared" ca="1" si="46"/>
        <v>#REF!</v>
      </c>
    </row>
    <row r="51" spans="1:176" ht="15" thickBot="1" x14ac:dyDescent="0.4">
      <c r="A51" s="339">
        <v>231</v>
      </c>
      <c r="B51" t="e">
        <f t="shared" ca="1" si="37"/>
        <v>#REF!</v>
      </c>
      <c r="C51" t="e">
        <f t="shared" ca="1" si="37"/>
        <v>#REF!</v>
      </c>
      <c r="D51" t="e">
        <f t="shared" ca="1" si="37"/>
        <v>#REF!</v>
      </c>
      <c r="E51" t="e">
        <f t="shared" ca="1" si="37"/>
        <v>#REF!</v>
      </c>
      <c r="F51" t="e">
        <f t="shared" ca="1" si="13"/>
        <v>#REF!</v>
      </c>
      <c r="G51" t="e">
        <f t="shared" ca="1" si="13"/>
        <v>#REF!</v>
      </c>
      <c r="H51" t="e">
        <f t="shared" ca="1" si="13"/>
        <v>#REF!</v>
      </c>
      <c r="I51" t="e">
        <f t="shared" ca="1" si="37"/>
        <v>#REF!</v>
      </c>
      <c r="J51" t="e">
        <f t="shared" ca="1" si="37"/>
        <v>#REF!</v>
      </c>
      <c r="K51" t="e">
        <f t="shared" ca="1" si="37"/>
        <v>#REF!</v>
      </c>
      <c r="L51" t="e">
        <f t="shared" ca="1" si="37"/>
        <v>#REF!</v>
      </c>
      <c r="M51" t="e">
        <f t="shared" ca="1" si="37"/>
        <v>#REF!</v>
      </c>
      <c r="N51" t="e">
        <f t="shared" ca="1" si="37"/>
        <v>#REF!</v>
      </c>
      <c r="O51" t="e">
        <f t="shared" ca="1" si="37"/>
        <v>#REF!</v>
      </c>
      <c r="P51" t="e">
        <f t="shared" ca="1" si="37"/>
        <v>#REF!</v>
      </c>
      <c r="Q51" t="e">
        <f t="shared" ca="1" si="37"/>
        <v>#REF!</v>
      </c>
      <c r="R51" t="e">
        <f t="shared" ca="1" si="37"/>
        <v>#REF!</v>
      </c>
      <c r="S51" t="e">
        <f t="shared" ca="1" si="37"/>
        <v>#REF!</v>
      </c>
      <c r="T51" t="e">
        <f t="shared" ref="T51:AI66" ca="1" si="48">IF($A51="", "", IF(INDIRECT($A51&amp; "!"&amp; T$2)="", "", INDIRECT($A51&amp; "!"&amp; T$2)))</f>
        <v>#REF!</v>
      </c>
      <c r="U51" t="e">
        <f t="shared" ca="1" si="48"/>
        <v>#REF!</v>
      </c>
      <c r="V51" t="e">
        <f t="shared" ca="1" si="48"/>
        <v>#REF!</v>
      </c>
      <c r="W51" t="e">
        <f t="shared" ca="1" si="48"/>
        <v>#REF!</v>
      </c>
      <c r="X51" t="e">
        <f t="shared" ca="1" si="48"/>
        <v>#REF!</v>
      </c>
      <c r="Y51" t="e">
        <f t="shared" ca="1" si="48"/>
        <v>#REF!</v>
      </c>
      <c r="Z51" t="e">
        <f t="shared" ca="1" si="48"/>
        <v>#REF!</v>
      </c>
      <c r="AA51" t="e">
        <f t="shared" ca="1" si="48"/>
        <v>#REF!</v>
      </c>
      <c r="AB51" s="44" t="e">
        <f t="shared" ca="1" si="48"/>
        <v>#REF!</v>
      </c>
      <c r="AC51" s="44" t="e">
        <f t="shared" ca="1" si="48"/>
        <v>#REF!</v>
      </c>
      <c r="AD51" s="44" t="e">
        <f t="shared" ca="1" si="48"/>
        <v>#REF!</v>
      </c>
      <c r="AE51" s="44" t="e">
        <f t="shared" ca="1" si="48"/>
        <v>#REF!</v>
      </c>
      <c r="AF51" s="44" t="e">
        <f t="shared" ca="1" si="48"/>
        <v>#REF!</v>
      </c>
      <c r="AG51" s="44" t="e">
        <f t="shared" ca="1" si="48"/>
        <v>#REF!</v>
      </c>
      <c r="AH51" s="44" t="e">
        <f t="shared" ca="1" si="48"/>
        <v>#REF!</v>
      </c>
      <c r="AI51" s="44" t="e">
        <f t="shared" ca="1" si="38"/>
        <v>#REF!</v>
      </c>
      <c r="AJ51" s="44" t="e">
        <f t="shared" ca="1" si="38"/>
        <v>#REF!</v>
      </c>
      <c r="AK51" s="44" t="e">
        <f t="shared" ca="1" si="38"/>
        <v>#REF!</v>
      </c>
      <c r="AL51" s="44" t="e">
        <f t="shared" ca="1" si="38"/>
        <v>#REF!</v>
      </c>
      <c r="AM51" s="44" t="e">
        <f t="shared" ca="1" si="38"/>
        <v>#REF!</v>
      </c>
      <c r="AN51" s="44" t="e">
        <f t="shared" ca="1" si="38"/>
        <v>#REF!</v>
      </c>
      <c r="AO51" s="44" t="e">
        <f t="shared" ca="1" si="38"/>
        <v>#REF!</v>
      </c>
      <c r="AP51" s="44" t="e">
        <f t="shared" ca="1" si="38"/>
        <v>#REF!</v>
      </c>
      <c r="AQ51" s="44" t="e">
        <f t="shared" ca="1" si="38"/>
        <v>#REF!</v>
      </c>
      <c r="AR51" s="44" t="e">
        <f t="shared" ca="1" si="38"/>
        <v>#REF!</v>
      </c>
      <c r="AS51" s="44" t="e">
        <f t="shared" ca="1" si="38"/>
        <v>#REF!</v>
      </c>
      <c r="AT51" s="44" t="e">
        <f t="shared" ca="1" si="38"/>
        <v>#REF!</v>
      </c>
      <c r="AU51" t="e">
        <f t="shared" ca="1" si="38"/>
        <v>#REF!</v>
      </c>
      <c r="AV51" t="e">
        <f t="shared" ca="1" si="38"/>
        <v>#REF!</v>
      </c>
      <c r="AW51" t="e">
        <f t="shared" ca="1" si="38"/>
        <v>#REF!</v>
      </c>
      <c r="AX51" t="e">
        <f t="shared" ca="1" si="38"/>
        <v>#REF!</v>
      </c>
      <c r="AY51" t="e">
        <f t="shared" ca="1" si="39"/>
        <v>#REF!</v>
      </c>
      <c r="AZ51" t="e">
        <f t="shared" ca="1" si="39"/>
        <v>#REF!</v>
      </c>
      <c r="BA51" t="e">
        <f t="shared" ca="1" si="39"/>
        <v>#REF!</v>
      </c>
      <c r="BB51" t="e">
        <f t="shared" ca="1" si="39"/>
        <v>#REF!</v>
      </c>
      <c r="BC51" t="e">
        <f t="shared" ca="1" si="39"/>
        <v>#REF!</v>
      </c>
      <c r="BD51" t="e">
        <f t="shared" ca="1" si="39"/>
        <v>#REF!</v>
      </c>
      <c r="BE51" t="e">
        <f t="shared" ca="1" si="39"/>
        <v>#REF!</v>
      </c>
      <c r="BF51" t="e">
        <f t="shared" ca="1" si="39"/>
        <v>#REF!</v>
      </c>
      <c r="BG51" t="e">
        <f t="shared" ca="1" si="39"/>
        <v>#REF!</v>
      </c>
      <c r="BH51" t="e">
        <f t="shared" ca="1" si="39"/>
        <v>#REF!</v>
      </c>
      <c r="BI51" t="e">
        <f t="shared" ca="1" si="39"/>
        <v>#REF!</v>
      </c>
      <c r="BJ51" t="e">
        <f t="shared" ca="1" si="39"/>
        <v>#REF!</v>
      </c>
      <c r="BK51" t="e">
        <f t="shared" ca="1" si="39"/>
        <v>#REF!</v>
      </c>
      <c r="BL51" t="e">
        <f t="shared" ca="1" si="39"/>
        <v>#REF!</v>
      </c>
      <c r="BM51" t="e">
        <f t="shared" ca="1" si="39"/>
        <v>#REF!</v>
      </c>
      <c r="BN51" s="44" t="e">
        <f t="shared" ca="1" si="39"/>
        <v>#REF!</v>
      </c>
      <c r="BO51" s="44" t="e">
        <f t="shared" ca="1" si="40"/>
        <v>#REF!</v>
      </c>
      <c r="BP51" s="44" t="e">
        <f t="shared" ca="1" si="40"/>
        <v>#REF!</v>
      </c>
      <c r="BQ51" s="44" t="e">
        <f t="shared" ca="1" si="40"/>
        <v>#REF!</v>
      </c>
      <c r="BR51" s="44" t="e">
        <f t="shared" ca="1" si="40"/>
        <v>#REF!</v>
      </c>
      <c r="BS51" s="44" t="e">
        <f t="shared" ca="1" si="40"/>
        <v>#REF!</v>
      </c>
      <c r="BT51" s="44" t="e">
        <f t="shared" ca="1" si="40"/>
        <v>#REF!</v>
      </c>
      <c r="BU51" s="44" t="e">
        <f t="shared" ca="1" si="40"/>
        <v>#REF!</v>
      </c>
      <c r="BV51" s="44" t="e">
        <f t="shared" ca="1" si="40"/>
        <v>#REF!</v>
      </c>
      <c r="BW51" s="44" t="e">
        <f t="shared" ca="1" si="40"/>
        <v>#REF!</v>
      </c>
      <c r="BX51" s="44" t="e">
        <f t="shared" ca="1" si="40"/>
        <v>#REF!</v>
      </c>
      <c r="BY51" s="44" t="e">
        <f t="shared" ca="1" si="40"/>
        <v>#REF!</v>
      </c>
      <c r="BZ51" s="44" t="e">
        <f t="shared" ca="1" si="40"/>
        <v>#REF!</v>
      </c>
      <c r="CA51" s="44" t="e">
        <f t="shared" ca="1" si="40"/>
        <v>#REF!</v>
      </c>
      <c r="CB51" s="44" t="e">
        <f t="shared" ca="1" si="40"/>
        <v>#REF!</v>
      </c>
      <c r="CC51" s="44" t="e">
        <f t="shared" ca="1" si="40"/>
        <v>#REF!</v>
      </c>
      <c r="CD51" s="44" t="e">
        <f t="shared" ca="1" si="40"/>
        <v>#REF!</v>
      </c>
      <c r="CE51" s="44" t="e">
        <f t="shared" ca="1" si="41"/>
        <v>#REF!</v>
      </c>
      <c r="CF51" s="44" t="e">
        <f t="shared" ca="1" si="41"/>
        <v>#REF!</v>
      </c>
      <c r="CG51" t="e">
        <f t="shared" ca="1" si="41"/>
        <v>#REF!</v>
      </c>
      <c r="CH51" t="e">
        <f t="shared" ca="1" si="41"/>
        <v>#REF!</v>
      </c>
      <c r="CI51" t="e">
        <f t="shared" ca="1" si="41"/>
        <v>#REF!</v>
      </c>
      <c r="CJ51" t="e">
        <f t="shared" ca="1" si="41"/>
        <v>#REF!</v>
      </c>
      <c r="CK51" t="e">
        <f t="shared" ca="1" si="41"/>
        <v>#REF!</v>
      </c>
      <c r="CL51" t="e">
        <f t="shared" ca="1" si="41"/>
        <v>#REF!</v>
      </c>
      <c r="CM51" t="e">
        <f t="shared" ca="1" si="41"/>
        <v>#REF!</v>
      </c>
      <c r="CN51" t="e">
        <f t="shared" ca="1" si="41"/>
        <v>#REF!</v>
      </c>
      <c r="CO51" t="e">
        <f t="shared" ca="1" si="41"/>
        <v>#REF!</v>
      </c>
      <c r="CP51" t="e">
        <f t="shared" ca="1" si="41"/>
        <v>#REF!</v>
      </c>
      <c r="CQ51" t="e">
        <f t="shared" ca="1" si="41"/>
        <v>#REF!</v>
      </c>
      <c r="CR51" t="e">
        <f t="shared" ca="1" si="41"/>
        <v>#REF!</v>
      </c>
      <c r="CS51" t="e">
        <f t="shared" ca="1" si="41"/>
        <v>#REF!</v>
      </c>
      <c r="CT51" t="e">
        <f t="shared" ca="1" si="41"/>
        <v>#REF!</v>
      </c>
      <c r="CU51" t="e">
        <f t="shared" ca="1" si="42"/>
        <v>#REF!</v>
      </c>
      <c r="CV51" t="e">
        <f t="shared" ca="1" si="42"/>
        <v>#REF!</v>
      </c>
      <c r="CW51" t="e">
        <f t="shared" ca="1" si="42"/>
        <v>#REF!</v>
      </c>
      <c r="CX51" t="e">
        <f t="shared" ca="1" si="42"/>
        <v>#REF!</v>
      </c>
      <c r="CY51" t="e">
        <f t="shared" ca="1" si="42"/>
        <v>#REF!</v>
      </c>
      <c r="CZ51" s="44" t="e">
        <f t="shared" ca="1" si="42"/>
        <v>#REF!</v>
      </c>
      <c r="DA51" s="44" t="e">
        <f t="shared" ca="1" si="42"/>
        <v>#REF!</v>
      </c>
      <c r="DB51" s="44" t="e">
        <f t="shared" ca="1" si="42"/>
        <v>#REF!</v>
      </c>
      <c r="DC51" s="44" t="e">
        <f t="shared" ca="1" si="42"/>
        <v>#REF!</v>
      </c>
      <c r="DD51" s="44" t="e">
        <f t="shared" ca="1" si="42"/>
        <v>#REF!</v>
      </c>
      <c r="DE51" s="44" t="e">
        <f t="shared" ca="1" si="42"/>
        <v>#REF!</v>
      </c>
      <c r="DF51" s="44" t="e">
        <f t="shared" ca="1" si="42"/>
        <v>#REF!</v>
      </c>
      <c r="DG51" s="44" t="e">
        <f t="shared" ca="1" si="42"/>
        <v>#REF!</v>
      </c>
      <c r="DH51" s="44" t="e">
        <f t="shared" ca="1" si="42"/>
        <v>#REF!</v>
      </c>
      <c r="DI51" s="44" t="e">
        <f t="shared" ca="1" si="42"/>
        <v>#REF!</v>
      </c>
      <c r="DJ51" s="44" t="e">
        <f t="shared" ca="1" si="42"/>
        <v>#REF!</v>
      </c>
      <c r="DK51" s="44" t="e">
        <f t="shared" ca="1" si="43"/>
        <v>#REF!</v>
      </c>
      <c r="DL51" s="44" t="e">
        <f t="shared" ca="1" si="43"/>
        <v>#REF!</v>
      </c>
      <c r="DM51" s="44" t="e">
        <f t="shared" ca="1" si="43"/>
        <v>#REF!</v>
      </c>
      <c r="DN51" s="44" t="e">
        <f t="shared" ca="1" si="43"/>
        <v>#REF!</v>
      </c>
      <c r="DO51" s="44" t="e">
        <f t="shared" ca="1" si="43"/>
        <v>#REF!</v>
      </c>
      <c r="DP51" s="44" t="e">
        <f t="shared" ca="1" si="43"/>
        <v>#REF!</v>
      </c>
      <c r="DQ51" s="44" t="e">
        <f t="shared" ca="1" si="43"/>
        <v>#REF!</v>
      </c>
      <c r="DR51" s="44" t="e">
        <f t="shared" ca="1" si="43"/>
        <v>#REF!</v>
      </c>
      <c r="DS51" t="e">
        <f t="shared" ca="1" si="43"/>
        <v>#REF!</v>
      </c>
      <c r="DT51" t="e">
        <f t="shared" ca="1" si="43"/>
        <v>#REF!</v>
      </c>
      <c r="DU51" t="e">
        <f t="shared" ca="1" si="43"/>
        <v>#REF!</v>
      </c>
      <c r="DV51" t="e">
        <f t="shared" ca="1" si="43"/>
        <v>#REF!</v>
      </c>
      <c r="DW51" t="e">
        <f t="shared" ca="1" si="43"/>
        <v>#REF!</v>
      </c>
      <c r="DX51" t="e">
        <f t="shared" ca="1" si="43"/>
        <v>#REF!</v>
      </c>
      <c r="DY51" t="e">
        <f t="shared" ca="1" si="43"/>
        <v>#REF!</v>
      </c>
      <c r="DZ51" t="e">
        <f t="shared" ca="1" si="43"/>
        <v>#REF!</v>
      </c>
      <c r="EA51" t="e">
        <f t="shared" ca="1" si="44"/>
        <v>#REF!</v>
      </c>
      <c r="EB51" t="e">
        <f t="shared" ca="1" si="44"/>
        <v>#REF!</v>
      </c>
      <c r="EC51" t="e">
        <f t="shared" ca="1" si="44"/>
        <v>#REF!</v>
      </c>
      <c r="ED51" t="e">
        <f t="shared" ca="1" si="44"/>
        <v>#REF!</v>
      </c>
      <c r="EE51" t="e">
        <f t="shared" ca="1" si="44"/>
        <v>#REF!</v>
      </c>
      <c r="EF51" t="e">
        <f t="shared" ca="1" si="44"/>
        <v>#REF!</v>
      </c>
      <c r="EG51" t="e">
        <f t="shared" ca="1" si="44"/>
        <v>#REF!</v>
      </c>
      <c r="EH51" t="e">
        <f t="shared" ca="1" si="44"/>
        <v>#REF!</v>
      </c>
      <c r="EI51" t="e">
        <f t="shared" ca="1" si="44"/>
        <v>#REF!</v>
      </c>
      <c r="EJ51" t="e">
        <f t="shared" ca="1" si="44"/>
        <v>#REF!</v>
      </c>
      <c r="EK51" s="44" t="e">
        <f t="shared" ca="1" si="44"/>
        <v>#REF!</v>
      </c>
      <c r="EL51" s="44" t="e">
        <f t="shared" ca="1" si="44"/>
        <v>#REF!</v>
      </c>
      <c r="EM51" s="44" t="e">
        <f t="shared" ca="1" si="44"/>
        <v>#REF!</v>
      </c>
      <c r="EN51" s="44" t="e">
        <f t="shared" ca="1" si="44"/>
        <v>#REF!</v>
      </c>
      <c r="EO51" s="44" t="e">
        <f t="shared" ca="1" si="44"/>
        <v>#REF!</v>
      </c>
      <c r="EP51" s="44" t="e">
        <f t="shared" ca="1" si="44"/>
        <v>#REF!</v>
      </c>
      <c r="EQ51" s="44" t="e">
        <f t="shared" ca="1" si="45"/>
        <v>#REF!</v>
      </c>
      <c r="ER51" s="44" t="e">
        <f t="shared" ca="1" si="45"/>
        <v>#REF!</v>
      </c>
      <c r="ES51" s="44" t="e">
        <f t="shared" ca="1" si="45"/>
        <v>#REF!</v>
      </c>
      <c r="ET51" s="44" t="e">
        <f t="shared" ca="1" si="45"/>
        <v>#REF!</v>
      </c>
      <c r="EU51" s="44" t="e">
        <f t="shared" ca="1" si="45"/>
        <v>#REF!</v>
      </c>
      <c r="EV51" s="44" t="e">
        <f t="shared" ca="1" si="45"/>
        <v>#REF!</v>
      </c>
      <c r="EW51" s="44" t="e">
        <f t="shared" ca="1" si="45"/>
        <v>#REF!</v>
      </c>
      <c r="EX51" s="44" t="e">
        <f t="shared" ca="1" si="45"/>
        <v>#REF!</v>
      </c>
      <c r="EY51" s="44" t="e">
        <f t="shared" ca="1" si="45"/>
        <v>#REF!</v>
      </c>
      <c r="EZ51" s="44" t="e">
        <f t="shared" ca="1" si="45"/>
        <v>#REF!</v>
      </c>
      <c r="FA51" s="44" t="e">
        <f t="shared" ca="1" si="45"/>
        <v>#REF!</v>
      </c>
      <c r="FB51" s="44" t="e">
        <f t="shared" ca="1" si="45"/>
        <v>#REF!</v>
      </c>
      <c r="FC51" s="56" t="e">
        <f t="shared" ca="1" si="45"/>
        <v>#REF!</v>
      </c>
      <c r="FD51" t="e">
        <f t="shared" ca="1" si="45"/>
        <v>#REF!</v>
      </c>
      <c r="FE51" t="e">
        <f t="shared" ca="1" si="45"/>
        <v>#REF!</v>
      </c>
      <c r="FF51" t="e">
        <f t="shared" ca="1" si="45"/>
        <v>#REF!</v>
      </c>
      <c r="FG51" t="e">
        <f t="shared" ca="1" si="46"/>
        <v>#REF!</v>
      </c>
      <c r="FH51" t="e">
        <f t="shared" ca="1" si="46"/>
        <v>#REF!</v>
      </c>
      <c r="FI51" t="e">
        <f t="shared" ca="1" si="46"/>
        <v>#REF!</v>
      </c>
      <c r="FJ51" t="e">
        <f t="shared" ca="1" si="46"/>
        <v>#REF!</v>
      </c>
      <c r="FK51" t="e">
        <f t="shared" ca="1" si="46"/>
        <v>#REF!</v>
      </c>
      <c r="FL51" t="e">
        <f t="shared" ca="1" si="46"/>
        <v>#REF!</v>
      </c>
      <c r="FM51" t="e">
        <f t="shared" ca="1" si="46"/>
        <v>#REF!</v>
      </c>
      <c r="FN51" t="e">
        <f t="shared" ca="1" si="46"/>
        <v>#REF!</v>
      </c>
      <c r="FO51" t="e">
        <f t="shared" ca="1" si="46"/>
        <v>#REF!</v>
      </c>
      <c r="FP51" t="e">
        <f t="shared" ca="1" si="46"/>
        <v>#REF!</v>
      </c>
      <c r="FQ51" t="e">
        <f t="shared" ca="1" si="46"/>
        <v>#REF!</v>
      </c>
      <c r="FR51" t="e">
        <f t="shared" ca="1" si="46"/>
        <v>#REF!</v>
      </c>
      <c r="FS51" t="e">
        <f t="shared" ca="1" si="46"/>
        <v>#REF!</v>
      </c>
      <c r="FT51" t="e">
        <f t="shared" ca="1" si="46"/>
        <v>#REF!</v>
      </c>
    </row>
    <row r="52" spans="1:176" x14ac:dyDescent="0.35">
      <c r="A52" s="243">
        <v>214</v>
      </c>
      <c r="B52" t="e">
        <f t="shared" ref="B52:S67" ca="1" si="49">IF($A52="", "", IF(INDIRECT($A52&amp; "!"&amp; B$2)="", "", INDIRECT($A52&amp; "!"&amp; B$2)))</f>
        <v>#REF!</v>
      </c>
      <c r="C52" t="e">
        <f t="shared" ca="1" si="49"/>
        <v>#REF!</v>
      </c>
      <c r="D52" t="e">
        <f t="shared" ca="1" si="49"/>
        <v>#REF!</v>
      </c>
      <c r="E52" t="e">
        <f t="shared" ca="1" si="49"/>
        <v>#REF!</v>
      </c>
      <c r="F52" t="e">
        <f t="shared" ca="1" si="13"/>
        <v>#REF!</v>
      </c>
      <c r="G52" t="e">
        <f t="shared" ca="1" si="13"/>
        <v>#REF!</v>
      </c>
      <c r="H52" t="e">
        <f t="shared" ca="1" si="13"/>
        <v>#REF!</v>
      </c>
      <c r="I52" t="e">
        <f t="shared" ca="1" si="49"/>
        <v>#REF!</v>
      </c>
      <c r="J52" t="e">
        <f t="shared" ca="1" si="49"/>
        <v>#REF!</v>
      </c>
      <c r="K52" t="e">
        <f t="shared" ca="1" si="49"/>
        <v>#REF!</v>
      </c>
      <c r="L52" t="e">
        <f t="shared" ca="1" si="49"/>
        <v>#REF!</v>
      </c>
      <c r="M52" t="e">
        <f t="shared" ca="1" si="49"/>
        <v>#REF!</v>
      </c>
      <c r="N52" t="e">
        <f t="shared" ca="1" si="49"/>
        <v>#REF!</v>
      </c>
      <c r="O52" t="e">
        <f t="shared" ca="1" si="49"/>
        <v>#REF!</v>
      </c>
      <c r="P52" t="e">
        <f t="shared" ca="1" si="49"/>
        <v>#REF!</v>
      </c>
      <c r="Q52" t="e">
        <f t="shared" ca="1" si="49"/>
        <v>#REF!</v>
      </c>
      <c r="R52" t="e">
        <f t="shared" ca="1" si="49"/>
        <v>#REF!</v>
      </c>
      <c r="S52" t="e">
        <f t="shared" ca="1" si="49"/>
        <v>#REF!</v>
      </c>
      <c r="T52" t="e">
        <f t="shared" ca="1" si="48"/>
        <v>#REF!</v>
      </c>
      <c r="U52" t="e">
        <f t="shared" ca="1" si="48"/>
        <v>#REF!</v>
      </c>
      <c r="V52" t="e">
        <f t="shared" ca="1" si="48"/>
        <v>#REF!</v>
      </c>
      <c r="W52" t="e">
        <f t="shared" ca="1" si="48"/>
        <v>#REF!</v>
      </c>
      <c r="X52" t="e">
        <f t="shared" ca="1" si="48"/>
        <v>#REF!</v>
      </c>
      <c r="Y52" t="e">
        <f t="shared" ca="1" si="48"/>
        <v>#REF!</v>
      </c>
      <c r="Z52" t="e">
        <f t="shared" ca="1" si="48"/>
        <v>#REF!</v>
      </c>
      <c r="AA52" t="e">
        <f t="shared" ca="1" si="48"/>
        <v>#REF!</v>
      </c>
      <c r="AB52" s="44" t="e">
        <f t="shared" ca="1" si="48"/>
        <v>#REF!</v>
      </c>
      <c r="AC52" s="44" t="e">
        <f t="shared" ca="1" si="48"/>
        <v>#REF!</v>
      </c>
      <c r="AD52" s="44" t="e">
        <f t="shared" ca="1" si="48"/>
        <v>#REF!</v>
      </c>
      <c r="AE52" s="44" t="e">
        <f t="shared" ca="1" si="48"/>
        <v>#REF!</v>
      </c>
      <c r="AF52" s="44" t="e">
        <f t="shared" ca="1" si="48"/>
        <v>#REF!</v>
      </c>
      <c r="AG52" s="44" t="e">
        <f t="shared" ca="1" si="48"/>
        <v>#REF!</v>
      </c>
      <c r="AH52" s="44" t="e">
        <f t="shared" ca="1" si="48"/>
        <v>#REF!</v>
      </c>
      <c r="AI52" s="44" t="e">
        <f t="shared" ca="1" si="38"/>
        <v>#REF!</v>
      </c>
      <c r="AJ52" s="44" t="e">
        <f t="shared" ca="1" si="38"/>
        <v>#REF!</v>
      </c>
      <c r="AK52" s="44" t="e">
        <f t="shared" ca="1" si="38"/>
        <v>#REF!</v>
      </c>
      <c r="AL52" s="44" t="e">
        <f t="shared" ca="1" si="38"/>
        <v>#REF!</v>
      </c>
      <c r="AM52" s="44" t="e">
        <f t="shared" ca="1" si="38"/>
        <v>#REF!</v>
      </c>
      <c r="AN52" s="44" t="e">
        <f t="shared" ca="1" si="38"/>
        <v>#REF!</v>
      </c>
      <c r="AO52" s="44" t="e">
        <f t="shared" ca="1" si="38"/>
        <v>#REF!</v>
      </c>
      <c r="AP52" s="44" t="e">
        <f t="shared" ca="1" si="38"/>
        <v>#REF!</v>
      </c>
      <c r="AQ52" s="44" t="e">
        <f t="shared" ca="1" si="38"/>
        <v>#REF!</v>
      </c>
      <c r="AR52" s="44" t="e">
        <f t="shared" ca="1" si="38"/>
        <v>#REF!</v>
      </c>
      <c r="AS52" s="44" t="e">
        <f t="shared" ca="1" si="38"/>
        <v>#REF!</v>
      </c>
      <c r="AT52" s="44" t="e">
        <f t="shared" ca="1" si="38"/>
        <v>#REF!</v>
      </c>
      <c r="AU52" t="e">
        <f t="shared" ca="1" si="38"/>
        <v>#REF!</v>
      </c>
      <c r="AV52" t="e">
        <f t="shared" ca="1" si="38"/>
        <v>#REF!</v>
      </c>
      <c r="AW52" t="e">
        <f t="shared" ca="1" si="38"/>
        <v>#REF!</v>
      </c>
      <c r="AX52" t="e">
        <f t="shared" ca="1" si="38"/>
        <v>#REF!</v>
      </c>
      <c r="AY52" t="e">
        <f t="shared" ca="1" si="39"/>
        <v>#REF!</v>
      </c>
      <c r="AZ52" t="e">
        <f t="shared" ca="1" si="39"/>
        <v>#REF!</v>
      </c>
      <c r="BA52" t="e">
        <f t="shared" ca="1" si="39"/>
        <v>#REF!</v>
      </c>
      <c r="BB52" t="e">
        <f t="shared" ca="1" si="39"/>
        <v>#REF!</v>
      </c>
      <c r="BC52" t="e">
        <f t="shared" ca="1" si="39"/>
        <v>#REF!</v>
      </c>
      <c r="BD52" t="e">
        <f t="shared" ca="1" si="39"/>
        <v>#REF!</v>
      </c>
      <c r="BE52" t="e">
        <f t="shared" ca="1" si="39"/>
        <v>#REF!</v>
      </c>
      <c r="BF52" t="e">
        <f t="shared" ca="1" si="39"/>
        <v>#REF!</v>
      </c>
      <c r="BG52" t="e">
        <f t="shared" ca="1" si="39"/>
        <v>#REF!</v>
      </c>
      <c r="BH52" t="e">
        <f t="shared" ca="1" si="39"/>
        <v>#REF!</v>
      </c>
      <c r="BI52" t="e">
        <f t="shared" ca="1" si="39"/>
        <v>#REF!</v>
      </c>
      <c r="BJ52" t="e">
        <f t="shared" ca="1" si="39"/>
        <v>#REF!</v>
      </c>
      <c r="BK52" t="e">
        <f t="shared" ca="1" si="39"/>
        <v>#REF!</v>
      </c>
      <c r="BL52" t="e">
        <f t="shared" ca="1" si="39"/>
        <v>#REF!</v>
      </c>
      <c r="BM52" t="e">
        <f t="shared" ca="1" si="39"/>
        <v>#REF!</v>
      </c>
      <c r="BN52" s="44" t="e">
        <f t="shared" ca="1" si="39"/>
        <v>#REF!</v>
      </c>
      <c r="BO52" s="44" t="e">
        <f t="shared" ca="1" si="40"/>
        <v>#REF!</v>
      </c>
      <c r="BP52" s="44" t="e">
        <f t="shared" ca="1" si="40"/>
        <v>#REF!</v>
      </c>
      <c r="BQ52" s="44" t="e">
        <f t="shared" ca="1" si="40"/>
        <v>#REF!</v>
      </c>
      <c r="BR52" s="44" t="e">
        <f t="shared" ca="1" si="40"/>
        <v>#REF!</v>
      </c>
      <c r="BS52" s="44" t="e">
        <f t="shared" ca="1" si="40"/>
        <v>#REF!</v>
      </c>
      <c r="BT52" s="44" t="e">
        <f t="shared" ca="1" si="40"/>
        <v>#REF!</v>
      </c>
      <c r="BU52" s="44" t="e">
        <f t="shared" ca="1" si="40"/>
        <v>#REF!</v>
      </c>
      <c r="BV52" s="44" t="e">
        <f t="shared" ca="1" si="40"/>
        <v>#REF!</v>
      </c>
      <c r="BW52" s="44" t="e">
        <f t="shared" ca="1" si="40"/>
        <v>#REF!</v>
      </c>
      <c r="BX52" s="44" t="e">
        <f t="shared" ca="1" si="40"/>
        <v>#REF!</v>
      </c>
      <c r="BY52" s="44" t="e">
        <f t="shared" ca="1" si="40"/>
        <v>#REF!</v>
      </c>
      <c r="BZ52" s="44" t="e">
        <f t="shared" ca="1" si="40"/>
        <v>#REF!</v>
      </c>
      <c r="CA52" s="44" t="e">
        <f t="shared" ca="1" si="40"/>
        <v>#REF!</v>
      </c>
      <c r="CB52" s="44" t="e">
        <f t="shared" ca="1" si="40"/>
        <v>#REF!</v>
      </c>
      <c r="CC52" s="44" t="e">
        <f t="shared" ca="1" si="40"/>
        <v>#REF!</v>
      </c>
      <c r="CD52" s="44" t="e">
        <f t="shared" ca="1" si="40"/>
        <v>#REF!</v>
      </c>
      <c r="CE52" s="44" t="e">
        <f t="shared" ca="1" si="41"/>
        <v>#REF!</v>
      </c>
      <c r="CF52" s="44" t="e">
        <f t="shared" ca="1" si="41"/>
        <v>#REF!</v>
      </c>
      <c r="CG52" t="e">
        <f t="shared" ca="1" si="41"/>
        <v>#REF!</v>
      </c>
      <c r="CH52" t="e">
        <f t="shared" ca="1" si="41"/>
        <v>#REF!</v>
      </c>
      <c r="CI52" t="e">
        <f t="shared" ca="1" si="41"/>
        <v>#REF!</v>
      </c>
      <c r="CJ52" t="e">
        <f t="shared" ca="1" si="41"/>
        <v>#REF!</v>
      </c>
      <c r="CK52" t="e">
        <f t="shared" ca="1" si="41"/>
        <v>#REF!</v>
      </c>
      <c r="CL52" t="e">
        <f t="shared" ca="1" si="41"/>
        <v>#REF!</v>
      </c>
      <c r="CM52" t="e">
        <f t="shared" ca="1" si="41"/>
        <v>#REF!</v>
      </c>
      <c r="CN52" t="e">
        <f t="shared" ca="1" si="41"/>
        <v>#REF!</v>
      </c>
      <c r="CO52" t="e">
        <f t="shared" ca="1" si="41"/>
        <v>#REF!</v>
      </c>
      <c r="CP52" t="e">
        <f t="shared" ca="1" si="41"/>
        <v>#REF!</v>
      </c>
      <c r="CQ52" t="e">
        <f t="shared" ca="1" si="41"/>
        <v>#REF!</v>
      </c>
      <c r="CR52" t="e">
        <f t="shared" ca="1" si="41"/>
        <v>#REF!</v>
      </c>
      <c r="CS52" t="e">
        <f t="shared" ca="1" si="41"/>
        <v>#REF!</v>
      </c>
      <c r="CT52" t="e">
        <f t="shared" ca="1" si="41"/>
        <v>#REF!</v>
      </c>
      <c r="CU52" t="e">
        <f t="shared" ca="1" si="42"/>
        <v>#REF!</v>
      </c>
      <c r="CV52" t="e">
        <f t="shared" ca="1" si="42"/>
        <v>#REF!</v>
      </c>
      <c r="CW52" t="e">
        <f t="shared" ca="1" si="42"/>
        <v>#REF!</v>
      </c>
      <c r="CX52" t="e">
        <f t="shared" ca="1" si="42"/>
        <v>#REF!</v>
      </c>
      <c r="CY52" t="e">
        <f t="shared" ca="1" si="42"/>
        <v>#REF!</v>
      </c>
      <c r="CZ52" s="44" t="e">
        <f t="shared" ca="1" si="42"/>
        <v>#REF!</v>
      </c>
      <c r="DA52" s="44" t="e">
        <f t="shared" ca="1" si="42"/>
        <v>#REF!</v>
      </c>
      <c r="DB52" s="44" t="e">
        <f t="shared" ca="1" si="42"/>
        <v>#REF!</v>
      </c>
      <c r="DC52" s="44" t="e">
        <f t="shared" ca="1" si="42"/>
        <v>#REF!</v>
      </c>
      <c r="DD52" s="44" t="e">
        <f t="shared" ca="1" si="42"/>
        <v>#REF!</v>
      </c>
      <c r="DE52" s="44" t="e">
        <f t="shared" ca="1" si="42"/>
        <v>#REF!</v>
      </c>
      <c r="DF52" s="44" t="e">
        <f t="shared" ca="1" si="42"/>
        <v>#REF!</v>
      </c>
      <c r="DG52" s="44" t="e">
        <f t="shared" ca="1" si="42"/>
        <v>#REF!</v>
      </c>
      <c r="DH52" s="44" t="e">
        <f t="shared" ca="1" si="42"/>
        <v>#REF!</v>
      </c>
      <c r="DI52" s="44" t="e">
        <f t="shared" ca="1" si="42"/>
        <v>#REF!</v>
      </c>
      <c r="DJ52" s="44" t="e">
        <f t="shared" ca="1" si="42"/>
        <v>#REF!</v>
      </c>
      <c r="DK52" s="44" t="e">
        <f t="shared" ca="1" si="43"/>
        <v>#REF!</v>
      </c>
      <c r="DL52" s="44" t="e">
        <f t="shared" ca="1" si="43"/>
        <v>#REF!</v>
      </c>
      <c r="DM52" s="44" t="e">
        <f t="shared" ca="1" si="43"/>
        <v>#REF!</v>
      </c>
      <c r="DN52" s="44" t="e">
        <f t="shared" ca="1" si="43"/>
        <v>#REF!</v>
      </c>
      <c r="DO52" s="44" t="e">
        <f t="shared" ca="1" si="43"/>
        <v>#REF!</v>
      </c>
      <c r="DP52" s="44" t="e">
        <f t="shared" ca="1" si="43"/>
        <v>#REF!</v>
      </c>
      <c r="DQ52" s="44" t="e">
        <f t="shared" ca="1" si="43"/>
        <v>#REF!</v>
      </c>
      <c r="DR52" s="44" t="e">
        <f t="shared" ca="1" si="43"/>
        <v>#REF!</v>
      </c>
      <c r="DS52" t="e">
        <f t="shared" ca="1" si="43"/>
        <v>#REF!</v>
      </c>
      <c r="DT52" t="e">
        <f t="shared" ca="1" si="43"/>
        <v>#REF!</v>
      </c>
      <c r="DU52" t="e">
        <f t="shared" ca="1" si="43"/>
        <v>#REF!</v>
      </c>
      <c r="DV52" t="e">
        <f t="shared" ca="1" si="43"/>
        <v>#REF!</v>
      </c>
      <c r="DW52" t="e">
        <f t="shared" ca="1" si="43"/>
        <v>#REF!</v>
      </c>
      <c r="DX52" t="e">
        <f t="shared" ca="1" si="43"/>
        <v>#REF!</v>
      </c>
      <c r="DY52" t="e">
        <f t="shared" ca="1" si="43"/>
        <v>#REF!</v>
      </c>
      <c r="DZ52" t="e">
        <f t="shared" ca="1" si="43"/>
        <v>#REF!</v>
      </c>
      <c r="EA52" t="e">
        <f t="shared" ca="1" si="44"/>
        <v>#REF!</v>
      </c>
      <c r="EB52" t="e">
        <f t="shared" ca="1" si="44"/>
        <v>#REF!</v>
      </c>
      <c r="EC52" t="e">
        <f t="shared" ca="1" si="44"/>
        <v>#REF!</v>
      </c>
      <c r="ED52" t="e">
        <f t="shared" ca="1" si="44"/>
        <v>#REF!</v>
      </c>
      <c r="EE52" t="e">
        <f t="shared" ca="1" si="44"/>
        <v>#REF!</v>
      </c>
      <c r="EF52" t="e">
        <f t="shared" ca="1" si="44"/>
        <v>#REF!</v>
      </c>
      <c r="EG52" t="e">
        <f t="shared" ca="1" si="44"/>
        <v>#REF!</v>
      </c>
      <c r="EH52" t="e">
        <f t="shared" ca="1" si="44"/>
        <v>#REF!</v>
      </c>
      <c r="EI52" t="e">
        <f t="shared" ca="1" si="44"/>
        <v>#REF!</v>
      </c>
      <c r="EJ52" t="e">
        <f t="shared" ca="1" si="44"/>
        <v>#REF!</v>
      </c>
      <c r="EK52" s="44" t="e">
        <f t="shared" ca="1" si="44"/>
        <v>#REF!</v>
      </c>
      <c r="EL52" s="44" t="e">
        <f t="shared" ca="1" si="44"/>
        <v>#REF!</v>
      </c>
      <c r="EM52" s="44" t="e">
        <f t="shared" ca="1" si="44"/>
        <v>#REF!</v>
      </c>
      <c r="EN52" s="44" t="e">
        <f t="shared" ca="1" si="44"/>
        <v>#REF!</v>
      </c>
      <c r="EO52" s="44" t="e">
        <f t="shared" ca="1" si="44"/>
        <v>#REF!</v>
      </c>
      <c r="EP52" s="44" t="e">
        <f t="shared" ca="1" si="44"/>
        <v>#REF!</v>
      </c>
      <c r="EQ52" s="44" t="e">
        <f t="shared" ca="1" si="45"/>
        <v>#REF!</v>
      </c>
      <c r="ER52" s="44" t="e">
        <f t="shared" ca="1" si="45"/>
        <v>#REF!</v>
      </c>
      <c r="ES52" s="44" t="e">
        <f t="shared" ca="1" si="45"/>
        <v>#REF!</v>
      </c>
      <c r="ET52" s="44" t="e">
        <f t="shared" ca="1" si="45"/>
        <v>#REF!</v>
      </c>
      <c r="EU52" s="44" t="e">
        <f t="shared" ca="1" si="45"/>
        <v>#REF!</v>
      </c>
      <c r="EV52" s="44" t="e">
        <f t="shared" ca="1" si="45"/>
        <v>#REF!</v>
      </c>
      <c r="EW52" s="44" t="e">
        <f t="shared" ca="1" si="45"/>
        <v>#REF!</v>
      </c>
      <c r="EX52" s="44" t="e">
        <f t="shared" ca="1" si="45"/>
        <v>#REF!</v>
      </c>
      <c r="EY52" s="44" t="e">
        <f t="shared" ca="1" si="45"/>
        <v>#REF!</v>
      </c>
      <c r="EZ52" s="44" t="e">
        <f t="shared" ca="1" si="45"/>
        <v>#REF!</v>
      </c>
      <c r="FA52" s="44" t="e">
        <f t="shared" ca="1" si="45"/>
        <v>#REF!</v>
      </c>
      <c r="FB52" s="44" t="e">
        <f t="shared" ca="1" si="45"/>
        <v>#REF!</v>
      </c>
      <c r="FC52" s="56" t="e">
        <f t="shared" ca="1" si="45"/>
        <v>#REF!</v>
      </c>
      <c r="FD52" t="e">
        <f t="shared" ca="1" si="45"/>
        <v>#REF!</v>
      </c>
      <c r="FE52" t="e">
        <f t="shared" ca="1" si="45"/>
        <v>#REF!</v>
      </c>
      <c r="FF52" t="e">
        <f t="shared" ca="1" si="45"/>
        <v>#REF!</v>
      </c>
      <c r="FG52" t="e">
        <f t="shared" ca="1" si="46"/>
        <v>#REF!</v>
      </c>
      <c r="FH52" t="e">
        <f t="shared" ca="1" si="46"/>
        <v>#REF!</v>
      </c>
      <c r="FI52" t="e">
        <f t="shared" ca="1" si="46"/>
        <v>#REF!</v>
      </c>
      <c r="FJ52" t="e">
        <f t="shared" ca="1" si="46"/>
        <v>#REF!</v>
      </c>
      <c r="FK52" t="e">
        <f t="shared" ca="1" si="46"/>
        <v>#REF!</v>
      </c>
      <c r="FL52" t="e">
        <f t="shared" ca="1" si="46"/>
        <v>#REF!</v>
      </c>
      <c r="FM52" t="e">
        <f t="shared" ca="1" si="46"/>
        <v>#REF!</v>
      </c>
      <c r="FN52" t="e">
        <f t="shared" ca="1" si="46"/>
        <v>#REF!</v>
      </c>
      <c r="FO52" t="e">
        <f t="shared" ca="1" si="46"/>
        <v>#REF!</v>
      </c>
      <c r="FP52" t="e">
        <f t="shared" ca="1" si="46"/>
        <v>#REF!</v>
      </c>
      <c r="FQ52" t="e">
        <f t="shared" ca="1" si="46"/>
        <v>#REF!</v>
      </c>
      <c r="FR52" t="e">
        <f t="shared" ca="1" si="46"/>
        <v>#REF!</v>
      </c>
      <c r="FS52" t="e">
        <f t="shared" ca="1" si="46"/>
        <v>#REF!</v>
      </c>
      <c r="FT52" t="e">
        <f t="shared" ca="1" si="46"/>
        <v>#REF!</v>
      </c>
    </row>
    <row r="53" spans="1:176" x14ac:dyDescent="0.35">
      <c r="A53" s="243">
        <v>227</v>
      </c>
      <c r="B53" s="74" t="e">
        <f t="shared" ca="1" si="49"/>
        <v>#REF!</v>
      </c>
      <c r="C53" s="74" t="e">
        <f t="shared" ca="1" si="49"/>
        <v>#REF!</v>
      </c>
      <c r="D53" s="74" t="e">
        <f t="shared" ca="1" si="49"/>
        <v>#REF!</v>
      </c>
      <c r="E53" s="74" t="e">
        <f t="shared" ca="1" si="49"/>
        <v>#REF!</v>
      </c>
      <c r="F53" t="e">
        <f t="shared" ca="1" si="13"/>
        <v>#REF!</v>
      </c>
      <c r="G53" t="e">
        <f t="shared" ca="1" si="13"/>
        <v>#REF!</v>
      </c>
      <c r="H53" t="e">
        <f t="shared" ca="1" si="13"/>
        <v>#REF!</v>
      </c>
      <c r="I53" s="74" t="e">
        <f t="shared" ca="1" si="49"/>
        <v>#REF!</v>
      </c>
      <c r="J53" s="74" t="e">
        <f t="shared" ca="1" si="49"/>
        <v>#REF!</v>
      </c>
      <c r="K53" s="74" t="e">
        <f t="shared" ca="1" si="49"/>
        <v>#REF!</v>
      </c>
      <c r="L53" s="74" t="e">
        <f t="shared" ca="1" si="49"/>
        <v>#REF!</v>
      </c>
      <c r="M53" s="74" t="e">
        <f t="shared" ca="1" si="49"/>
        <v>#REF!</v>
      </c>
      <c r="N53" s="74" t="e">
        <f t="shared" ca="1" si="49"/>
        <v>#REF!</v>
      </c>
      <c r="O53" s="74" t="e">
        <f t="shared" ca="1" si="49"/>
        <v>#REF!</v>
      </c>
      <c r="P53" s="74" t="e">
        <f t="shared" ca="1" si="49"/>
        <v>#REF!</v>
      </c>
      <c r="Q53" s="74" t="e">
        <f t="shared" ca="1" si="49"/>
        <v>#REF!</v>
      </c>
      <c r="R53" s="74" t="e">
        <f t="shared" ca="1" si="49"/>
        <v>#REF!</v>
      </c>
      <c r="S53" s="74" t="e">
        <f t="shared" ca="1" si="49"/>
        <v>#REF!</v>
      </c>
      <c r="T53" s="74" t="e">
        <f t="shared" ca="1" si="48"/>
        <v>#REF!</v>
      </c>
      <c r="U53" s="74" t="e">
        <f t="shared" ca="1" si="48"/>
        <v>#REF!</v>
      </c>
      <c r="V53" s="74" t="e">
        <f t="shared" ca="1" si="48"/>
        <v>#REF!</v>
      </c>
      <c r="W53" s="74" t="e">
        <f t="shared" ca="1" si="48"/>
        <v>#REF!</v>
      </c>
      <c r="X53" s="74" t="e">
        <f t="shared" ca="1" si="48"/>
        <v>#REF!</v>
      </c>
      <c r="Y53" s="74" t="e">
        <f t="shared" ca="1" si="48"/>
        <v>#REF!</v>
      </c>
      <c r="Z53" s="74" t="e">
        <f t="shared" ca="1" si="48"/>
        <v>#REF!</v>
      </c>
      <c r="AA53" s="74" t="e">
        <f t="shared" ca="1" si="48"/>
        <v>#REF!</v>
      </c>
      <c r="AB53" s="75" t="e">
        <f t="shared" ca="1" si="48"/>
        <v>#REF!</v>
      </c>
      <c r="AC53" s="75" t="e">
        <f t="shared" ca="1" si="48"/>
        <v>#REF!</v>
      </c>
      <c r="AD53" s="75" t="e">
        <f t="shared" ca="1" si="48"/>
        <v>#REF!</v>
      </c>
      <c r="AE53" s="75" t="e">
        <f t="shared" ca="1" si="48"/>
        <v>#REF!</v>
      </c>
      <c r="AF53" s="75" t="e">
        <f t="shared" ca="1" si="48"/>
        <v>#REF!</v>
      </c>
      <c r="AG53" s="75" t="e">
        <f t="shared" ca="1" si="48"/>
        <v>#REF!</v>
      </c>
      <c r="AH53" s="75" t="e">
        <f t="shared" ca="1" si="48"/>
        <v>#REF!</v>
      </c>
      <c r="AI53" s="75" t="e">
        <f t="shared" ca="1" si="38"/>
        <v>#REF!</v>
      </c>
      <c r="AJ53" s="75" t="e">
        <f t="shared" ca="1" si="38"/>
        <v>#REF!</v>
      </c>
      <c r="AK53" s="75" t="e">
        <f t="shared" ca="1" si="38"/>
        <v>#REF!</v>
      </c>
      <c r="AL53" s="75" t="e">
        <f t="shared" ca="1" si="38"/>
        <v>#REF!</v>
      </c>
      <c r="AM53" s="75" t="e">
        <f t="shared" ca="1" si="38"/>
        <v>#REF!</v>
      </c>
      <c r="AN53" s="75" t="e">
        <f t="shared" ca="1" si="38"/>
        <v>#REF!</v>
      </c>
      <c r="AO53" s="75" t="e">
        <f t="shared" ca="1" si="38"/>
        <v>#REF!</v>
      </c>
      <c r="AP53" s="75" t="e">
        <f t="shared" ca="1" si="38"/>
        <v>#REF!</v>
      </c>
      <c r="AQ53" s="75" t="e">
        <f t="shared" ca="1" si="38"/>
        <v>#REF!</v>
      </c>
      <c r="AR53" s="75" t="e">
        <f t="shared" ca="1" si="38"/>
        <v>#REF!</v>
      </c>
      <c r="AS53" s="75" t="e">
        <f t="shared" ca="1" si="38"/>
        <v>#REF!</v>
      </c>
      <c r="AT53" s="75" t="e">
        <f t="shared" ca="1" si="38"/>
        <v>#REF!</v>
      </c>
      <c r="AU53" s="74" t="e">
        <f t="shared" ca="1" si="38"/>
        <v>#REF!</v>
      </c>
      <c r="AV53" s="74" t="e">
        <f t="shared" ca="1" si="38"/>
        <v>#REF!</v>
      </c>
      <c r="AW53" s="74" t="e">
        <f t="shared" ca="1" si="38"/>
        <v>#REF!</v>
      </c>
      <c r="AX53" s="74" t="e">
        <f t="shared" ca="1" si="38"/>
        <v>#REF!</v>
      </c>
      <c r="AY53" s="74" t="e">
        <f t="shared" ca="1" si="39"/>
        <v>#REF!</v>
      </c>
      <c r="AZ53" s="74" t="e">
        <f t="shared" ca="1" si="39"/>
        <v>#REF!</v>
      </c>
      <c r="BA53" s="74" t="e">
        <f t="shared" ca="1" si="39"/>
        <v>#REF!</v>
      </c>
      <c r="BB53" s="74" t="e">
        <f t="shared" ca="1" si="39"/>
        <v>#REF!</v>
      </c>
      <c r="BC53" s="74" t="e">
        <f t="shared" ca="1" si="39"/>
        <v>#REF!</v>
      </c>
      <c r="BD53" s="74" t="e">
        <f t="shared" ca="1" si="39"/>
        <v>#REF!</v>
      </c>
      <c r="BE53" s="74" t="e">
        <f t="shared" ca="1" si="39"/>
        <v>#REF!</v>
      </c>
      <c r="BF53" s="74" t="e">
        <f t="shared" ca="1" si="39"/>
        <v>#REF!</v>
      </c>
      <c r="BG53" s="74" t="e">
        <f t="shared" ca="1" si="39"/>
        <v>#REF!</v>
      </c>
      <c r="BH53" s="74" t="e">
        <f t="shared" ca="1" si="39"/>
        <v>#REF!</v>
      </c>
      <c r="BI53" s="74" t="e">
        <f t="shared" ca="1" si="39"/>
        <v>#REF!</v>
      </c>
      <c r="BJ53" s="74" t="e">
        <f t="shared" ca="1" si="39"/>
        <v>#REF!</v>
      </c>
      <c r="BK53" s="74" t="e">
        <f t="shared" ca="1" si="39"/>
        <v>#REF!</v>
      </c>
      <c r="BL53" s="74" t="e">
        <f t="shared" ca="1" si="39"/>
        <v>#REF!</v>
      </c>
      <c r="BM53" s="74" t="e">
        <f t="shared" ca="1" si="39"/>
        <v>#REF!</v>
      </c>
      <c r="BN53" s="75" t="e">
        <f t="shared" ca="1" si="39"/>
        <v>#REF!</v>
      </c>
      <c r="BO53" s="75" t="e">
        <f t="shared" ca="1" si="40"/>
        <v>#REF!</v>
      </c>
      <c r="BP53" s="75" t="e">
        <f t="shared" ca="1" si="40"/>
        <v>#REF!</v>
      </c>
      <c r="BQ53" s="75" t="e">
        <f t="shared" ca="1" si="40"/>
        <v>#REF!</v>
      </c>
      <c r="BR53" s="75" t="e">
        <f t="shared" ca="1" si="40"/>
        <v>#REF!</v>
      </c>
      <c r="BS53" s="75" t="e">
        <f t="shared" ca="1" si="40"/>
        <v>#REF!</v>
      </c>
      <c r="BT53" s="75" t="e">
        <f t="shared" ca="1" si="40"/>
        <v>#REF!</v>
      </c>
      <c r="BU53" s="75" t="e">
        <f t="shared" ca="1" si="40"/>
        <v>#REF!</v>
      </c>
      <c r="BV53" s="75" t="e">
        <f t="shared" ca="1" si="40"/>
        <v>#REF!</v>
      </c>
      <c r="BW53" s="75" t="e">
        <f t="shared" ca="1" si="40"/>
        <v>#REF!</v>
      </c>
      <c r="BX53" s="75" t="e">
        <f t="shared" ca="1" si="40"/>
        <v>#REF!</v>
      </c>
      <c r="BY53" s="75" t="e">
        <f t="shared" ca="1" si="40"/>
        <v>#REF!</v>
      </c>
      <c r="BZ53" s="75" t="e">
        <f t="shared" ca="1" si="40"/>
        <v>#REF!</v>
      </c>
      <c r="CA53" s="75" t="e">
        <f t="shared" ca="1" si="40"/>
        <v>#REF!</v>
      </c>
      <c r="CB53" s="75" t="e">
        <f t="shared" ca="1" si="40"/>
        <v>#REF!</v>
      </c>
      <c r="CC53" s="75" t="e">
        <f t="shared" ca="1" si="40"/>
        <v>#REF!</v>
      </c>
      <c r="CD53" s="75" t="e">
        <f t="shared" ca="1" si="40"/>
        <v>#REF!</v>
      </c>
      <c r="CE53" s="75" t="e">
        <f t="shared" ca="1" si="41"/>
        <v>#REF!</v>
      </c>
      <c r="CF53" s="75" t="e">
        <f t="shared" ca="1" si="41"/>
        <v>#REF!</v>
      </c>
      <c r="CG53" s="74" t="e">
        <f t="shared" ca="1" si="41"/>
        <v>#REF!</v>
      </c>
      <c r="CH53" s="74" t="e">
        <f t="shared" ca="1" si="41"/>
        <v>#REF!</v>
      </c>
      <c r="CI53" s="74" t="e">
        <f t="shared" ca="1" si="41"/>
        <v>#REF!</v>
      </c>
      <c r="CJ53" s="74" t="e">
        <f t="shared" ca="1" si="41"/>
        <v>#REF!</v>
      </c>
      <c r="CK53" s="74" t="e">
        <f t="shared" ca="1" si="41"/>
        <v>#REF!</v>
      </c>
      <c r="CL53" s="74" t="e">
        <f t="shared" ca="1" si="41"/>
        <v>#REF!</v>
      </c>
      <c r="CM53" s="74" t="e">
        <f t="shared" ca="1" si="41"/>
        <v>#REF!</v>
      </c>
      <c r="CN53" s="74" t="e">
        <f t="shared" ca="1" si="41"/>
        <v>#REF!</v>
      </c>
      <c r="CO53" s="74" t="e">
        <f t="shared" ca="1" si="41"/>
        <v>#REF!</v>
      </c>
      <c r="CP53" s="74" t="e">
        <f t="shared" ca="1" si="41"/>
        <v>#REF!</v>
      </c>
      <c r="CQ53" s="74" t="e">
        <f t="shared" ca="1" si="41"/>
        <v>#REF!</v>
      </c>
      <c r="CR53" s="74" t="e">
        <f t="shared" ca="1" si="41"/>
        <v>#REF!</v>
      </c>
      <c r="CS53" s="74" t="e">
        <f t="shared" ca="1" si="41"/>
        <v>#REF!</v>
      </c>
      <c r="CT53" s="74" t="e">
        <f t="shared" ca="1" si="41"/>
        <v>#REF!</v>
      </c>
      <c r="CU53" s="74" t="e">
        <f t="shared" ca="1" si="42"/>
        <v>#REF!</v>
      </c>
      <c r="CV53" s="74" t="e">
        <f t="shared" ca="1" si="42"/>
        <v>#REF!</v>
      </c>
      <c r="CW53" s="74" t="e">
        <f t="shared" ca="1" si="42"/>
        <v>#REF!</v>
      </c>
      <c r="CX53" s="74" t="e">
        <f t="shared" ca="1" si="42"/>
        <v>#REF!</v>
      </c>
      <c r="CY53" s="74" t="e">
        <f t="shared" ca="1" si="42"/>
        <v>#REF!</v>
      </c>
      <c r="CZ53" s="75" t="e">
        <f t="shared" ca="1" si="42"/>
        <v>#REF!</v>
      </c>
      <c r="DA53" s="75" t="e">
        <f t="shared" ca="1" si="42"/>
        <v>#REF!</v>
      </c>
      <c r="DB53" s="75" t="e">
        <f t="shared" ca="1" si="42"/>
        <v>#REF!</v>
      </c>
      <c r="DC53" s="75" t="e">
        <f t="shared" ca="1" si="42"/>
        <v>#REF!</v>
      </c>
      <c r="DD53" s="75" t="e">
        <f t="shared" ca="1" si="42"/>
        <v>#REF!</v>
      </c>
      <c r="DE53" s="75" t="e">
        <f t="shared" ca="1" si="42"/>
        <v>#REF!</v>
      </c>
      <c r="DF53" s="75" t="e">
        <f t="shared" ca="1" si="42"/>
        <v>#REF!</v>
      </c>
      <c r="DG53" s="75" t="e">
        <f t="shared" ca="1" si="42"/>
        <v>#REF!</v>
      </c>
      <c r="DH53" s="75" t="e">
        <f t="shared" ca="1" si="42"/>
        <v>#REF!</v>
      </c>
      <c r="DI53" s="75" t="e">
        <f t="shared" ca="1" si="42"/>
        <v>#REF!</v>
      </c>
      <c r="DJ53" s="75" t="e">
        <f t="shared" ca="1" si="42"/>
        <v>#REF!</v>
      </c>
      <c r="DK53" s="75" t="e">
        <f t="shared" ca="1" si="43"/>
        <v>#REF!</v>
      </c>
      <c r="DL53" s="75" t="e">
        <f t="shared" ca="1" si="43"/>
        <v>#REF!</v>
      </c>
      <c r="DM53" s="75" t="e">
        <f t="shared" ca="1" si="43"/>
        <v>#REF!</v>
      </c>
      <c r="DN53" s="75" t="e">
        <f t="shared" ca="1" si="43"/>
        <v>#REF!</v>
      </c>
      <c r="DO53" s="75" t="e">
        <f t="shared" ca="1" si="43"/>
        <v>#REF!</v>
      </c>
      <c r="DP53" s="75" t="e">
        <f t="shared" ca="1" si="43"/>
        <v>#REF!</v>
      </c>
      <c r="DQ53" s="75" t="e">
        <f t="shared" ca="1" si="43"/>
        <v>#REF!</v>
      </c>
      <c r="DR53" s="75" t="e">
        <f t="shared" ca="1" si="43"/>
        <v>#REF!</v>
      </c>
      <c r="DS53" s="74" t="e">
        <f t="shared" ca="1" si="43"/>
        <v>#REF!</v>
      </c>
      <c r="DT53" s="74" t="e">
        <f t="shared" ca="1" si="43"/>
        <v>#REF!</v>
      </c>
      <c r="DU53" s="74" t="e">
        <f t="shared" ca="1" si="43"/>
        <v>#REF!</v>
      </c>
      <c r="DV53" s="74" t="e">
        <f t="shared" ca="1" si="43"/>
        <v>#REF!</v>
      </c>
      <c r="DW53" s="74" t="e">
        <f t="shared" ca="1" si="43"/>
        <v>#REF!</v>
      </c>
      <c r="DX53" s="74" t="e">
        <f t="shared" ca="1" si="43"/>
        <v>#REF!</v>
      </c>
      <c r="DY53" s="74" t="e">
        <f t="shared" ca="1" si="43"/>
        <v>#REF!</v>
      </c>
      <c r="DZ53" s="74" t="e">
        <f t="shared" ca="1" si="43"/>
        <v>#REF!</v>
      </c>
      <c r="EA53" s="74" t="e">
        <f t="shared" ca="1" si="44"/>
        <v>#REF!</v>
      </c>
      <c r="EB53" s="74" t="e">
        <f t="shared" ca="1" si="44"/>
        <v>#REF!</v>
      </c>
      <c r="EC53" s="74" t="e">
        <f t="shared" ca="1" si="44"/>
        <v>#REF!</v>
      </c>
      <c r="ED53" s="74" t="e">
        <f t="shared" ca="1" si="44"/>
        <v>#REF!</v>
      </c>
      <c r="EE53" s="74" t="e">
        <f t="shared" ca="1" si="44"/>
        <v>#REF!</v>
      </c>
      <c r="EF53" s="74" t="e">
        <f t="shared" ca="1" si="44"/>
        <v>#REF!</v>
      </c>
      <c r="EG53" s="74" t="e">
        <f t="shared" ca="1" si="44"/>
        <v>#REF!</v>
      </c>
      <c r="EH53" s="74" t="e">
        <f t="shared" ca="1" si="44"/>
        <v>#REF!</v>
      </c>
      <c r="EI53" s="74" t="e">
        <f t="shared" ca="1" si="44"/>
        <v>#REF!</v>
      </c>
      <c r="EJ53" s="74" t="e">
        <f t="shared" ca="1" si="44"/>
        <v>#REF!</v>
      </c>
      <c r="EK53" s="75" t="e">
        <f t="shared" ca="1" si="44"/>
        <v>#REF!</v>
      </c>
      <c r="EL53" s="75" t="e">
        <f t="shared" ca="1" si="44"/>
        <v>#REF!</v>
      </c>
      <c r="EM53" s="75" t="e">
        <f t="shared" ca="1" si="44"/>
        <v>#REF!</v>
      </c>
      <c r="EN53" s="75" t="e">
        <f t="shared" ca="1" si="44"/>
        <v>#REF!</v>
      </c>
      <c r="EO53" s="75" t="e">
        <f t="shared" ca="1" si="44"/>
        <v>#REF!</v>
      </c>
      <c r="EP53" s="75" t="e">
        <f t="shared" ca="1" si="44"/>
        <v>#REF!</v>
      </c>
      <c r="EQ53" s="75" t="e">
        <f t="shared" ca="1" si="45"/>
        <v>#REF!</v>
      </c>
      <c r="ER53" s="75" t="e">
        <f t="shared" ca="1" si="45"/>
        <v>#REF!</v>
      </c>
      <c r="ES53" s="75" t="e">
        <f t="shared" ca="1" si="45"/>
        <v>#REF!</v>
      </c>
      <c r="ET53" s="75" t="e">
        <f t="shared" ca="1" si="45"/>
        <v>#REF!</v>
      </c>
      <c r="EU53" s="75" t="e">
        <f t="shared" ca="1" si="45"/>
        <v>#REF!</v>
      </c>
      <c r="EV53" s="75" t="e">
        <f t="shared" ca="1" si="45"/>
        <v>#REF!</v>
      </c>
      <c r="EW53" s="75" t="e">
        <f t="shared" ca="1" si="45"/>
        <v>#REF!</v>
      </c>
      <c r="EX53" s="75" t="e">
        <f t="shared" ca="1" si="45"/>
        <v>#REF!</v>
      </c>
      <c r="EY53" s="75" t="e">
        <f t="shared" ca="1" si="45"/>
        <v>#REF!</v>
      </c>
      <c r="EZ53" s="75" t="e">
        <f t="shared" ca="1" si="45"/>
        <v>#REF!</v>
      </c>
      <c r="FA53" s="75" t="e">
        <f t="shared" ca="1" si="45"/>
        <v>#REF!</v>
      </c>
      <c r="FB53" s="75" t="e">
        <f t="shared" ca="1" si="45"/>
        <v>#REF!</v>
      </c>
      <c r="FC53" s="76" t="e">
        <f t="shared" ca="1" si="45"/>
        <v>#REF!</v>
      </c>
      <c r="FD53" s="74" t="e">
        <f t="shared" ca="1" si="45"/>
        <v>#REF!</v>
      </c>
      <c r="FE53" s="74" t="e">
        <f t="shared" ca="1" si="45"/>
        <v>#REF!</v>
      </c>
      <c r="FF53" s="74" t="e">
        <f t="shared" ca="1" si="45"/>
        <v>#REF!</v>
      </c>
      <c r="FG53" s="74" t="e">
        <f t="shared" ca="1" si="46"/>
        <v>#REF!</v>
      </c>
      <c r="FH53" s="74" t="e">
        <f t="shared" ca="1" si="46"/>
        <v>#REF!</v>
      </c>
      <c r="FI53" s="74" t="e">
        <f t="shared" ca="1" si="46"/>
        <v>#REF!</v>
      </c>
      <c r="FJ53" s="74" t="e">
        <f t="shared" ca="1" si="46"/>
        <v>#REF!</v>
      </c>
      <c r="FK53" s="74" t="e">
        <f t="shared" ca="1" si="46"/>
        <v>#REF!</v>
      </c>
      <c r="FL53" s="74" t="e">
        <f t="shared" ca="1" si="46"/>
        <v>#REF!</v>
      </c>
      <c r="FM53" s="74" t="e">
        <f t="shared" ca="1" si="46"/>
        <v>#REF!</v>
      </c>
      <c r="FN53" s="74" t="e">
        <f t="shared" ca="1" si="46"/>
        <v>#REF!</v>
      </c>
      <c r="FO53" s="74" t="e">
        <f t="shared" ca="1" si="46"/>
        <v>#REF!</v>
      </c>
      <c r="FP53" s="74" t="e">
        <f t="shared" ca="1" si="46"/>
        <v>#REF!</v>
      </c>
      <c r="FQ53" s="74" t="e">
        <f t="shared" ca="1" si="46"/>
        <v>#REF!</v>
      </c>
      <c r="FR53" s="74" t="e">
        <f t="shared" ca="1" si="46"/>
        <v>#REF!</v>
      </c>
      <c r="FS53" s="74" t="e">
        <f t="shared" ca="1" si="46"/>
        <v>#REF!</v>
      </c>
      <c r="FT53" s="74" t="e">
        <f t="shared" ca="1" si="46"/>
        <v>#REF!</v>
      </c>
    </row>
    <row r="54" spans="1:176" x14ac:dyDescent="0.35">
      <c r="A54" s="243">
        <v>226</v>
      </c>
      <c r="B54" s="74" t="e">
        <f t="shared" ca="1" si="49"/>
        <v>#REF!</v>
      </c>
      <c r="C54" s="74" t="e">
        <f t="shared" ca="1" si="49"/>
        <v>#REF!</v>
      </c>
      <c r="D54" s="74" t="e">
        <f t="shared" ca="1" si="49"/>
        <v>#REF!</v>
      </c>
      <c r="E54" s="74" t="e">
        <f t="shared" ca="1" si="49"/>
        <v>#REF!</v>
      </c>
      <c r="F54" t="e">
        <f t="shared" ca="1" si="13"/>
        <v>#REF!</v>
      </c>
      <c r="G54" t="e">
        <f t="shared" ca="1" si="13"/>
        <v>#REF!</v>
      </c>
      <c r="H54" t="e">
        <f t="shared" ca="1" si="13"/>
        <v>#REF!</v>
      </c>
      <c r="I54" s="74" t="e">
        <f t="shared" ca="1" si="49"/>
        <v>#REF!</v>
      </c>
      <c r="J54" s="74" t="e">
        <f t="shared" ca="1" si="49"/>
        <v>#REF!</v>
      </c>
      <c r="K54" s="74" t="e">
        <f t="shared" ca="1" si="49"/>
        <v>#REF!</v>
      </c>
      <c r="L54" s="74" t="e">
        <f t="shared" ca="1" si="49"/>
        <v>#REF!</v>
      </c>
      <c r="M54" s="74" t="e">
        <f t="shared" ca="1" si="49"/>
        <v>#REF!</v>
      </c>
      <c r="N54" s="74" t="e">
        <f t="shared" ca="1" si="49"/>
        <v>#REF!</v>
      </c>
      <c r="O54" s="74" t="e">
        <f t="shared" ca="1" si="49"/>
        <v>#REF!</v>
      </c>
      <c r="P54" s="74" t="e">
        <f t="shared" ca="1" si="49"/>
        <v>#REF!</v>
      </c>
      <c r="Q54" s="74" t="e">
        <f t="shared" ca="1" si="49"/>
        <v>#REF!</v>
      </c>
      <c r="R54" s="74" t="e">
        <f t="shared" ca="1" si="49"/>
        <v>#REF!</v>
      </c>
      <c r="S54" s="74" t="e">
        <f t="shared" ca="1" si="49"/>
        <v>#REF!</v>
      </c>
      <c r="T54" s="74" t="e">
        <f t="shared" ca="1" si="48"/>
        <v>#REF!</v>
      </c>
      <c r="U54" s="74" t="e">
        <f t="shared" ca="1" si="48"/>
        <v>#REF!</v>
      </c>
      <c r="V54" s="74" t="e">
        <f t="shared" ca="1" si="48"/>
        <v>#REF!</v>
      </c>
      <c r="W54" s="74" t="e">
        <f t="shared" ca="1" si="48"/>
        <v>#REF!</v>
      </c>
      <c r="X54" s="74" t="e">
        <f t="shared" ca="1" si="48"/>
        <v>#REF!</v>
      </c>
      <c r="Y54" s="74" t="e">
        <f t="shared" ca="1" si="48"/>
        <v>#REF!</v>
      </c>
      <c r="Z54" s="74" t="e">
        <f t="shared" ca="1" si="48"/>
        <v>#REF!</v>
      </c>
      <c r="AA54" s="74" t="e">
        <f t="shared" ca="1" si="48"/>
        <v>#REF!</v>
      </c>
      <c r="AB54" s="75" t="e">
        <f t="shared" ca="1" si="48"/>
        <v>#REF!</v>
      </c>
      <c r="AC54" s="75" t="e">
        <f t="shared" ca="1" si="48"/>
        <v>#REF!</v>
      </c>
      <c r="AD54" s="75" t="e">
        <f t="shared" ca="1" si="48"/>
        <v>#REF!</v>
      </c>
      <c r="AE54" s="75" t="e">
        <f t="shared" ca="1" si="48"/>
        <v>#REF!</v>
      </c>
      <c r="AF54" s="75" t="e">
        <f t="shared" ca="1" si="48"/>
        <v>#REF!</v>
      </c>
      <c r="AG54" s="75" t="e">
        <f t="shared" ca="1" si="48"/>
        <v>#REF!</v>
      </c>
      <c r="AH54" s="75" t="e">
        <f t="shared" ca="1" si="48"/>
        <v>#REF!</v>
      </c>
      <c r="AI54" s="75" t="e">
        <f t="shared" ca="1" si="38"/>
        <v>#REF!</v>
      </c>
      <c r="AJ54" s="75" t="e">
        <f t="shared" ca="1" si="38"/>
        <v>#REF!</v>
      </c>
      <c r="AK54" s="75" t="e">
        <f t="shared" ca="1" si="38"/>
        <v>#REF!</v>
      </c>
      <c r="AL54" s="75" t="e">
        <f t="shared" ca="1" si="38"/>
        <v>#REF!</v>
      </c>
      <c r="AM54" s="75" t="e">
        <f t="shared" ca="1" si="38"/>
        <v>#REF!</v>
      </c>
      <c r="AN54" s="75" t="e">
        <f t="shared" ca="1" si="38"/>
        <v>#REF!</v>
      </c>
      <c r="AO54" s="75" t="e">
        <f t="shared" ca="1" si="38"/>
        <v>#REF!</v>
      </c>
      <c r="AP54" s="75" t="e">
        <f t="shared" ca="1" si="38"/>
        <v>#REF!</v>
      </c>
      <c r="AQ54" s="75" t="e">
        <f t="shared" ca="1" si="38"/>
        <v>#REF!</v>
      </c>
      <c r="AR54" s="75" t="e">
        <f t="shared" ca="1" si="38"/>
        <v>#REF!</v>
      </c>
      <c r="AS54" s="75" t="e">
        <f t="shared" ca="1" si="38"/>
        <v>#REF!</v>
      </c>
      <c r="AT54" s="75" t="e">
        <f t="shared" ca="1" si="38"/>
        <v>#REF!</v>
      </c>
      <c r="AU54" s="74" t="e">
        <f t="shared" ca="1" si="38"/>
        <v>#REF!</v>
      </c>
      <c r="AV54" s="74" t="e">
        <f t="shared" ca="1" si="38"/>
        <v>#REF!</v>
      </c>
      <c r="AW54" s="74" t="e">
        <f t="shared" ca="1" si="38"/>
        <v>#REF!</v>
      </c>
      <c r="AX54" s="74" t="e">
        <f t="shared" ca="1" si="38"/>
        <v>#REF!</v>
      </c>
      <c r="AY54" s="74" t="e">
        <f t="shared" ca="1" si="39"/>
        <v>#REF!</v>
      </c>
      <c r="AZ54" s="74" t="e">
        <f t="shared" ca="1" si="39"/>
        <v>#REF!</v>
      </c>
      <c r="BA54" s="74" t="e">
        <f t="shared" ca="1" si="39"/>
        <v>#REF!</v>
      </c>
      <c r="BB54" s="74" t="e">
        <f t="shared" ca="1" si="39"/>
        <v>#REF!</v>
      </c>
      <c r="BC54" s="74" t="e">
        <f t="shared" ca="1" si="39"/>
        <v>#REF!</v>
      </c>
      <c r="BD54" s="74" t="e">
        <f t="shared" ca="1" si="39"/>
        <v>#REF!</v>
      </c>
      <c r="BE54" s="74" t="e">
        <f t="shared" ca="1" si="39"/>
        <v>#REF!</v>
      </c>
      <c r="BF54" s="74" t="e">
        <f t="shared" ca="1" si="39"/>
        <v>#REF!</v>
      </c>
      <c r="BG54" s="74" t="e">
        <f t="shared" ca="1" si="39"/>
        <v>#REF!</v>
      </c>
      <c r="BH54" s="74" t="e">
        <f t="shared" ca="1" si="39"/>
        <v>#REF!</v>
      </c>
      <c r="BI54" s="74" t="e">
        <f t="shared" ca="1" si="39"/>
        <v>#REF!</v>
      </c>
      <c r="BJ54" s="74" t="e">
        <f t="shared" ca="1" si="39"/>
        <v>#REF!</v>
      </c>
      <c r="BK54" s="74" t="e">
        <f t="shared" ca="1" si="39"/>
        <v>#REF!</v>
      </c>
      <c r="BL54" s="74" t="e">
        <f t="shared" ca="1" si="39"/>
        <v>#REF!</v>
      </c>
      <c r="BM54" s="74" t="e">
        <f t="shared" ca="1" si="39"/>
        <v>#REF!</v>
      </c>
      <c r="BN54" s="75" t="e">
        <f t="shared" ca="1" si="39"/>
        <v>#REF!</v>
      </c>
      <c r="BO54" s="75" t="e">
        <f t="shared" ca="1" si="40"/>
        <v>#REF!</v>
      </c>
      <c r="BP54" s="75" t="e">
        <f t="shared" ca="1" si="40"/>
        <v>#REF!</v>
      </c>
      <c r="BQ54" s="75" t="e">
        <f t="shared" ca="1" si="40"/>
        <v>#REF!</v>
      </c>
      <c r="BR54" s="75" t="e">
        <f t="shared" ca="1" si="40"/>
        <v>#REF!</v>
      </c>
      <c r="BS54" s="75" t="e">
        <f t="shared" ca="1" si="40"/>
        <v>#REF!</v>
      </c>
      <c r="BT54" s="75" t="e">
        <f t="shared" ca="1" si="40"/>
        <v>#REF!</v>
      </c>
      <c r="BU54" s="75" t="e">
        <f t="shared" ca="1" si="40"/>
        <v>#REF!</v>
      </c>
      <c r="BV54" s="75" t="e">
        <f t="shared" ca="1" si="40"/>
        <v>#REF!</v>
      </c>
      <c r="BW54" s="75" t="e">
        <f t="shared" ca="1" si="40"/>
        <v>#REF!</v>
      </c>
      <c r="BX54" s="75" t="e">
        <f t="shared" ca="1" si="40"/>
        <v>#REF!</v>
      </c>
      <c r="BY54" s="75" t="e">
        <f t="shared" ca="1" si="40"/>
        <v>#REF!</v>
      </c>
      <c r="BZ54" s="75" t="e">
        <f t="shared" ca="1" si="40"/>
        <v>#REF!</v>
      </c>
      <c r="CA54" s="75" t="e">
        <f t="shared" ca="1" si="40"/>
        <v>#REF!</v>
      </c>
      <c r="CB54" s="75" t="e">
        <f t="shared" ca="1" si="40"/>
        <v>#REF!</v>
      </c>
      <c r="CC54" s="75" t="e">
        <f t="shared" ca="1" si="40"/>
        <v>#REF!</v>
      </c>
      <c r="CD54" s="75" t="e">
        <f t="shared" ca="1" si="40"/>
        <v>#REF!</v>
      </c>
      <c r="CE54" s="75" t="e">
        <f t="shared" ca="1" si="41"/>
        <v>#REF!</v>
      </c>
      <c r="CF54" s="75" t="e">
        <f t="shared" ca="1" si="41"/>
        <v>#REF!</v>
      </c>
      <c r="CG54" s="74" t="e">
        <f t="shared" ca="1" si="41"/>
        <v>#REF!</v>
      </c>
      <c r="CH54" s="74" t="e">
        <f t="shared" ca="1" si="41"/>
        <v>#REF!</v>
      </c>
      <c r="CI54" s="74" t="e">
        <f t="shared" ca="1" si="41"/>
        <v>#REF!</v>
      </c>
      <c r="CJ54" s="74" t="e">
        <f t="shared" ca="1" si="41"/>
        <v>#REF!</v>
      </c>
      <c r="CK54" s="74" t="e">
        <f t="shared" ca="1" si="41"/>
        <v>#REF!</v>
      </c>
      <c r="CL54" s="74" t="e">
        <f t="shared" ca="1" si="41"/>
        <v>#REF!</v>
      </c>
      <c r="CM54" s="74" t="e">
        <f t="shared" ca="1" si="41"/>
        <v>#REF!</v>
      </c>
      <c r="CN54" s="74" t="e">
        <f t="shared" ca="1" si="41"/>
        <v>#REF!</v>
      </c>
      <c r="CO54" s="74" t="e">
        <f t="shared" ca="1" si="41"/>
        <v>#REF!</v>
      </c>
      <c r="CP54" s="74" t="e">
        <f t="shared" ca="1" si="41"/>
        <v>#REF!</v>
      </c>
      <c r="CQ54" s="74" t="e">
        <f t="shared" ca="1" si="41"/>
        <v>#REF!</v>
      </c>
      <c r="CR54" s="74" t="e">
        <f t="shared" ca="1" si="41"/>
        <v>#REF!</v>
      </c>
      <c r="CS54" s="74" t="e">
        <f t="shared" ca="1" si="41"/>
        <v>#REF!</v>
      </c>
      <c r="CT54" s="74" t="e">
        <f t="shared" ca="1" si="41"/>
        <v>#REF!</v>
      </c>
      <c r="CU54" s="74" t="e">
        <f t="shared" ca="1" si="42"/>
        <v>#REF!</v>
      </c>
      <c r="CV54" s="74" t="e">
        <f t="shared" ca="1" si="42"/>
        <v>#REF!</v>
      </c>
      <c r="CW54" s="74" t="e">
        <f t="shared" ca="1" si="42"/>
        <v>#REF!</v>
      </c>
      <c r="CX54" s="74" t="e">
        <f t="shared" ca="1" si="42"/>
        <v>#REF!</v>
      </c>
      <c r="CY54" s="74" t="e">
        <f t="shared" ca="1" si="42"/>
        <v>#REF!</v>
      </c>
      <c r="CZ54" s="75" t="e">
        <f t="shared" ca="1" si="42"/>
        <v>#REF!</v>
      </c>
      <c r="DA54" s="75" t="e">
        <f t="shared" ca="1" si="42"/>
        <v>#REF!</v>
      </c>
      <c r="DB54" s="75" t="e">
        <f t="shared" ca="1" si="42"/>
        <v>#REF!</v>
      </c>
      <c r="DC54" s="75" t="e">
        <f t="shared" ca="1" si="42"/>
        <v>#REF!</v>
      </c>
      <c r="DD54" s="75" t="e">
        <f t="shared" ca="1" si="42"/>
        <v>#REF!</v>
      </c>
      <c r="DE54" s="75" t="e">
        <f t="shared" ca="1" si="42"/>
        <v>#REF!</v>
      </c>
      <c r="DF54" s="75" t="e">
        <f t="shared" ca="1" si="42"/>
        <v>#REF!</v>
      </c>
      <c r="DG54" s="75" t="e">
        <f t="shared" ca="1" si="42"/>
        <v>#REF!</v>
      </c>
      <c r="DH54" s="75" t="e">
        <f t="shared" ca="1" si="42"/>
        <v>#REF!</v>
      </c>
      <c r="DI54" s="75" t="e">
        <f t="shared" ca="1" si="42"/>
        <v>#REF!</v>
      </c>
      <c r="DJ54" s="75" t="e">
        <f t="shared" ca="1" si="42"/>
        <v>#REF!</v>
      </c>
      <c r="DK54" s="75" t="e">
        <f t="shared" ca="1" si="43"/>
        <v>#REF!</v>
      </c>
      <c r="DL54" s="75" t="e">
        <f t="shared" ca="1" si="43"/>
        <v>#REF!</v>
      </c>
      <c r="DM54" s="75" t="e">
        <f t="shared" ca="1" si="43"/>
        <v>#REF!</v>
      </c>
      <c r="DN54" s="75" t="e">
        <f t="shared" ca="1" si="43"/>
        <v>#REF!</v>
      </c>
      <c r="DO54" s="75" t="e">
        <f t="shared" ca="1" si="43"/>
        <v>#REF!</v>
      </c>
      <c r="DP54" s="75" t="e">
        <f t="shared" ca="1" si="43"/>
        <v>#REF!</v>
      </c>
      <c r="DQ54" s="75" t="e">
        <f t="shared" ca="1" si="43"/>
        <v>#REF!</v>
      </c>
      <c r="DR54" s="75" t="e">
        <f t="shared" ca="1" si="43"/>
        <v>#REF!</v>
      </c>
      <c r="DS54" s="74" t="e">
        <f t="shared" ca="1" si="43"/>
        <v>#REF!</v>
      </c>
      <c r="DT54" s="74" t="e">
        <f t="shared" ca="1" si="43"/>
        <v>#REF!</v>
      </c>
      <c r="DU54" s="74" t="e">
        <f t="shared" ca="1" si="43"/>
        <v>#REF!</v>
      </c>
      <c r="DV54" s="74" t="e">
        <f t="shared" ca="1" si="43"/>
        <v>#REF!</v>
      </c>
      <c r="DW54" s="74" t="e">
        <f t="shared" ca="1" si="43"/>
        <v>#REF!</v>
      </c>
      <c r="DX54" s="74" t="e">
        <f t="shared" ca="1" si="43"/>
        <v>#REF!</v>
      </c>
      <c r="DY54" s="74" t="e">
        <f t="shared" ca="1" si="43"/>
        <v>#REF!</v>
      </c>
      <c r="DZ54" s="74" t="e">
        <f t="shared" ca="1" si="43"/>
        <v>#REF!</v>
      </c>
      <c r="EA54" s="74" t="e">
        <f t="shared" ca="1" si="44"/>
        <v>#REF!</v>
      </c>
      <c r="EB54" s="74" t="e">
        <f t="shared" ca="1" si="44"/>
        <v>#REF!</v>
      </c>
      <c r="EC54" s="74" t="e">
        <f t="shared" ca="1" si="44"/>
        <v>#REF!</v>
      </c>
      <c r="ED54" s="74" t="e">
        <f t="shared" ca="1" si="44"/>
        <v>#REF!</v>
      </c>
      <c r="EE54" s="74" t="e">
        <f t="shared" ca="1" si="44"/>
        <v>#REF!</v>
      </c>
      <c r="EF54" s="74" t="e">
        <f t="shared" ca="1" si="44"/>
        <v>#REF!</v>
      </c>
      <c r="EG54" s="74" t="e">
        <f t="shared" ca="1" si="44"/>
        <v>#REF!</v>
      </c>
      <c r="EH54" s="74" t="e">
        <f t="shared" ca="1" si="44"/>
        <v>#REF!</v>
      </c>
      <c r="EI54" s="74" t="e">
        <f t="shared" ca="1" si="44"/>
        <v>#REF!</v>
      </c>
      <c r="EJ54" s="74" t="e">
        <f t="shared" ca="1" si="44"/>
        <v>#REF!</v>
      </c>
      <c r="EK54" s="75" t="e">
        <f t="shared" ca="1" si="44"/>
        <v>#REF!</v>
      </c>
      <c r="EL54" s="75" t="e">
        <f t="shared" ca="1" si="44"/>
        <v>#REF!</v>
      </c>
      <c r="EM54" s="75" t="e">
        <f t="shared" ca="1" si="44"/>
        <v>#REF!</v>
      </c>
      <c r="EN54" s="75" t="e">
        <f t="shared" ca="1" si="44"/>
        <v>#REF!</v>
      </c>
      <c r="EO54" s="75" t="e">
        <f t="shared" ca="1" si="44"/>
        <v>#REF!</v>
      </c>
      <c r="EP54" s="75" t="e">
        <f t="shared" ca="1" si="44"/>
        <v>#REF!</v>
      </c>
      <c r="EQ54" s="75" t="e">
        <f t="shared" ca="1" si="45"/>
        <v>#REF!</v>
      </c>
      <c r="ER54" s="75" t="e">
        <f t="shared" ca="1" si="45"/>
        <v>#REF!</v>
      </c>
      <c r="ES54" s="75" t="e">
        <f t="shared" ca="1" si="45"/>
        <v>#REF!</v>
      </c>
      <c r="ET54" s="75" t="e">
        <f t="shared" ca="1" si="45"/>
        <v>#REF!</v>
      </c>
      <c r="EU54" s="75" t="e">
        <f t="shared" ca="1" si="45"/>
        <v>#REF!</v>
      </c>
      <c r="EV54" s="75" t="e">
        <f t="shared" ca="1" si="45"/>
        <v>#REF!</v>
      </c>
      <c r="EW54" s="75" t="e">
        <f t="shared" ca="1" si="45"/>
        <v>#REF!</v>
      </c>
      <c r="EX54" s="75" t="e">
        <f t="shared" ca="1" si="45"/>
        <v>#REF!</v>
      </c>
      <c r="EY54" s="75" t="e">
        <f t="shared" ca="1" si="45"/>
        <v>#REF!</v>
      </c>
      <c r="EZ54" s="75" t="e">
        <f t="shared" ca="1" si="45"/>
        <v>#REF!</v>
      </c>
      <c r="FA54" s="75" t="e">
        <f t="shared" ca="1" si="45"/>
        <v>#REF!</v>
      </c>
      <c r="FB54" s="75" t="e">
        <f t="shared" ca="1" si="45"/>
        <v>#REF!</v>
      </c>
      <c r="FC54" s="76" t="e">
        <f t="shared" ca="1" si="45"/>
        <v>#REF!</v>
      </c>
      <c r="FD54" s="74" t="e">
        <f t="shared" ca="1" si="45"/>
        <v>#REF!</v>
      </c>
      <c r="FE54" s="74" t="e">
        <f t="shared" ca="1" si="45"/>
        <v>#REF!</v>
      </c>
      <c r="FF54" s="74" t="e">
        <f t="shared" ca="1" si="45"/>
        <v>#REF!</v>
      </c>
      <c r="FG54" s="74" t="e">
        <f t="shared" ca="1" si="46"/>
        <v>#REF!</v>
      </c>
      <c r="FH54" s="74" t="e">
        <f t="shared" ca="1" si="46"/>
        <v>#REF!</v>
      </c>
      <c r="FI54" s="74" t="e">
        <f t="shared" ca="1" si="46"/>
        <v>#REF!</v>
      </c>
      <c r="FJ54" s="74" t="e">
        <f t="shared" ca="1" si="46"/>
        <v>#REF!</v>
      </c>
      <c r="FK54" s="74" t="e">
        <f t="shared" ca="1" si="46"/>
        <v>#REF!</v>
      </c>
      <c r="FL54" s="74" t="e">
        <f t="shared" ca="1" si="46"/>
        <v>#REF!</v>
      </c>
      <c r="FM54" s="74" t="e">
        <f t="shared" ca="1" si="46"/>
        <v>#REF!</v>
      </c>
      <c r="FN54" s="74" t="e">
        <f t="shared" ca="1" si="46"/>
        <v>#REF!</v>
      </c>
      <c r="FO54" s="74" t="e">
        <f t="shared" ca="1" si="46"/>
        <v>#REF!</v>
      </c>
      <c r="FP54" s="74" t="e">
        <f t="shared" ca="1" si="46"/>
        <v>#REF!</v>
      </c>
      <c r="FQ54" s="74" t="e">
        <f t="shared" ca="1" si="46"/>
        <v>#REF!</v>
      </c>
      <c r="FR54" s="74" t="e">
        <f t="shared" ca="1" si="46"/>
        <v>#REF!</v>
      </c>
      <c r="FS54" s="74" t="e">
        <f t="shared" ca="1" si="46"/>
        <v>#REF!</v>
      </c>
      <c r="FT54" s="74" t="e">
        <f t="shared" ca="1" si="46"/>
        <v>#REF!</v>
      </c>
    </row>
    <row r="55" spans="1:176" x14ac:dyDescent="0.35">
      <c r="A55" s="243">
        <v>215</v>
      </c>
      <c r="B55" s="74" t="e">
        <f t="shared" ca="1" si="49"/>
        <v>#REF!</v>
      </c>
      <c r="C55" s="74" t="e">
        <f t="shared" ca="1" si="49"/>
        <v>#REF!</v>
      </c>
      <c r="D55" s="74" t="e">
        <f t="shared" ca="1" si="49"/>
        <v>#REF!</v>
      </c>
      <c r="E55" s="74" t="e">
        <f t="shared" ca="1" si="49"/>
        <v>#REF!</v>
      </c>
      <c r="F55" t="e">
        <f t="shared" ca="1" si="13"/>
        <v>#REF!</v>
      </c>
      <c r="G55" t="e">
        <f t="shared" ca="1" si="13"/>
        <v>#REF!</v>
      </c>
      <c r="H55" t="e">
        <f t="shared" ca="1" si="13"/>
        <v>#REF!</v>
      </c>
      <c r="I55" s="74" t="e">
        <f t="shared" ca="1" si="49"/>
        <v>#REF!</v>
      </c>
      <c r="J55" s="74" t="e">
        <f t="shared" ca="1" si="49"/>
        <v>#REF!</v>
      </c>
      <c r="K55" s="74" t="e">
        <f t="shared" ca="1" si="49"/>
        <v>#REF!</v>
      </c>
      <c r="L55" s="74" t="e">
        <f t="shared" ca="1" si="49"/>
        <v>#REF!</v>
      </c>
      <c r="M55" s="74" t="e">
        <f t="shared" ca="1" si="49"/>
        <v>#REF!</v>
      </c>
      <c r="N55" s="74" t="e">
        <f t="shared" ca="1" si="49"/>
        <v>#REF!</v>
      </c>
      <c r="O55" s="74" t="e">
        <f t="shared" ca="1" si="49"/>
        <v>#REF!</v>
      </c>
      <c r="P55" s="74" t="e">
        <f t="shared" ca="1" si="49"/>
        <v>#REF!</v>
      </c>
      <c r="Q55" s="74" t="e">
        <f t="shared" ca="1" si="49"/>
        <v>#REF!</v>
      </c>
      <c r="R55" s="74" t="e">
        <f t="shared" ca="1" si="49"/>
        <v>#REF!</v>
      </c>
      <c r="S55" s="74" t="e">
        <f t="shared" ca="1" si="49"/>
        <v>#REF!</v>
      </c>
      <c r="T55" s="74" t="e">
        <f t="shared" ca="1" si="48"/>
        <v>#REF!</v>
      </c>
      <c r="U55" s="74" t="e">
        <f t="shared" ca="1" si="48"/>
        <v>#REF!</v>
      </c>
      <c r="V55" s="74" t="e">
        <f t="shared" ca="1" si="48"/>
        <v>#REF!</v>
      </c>
      <c r="W55" s="74" t="e">
        <f t="shared" ca="1" si="48"/>
        <v>#REF!</v>
      </c>
      <c r="X55" s="74" t="e">
        <f t="shared" ca="1" si="48"/>
        <v>#REF!</v>
      </c>
      <c r="Y55" s="74" t="e">
        <f t="shared" ca="1" si="48"/>
        <v>#REF!</v>
      </c>
      <c r="Z55" s="74" t="e">
        <f t="shared" ca="1" si="48"/>
        <v>#REF!</v>
      </c>
      <c r="AA55" s="74" t="e">
        <f t="shared" ca="1" si="48"/>
        <v>#REF!</v>
      </c>
      <c r="AB55" s="75" t="e">
        <f t="shared" ca="1" si="48"/>
        <v>#REF!</v>
      </c>
      <c r="AC55" s="75" t="e">
        <f t="shared" ca="1" si="48"/>
        <v>#REF!</v>
      </c>
      <c r="AD55" s="75" t="e">
        <f t="shared" ca="1" si="48"/>
        <v>#REF!</v>
      </c>
      <c r="AE55" s="75" t="e">
        <f t="shared" ca="1" si="48"/>
        <v>#REF!</v>
      </c>
      <c r="AF55" s="75" t="e">
        <f t="shared" ca="1" si="48"/>
        <v>#REF!</v>
      </c>
      <c r="AG55" s="75" t="e">
        <f t="shared" ca="1" si="48"/>
        <v>#REF!</v>
      </c>
      <c r="AH55" s="75" t="e">
        <f t="shared" ca="1" si="48"/>
        <v>#REF!</v>
      </c>
      <c r="AI55" s="75" t="e">
        <f t="shared" ca="1" si="38"/>
        <v>#REF!</v>
      </c>
      <c r="AJ55" s="75" t="e">
        <f t="shared" ca="1" si="38"/>
        <v>#REF!</v>
      </c>
      <c r="AK55" s="75" t="e">
        <f t="shared" ca="1" si="38"/>
        <v>#REF!</v>
      </c>
      <c r="AL55" s="75" t="e">
        <f t="shared" ca="1" si="38"/>
        <v>#REF!</v>
      </c>
      <c r="AM55" s="75" t="e">
        <f t="shared" ca="1" si="38"/>
        <v>#REF!</v>
      </c>
      <c r="AN55" s="75" t="e">
        <f t="shared" ca="1" si="38"/>
        <v>#REF!</v>
      </c>
      <c r="AO55" s="75" t="e">
        <f t="shared" ca="1" si="38"/>
        <v>#REF!</v>
      </c>
      <c r="AP55" s="75" t="e">
        <f t="shared" ca="1" si="38"/>
        <v>#REF!</v>
      </c>
      <c r="AQ55" s="75" t="e">
        <f t="shared" ca="1" si="38"/>
        <v>#REF!</v>
      </c>
      <c r="AR55" s="75" t="e">
        <f t="shared" ca="1" si="38"/>
        <v>#REF!</v>
      </c>
      <c r="AS55" s="75" t="e">
        <f t="shared" ca="1" si="38"/>
        <v>#REF!</v>
      </c>
      <c r="AT55" s="75" t="e">
        <f t="shared" ca="1" si="38"/>
        <v>#REF!</v>
      </c>
      <c r="AU55" s="74" t="e">
        <f t="shared" ca="1" si="38"/>
        <v>#REF!</v>
      </c>
      <c r="AV55" s="74" t="e">
        <f t="shared" ca="1" si="38"/>
        <v>#REF!</v>
      </c>
      <c r="AW55" s="74" t="e">
        <f t="shared" ca="1" si="38"/>
        <v>#REF!</v>
      </c>
      <c r="AX55" s="74" t="e">
        <f t="shared" ca="1" si="38"/>
        <v>#REF!</v>
      </c>
      <c r="AY55" s="74" t="e">
        <f t="shared" ca="1" si="39"/>
        <v>#REF!</v>
      </c>
      <c r="AZ55" s="74" t="e">
        <f t="shared" ca="1" si="39"/>
        <v>#REF!</v>
      </c>
      <c r="BA55" s="74" t="e">
        <f t="shared" ca="1" si="39"/>
        <v>#REF!</v>
      </c>
      <c r="BB55" s="74" t="e">
        <f t="shared" ca="1" si="39"/>
        <v>#REF!</v>
      </c>
      <c r="BC55" s="74" t="e">
        <f t="shared" ca="1" si="39"/>
        <v>#REF!</v>
      </c>
      <c r="BD55" s="74" t="e">
        <f t="shared" ca="1" si="39"/>
        <v>#REF!</v>
      </c>
      <c r="BE55" s="74" t="e">
        <f t="shared" ca="1" si="39"/>
        <v>#REF!</v>
      </c>
      <c r="BF55" s="74" t="e">
        <f t="shared" ca="1" si="39"/>
        <v>#REF!</v>
      </c>
      <c r="BG55" s="74" t="e">
        <f t="shared" ca="1" si="39"/>
        <v>#REF!</v>
      </c>
      <c r="BH55" s="74" t="e">
        <f t="shared" ca="1" si="39"/>
        <v>#REF!</v>
      </c>
      <c r="BI55" s="74" t="e">
        <f t="shared" ca="1" si="39"/>
        <v>#REF!</v>
      </c>
      <c r="BJ55" s="74" t="e">
        <f t="shared" ca="1" si="39"/>
        <v>#REF!</v>
      </c>
      <c r="BK55" s="74" t="e">
        <f t="shared" ca="1" si="39"/>
        <v>#REF!</v>
      </c>
      <c r="BL55" s="74" t="e">
        <f t="shared" ca="1" si="39"/>
        <v>#REF!</v>
      </c>
      <c r="BM55" s="74" t="e">
        <f t="shared" ca="1" si="39"/>
        <v>#REF!</v>
      </c>
      <c r="BN55" s="75" t="e">
        <f t="shared" ca="1" si="39"/>
        <v>#REF!</v>
      </c>
      <c r="BO55" s="75" t="e">
        <f t="shared" ca="1" si="40"/>
        <v>#REF!</v>
      </c>
      <c r="BP55" s="75" t="e">
        <f t="shared" ca="1" si="40"/>
        <v>#REF!</v>
      </c>
      <c r="BQ55" s="75" t="e">
        <f t="shared" ca="1" si="40"/>
        <v>#REF!</v>
      </c>
      <c r="BR55" s="75" t="e">
        <f t="shared" ca="1" si="40"/>
        <v>#REF!</v>
      </c>
      <c r="BS55" s="75" t="e">
        <f t="shared" ca="1" si="40"/>
        <v>#REF!</v>
      </c>
      <c r="BT55" s="75" t="e">
        <f t="shared" ca="1" si="40"/>
        <v>#REF!</v>
      </c>
      <c r="BU55" s="75" t="e">
        <f t="shared" ca="1" si="40"/>
        <v>#REF!</v>
      </c>
      <c r="BV55" s="75" t="e">
        <f t="shared" ca="1" si="40"/>
        <v>#REF!</v>
      </c>
      <c r="BW55" s="75" t="e">
        <f t="shared" ca="1" si="40"/>
        <v>#REF!</v>
      </c>
      <c r="BX55" s="75" t="e">
        <f t="shared" ca="1" si="40"/>
        <v>#REF!</v>
      </c>
      <c r="BY55" s="75" t="e">
        <f t="shared" ca="1" si="40"/>
        <v>#REF!</v>
      </c>
      <c r="BZ55" s="75" t="e">
        <f t="shared" ca="1" si="40"/>
        <v>#REF!</v>
      </c>
      <c r="CA55" s="75" t="e">
        <f t="shared" ca="1" si="40"/>
        <v>#REF!</v>
      </c>
      <c r="CB55" s="75" t="e">
        <f t="shared" ca="1" si="40"/>
        <v>#REF!</v>
      </c>
      <c r="CC55" s="75" t="e">
        <f t="shared" ca="1" si="40"/>
        <v>#REF!</v>
      </c>
      <c r="CD55" s="75" t="e">
        <f t="shared" ca="1" si="40"/>
        <v>#REF!</v>
      </c>
      <c r="CE55" s="75" t="e">
        <f t="shared" ca="1" si="41"/>
        <v>#REF!</v>
      </c>
      <c r="CF55" s="75" t="e">
        <f t="shared" ca="1" si="41"/>
        <v>#REF!</v>
      </c>
      <c r="CG55" s="74" t="e">
        <f t="shared" ca="1" si="41"/>
        <v>#REF!</v>
      </c>
      <c r="CH55" s="74" t="e">
        <f t="shared" ca="1" si="41"/>
        <v>#REF!</v>
      </c>
      <c r="CI55" s="74" t="e">
        <f t="shared" ca="1" si="41"/>
        <v>#REF!</v>
      </c>
      <c r="CJ55" s="74" t="e">
        <f t="shared" ca="1" si="41"/>
        <v>#REF!</v>
      </c>
      <c r="CK55" s="74" t="e">
        <f t="shared" ca="1" si="41"/>
        <v>#REF!</v>
      </c>
      <c r="CL55" s="74" t="e">
        <f t="shared" ca="1" si="41"/>
        <v>#REF!</v>
      </c>
      <c r="CM55" s="74" t="e">
        <f t="shared" ca="1" si="41"/>
        <v>#REF!</v>
      </c>
      <c r="CN55" s="74" t="e">
        <f t="shared" ca="1" si="41"/>
        <v>#REF!</v>
      </c>
      <c r="CO55" s="74" t="e">
        <f t="shared" ca="1" si="41"/>
        <v>#REF!</v>
      </c>
      <c r="CP55" s="74" t="e">
        <f t="shared" ca="1" si="41"/>
        <v>#REF!</v>
      </c>
      <c r="CQ55" s="74" t="e">
        <f t="shared" ca="1" si="41"/>
        <v>#REF!</v>
      </c>
      <c r="CR55" s="74" t="e">
        <f t="shared" ca="1" si="41"/>
        <v>#REF!</v>
      </c>
      <c r="CS55" s="74" t="e">
        <f t="shared" ca="1" si="41"/>
        <v>#REF!</v>
      </c>
      <c r="CT55" s="74" t="e">
        <f t="shared" ca="1" si="41"/>
        <v>#REF!</v>
      </c>
      <c r="CU55" s="74" t="e">
        <f t="shared" ca="1" si="42"/>
        <v>#REF!</v>
      </c>
      <c r="CV55" s="74" t="e">
        <f t="shared" ca="1" si="42"/>
        <v>#REF!</v>
      </c>
      <c r="CW55" s="74" t="e">
        <f t="shared" ca="1" si="42"/>
        <v>#REF!</v>
      </c>
      <c r="CX55" s="74" t="e">
        <f t="shared" ca="1" si="42"/>
        <v>#REF!</v>
      </c>
      <c r="CY55" s="74" t="e">
        <f t="shared" ca="1" si="42"/>
        <v>#REF!</v>
      </c>
      <c r="CZ55" s="75" t="e">
        <f t="shared" ca="1" si="42"/>
        <v>#REF!</v>
      </c>
      <c r="DA55" s="75" t="e">
        <f t="shared" ca="1" si="42"/>
        <v>#REF!</v>
      </c>
      <c r="DB55" s="75" t="e">
        <f t="shared" ca="1" si="42"/>
        <v>#REF!</v>
      </c>
      <c r="DC55" s="75" t="e">
        <f t="shared" ca="1" si="42"/>
        <v>#REF!</v>
      </c>
      <c r="DD55" s="75" t="e">
        <f t="shared" ca="1" si="42"/>
        <v>#REF!</v>
      </c>
      <c r="DE55" s="75" t="e">
        <f t="shared" ca="1" si="42"/>
        <v>#REF!</v>
      </c>
      <c r="DF55" s="75" t="e">
        <f t="shared" ca="1" si="42"/>
        <v>#REF!</v>
      </c>
      <c r="DG55" s="75" t="e">
        <f t="shared" ca="1" si="42"/>
        <v>#REF!</v>
      </c>
      <c r="DH55" s="75" t="e">
        <f t="shared" ca="1" si="42"/>
        <v>#REF!</v>
      </c>
      <c r="DI55" s="75" t="e">
        <f t="shared" ca="1" si="42"/>
        <v>#REF!</v>
      </c>
      <c r="DJ55" s="75" t="e">
        <f t="shared" ca="1" si="42"/>
        <v>#REF!</v>
      </c>
      <c r="DK55" s="75" t="e">
        <f t="shared" ca="1" si="43"/>
        <v>#REF!</v>
      </c>
      <c r="DL55" s="75" t="e">
        <f t="shared" ca="1" si="43"/>
        <v>#REF!</v>
      </c>
      <c r="DM55" s="75" t="e">
        <f t="shared" ca="1" si="43"/>
        <v>#REF!</v>
      </c>
      <c r="DN55" s="75" t="e">
        <f t="shared" ca="1" si="43"/>
        <v>#REF!</v>
      </c>
      <c r="DO55" s="75" t="e">
        <f t="shared" ca="1" si="43"/>
        <v>#REF!</v>
      </c>
      <c r="DP55" s="75" t="e">
        <f t="shared" ca="1" si="43"/>
        <v>#REF!</v>
      </c>
      <c r="DQ55" s="75" t="e">
        <f t="shared" ca="1" si="43"/>
        <v>#REF!</v>
      </c>
      <c r="DR55" s="75" t="e">
        <f t="shared" ca="1" si="43"/>
        <v>#REF!</v>
      </c>
      <c r="DS55" s="74" t="e">
        <f t="shared" ca="1" si="43"/>
        <v>#REF!</v>
      </c>
      <c r="DT55" s="74" t="e">
        <f t="shared" ca="1" si="43"/>
        <v>#REF!</v>
      </c>
      <c r="DU55" s="74" t="e">
        <f t="shared" ca="1" si="43"/>
        <v>#REF!</v>
      </c>
      <c r="DV55" s="74" t="e">
        <f t="shared" ca="1" si="43"/>
        <v>#REF!</v>
      </c>
      <c r="DW55" s="74" t="e">
        <f t="shared" ca="1" si="43"/>
        <v>#REF!</v>
      </c>
      <c r="DX55" s="74" t="e">
        <f t="shared" ca="1" si="43"/>
        <v>#REF!</v>
      </c>
      <c r="DY55" s="74" t="e">
        <f t="shared" ca="1" si="43"/>
        <v>#REF!</v>
      </c>
      <c r="DZ55" s="74" t="e">
        <f t="shared" ca="1" si="43"/>
        <v>#REF!</v>
      </c>
      <c r="EA55" s="74" t="e">
        <f t="shared" ca="1" si="44"/>
        <v>#REF!</v>
      </c>
      <c r="EB55" s="74" t="e">
        <f t="shared" ca="1" si="44"/>
        <v>#REF!</v>
      </c>
      <c r="EC55" s="74" t="e">
        <f t="shared" ca="1" si="44"/>
        <v>#REF!</v>
      </c>
      <c r="ED55" s="74" t="e">
        <f t="shared" ca="1" si="44"/>
        <v>#REF!</v>
      </c>
      <c r="EE55" s="74" t="e">
        <f t="shared" ca="1" si="44"/>
        <v>#REF!</v>
      </c>
      <c r="EF55" s="74" t="e">
        <f t="shared" ca="1" si="44"/>
        <v>#REF!</v>
      </c>
      <c r="EG55" s="74" t="e">
        <f t="shared" ca="1" si="44"/>
        <v>#REF!</v>
      </c>
      <c r="EH55" s="74" t="e">
        <f t="shared" ca="1" si="44"/>
        <v>#REF!</v>
      </c>
      <c r="EI55" s="74" t="e">
        <f t="shared" ca="1" si="44"/>
        <v>#REF!</v>
      </c>
      <c r="EJ55" s="74" t="e">
        <f t="shared" ca="1" si="44"/>
        <v>#REF!</v>
      </c>
      <c r="EK55" s="75" t="e">
        <f t="shared" ca="1" si="44"/>
        <v>#REF!</v>
      </c>
      <c r="EL55" s="75" t="e">
        <f t="shared" ca="1" si="44"/>
        <v>#REF!</v>
      </c>
      <c r="EM55" s="75" t="e">
        <f t="shared" ca="1" si="44"/>
        <v>#REF!</v>
      </c>
      <c r="EN55" s="75" t="e">
        <f t="shared" ca="1" si="44"/>
        <v>#REF!</v>
      </c>
      <c r="EO55" s="75" t="e">
        <f t="shared" ca="1" si="44"/>
        <v>#REF!</v>
      </c>
      <c r="EP55" s="75" t="e">
        <f t="shared" ca="1" si="44"/>
        <v>#REF!</v>
      </c>
      <c r="EQ55" s="75" t="e">
        <f t="shared" ca="1" si="45"/>
        <v>#REF!</v>
      </c>
      <c r="ER55" s="75" t="e">
        <f t="shared" ca="1" si="45"/>
        <v>#REF!</v>
      </c>
      <c r="ES55" s="75" t="e">
        <f t="shared" ca="1" si="45"/>
        <v>#REF!</v>
      </c>
      <c r="ET55" s="75" t="e">
        <f t="shared" ca="1" si="45"/>
        <v>#REF!</v>
      </c>
      <c r="EU55" s="75" t="e">
        <f t="shared" ca="1" si="45"/>
        <v>#REF!</v>
      </c>
      <c r="EV55" s="75" t="e">
        <f t="shared" ca="1" si="45"/>
        <v>#REF!</v>
      </c>
      <c r="EW55" s="75" t="e">
        <f t="shared" ca="1" si="45"/>
        <v>#REF!</v>
      </c>
      <c r="EX55" s="75" t="e">
        <f t="shared" ca="1" si="45"/>
        <v>#REF!</v>
      </c>
      <c r="EY55" s="75" t="e">
        <f t="shared" ca="1" si="45"/>
        <v>#REF!</v>
      </c>
      <c r="EZ55" s="75" t="e">
        <f t="shared" ca="1" si="45"/>
        <v>#REF!</v>
      </c>
      <c r="FA55" s="75" t="e">
        <f t="shared" ca="1" si="45"/>
        <v>#REF!</v>
      </c>
      <c r="FB55" s="75" t="e">
        <f t="shared" ca="1" si="45"/>
        <v>#REF!</v>
      </c>
      <c r="FC55" s="76" t="e">
        <f t="shared" ca="1" si="45"/>
        <v>#REF!</v>
      </c>
      <c r="FD55" s="74" t="e">
        <f t="shared" ca="1" si="45"/>
        <v>#REF!</v>
      </c>
      <c r="FE55" s="74" t="e">
        <f t="shared" ca="1" si="45"/>
        <v>#REF!</v>
      </c>
      <c r="FF55" s="74" t="e">
        <f t="shared" ca="1" si="45"/>
        <v>#REF!</v>
      </c>
      <c r="FG55" s="74" t="e">
        <f t="shared" ca="1" si="46"/>
        <v>#REF!</v>
      </c>
      <c r="FH55" s="74" t="e">
        <f t="shared" ca="1" si="46"/>
        <v>#REF!</v>
      </c>
      <c r="FI55" s="74" t="e">
        <f t="shared" ca="1" si="46"/>
        <v>#REF!</v>
      </c>
      <c r="FJ55" s="74" t="e">
        <f t="shared" ca="1" si="46"/>
        <v>#REF!</v>
      </c>
      <c r="FK55" s="74" t="e">
        <f t="shared" ca="1" si="46"/>
        <v>#REF!</v>
      </c>
      <c r="FL55" s="74" t="e">
        <f t="shared" ca="1" si="46"/>
        <v>#REF!</v>
      </c>
      <c r="FM55" s="74" t="e">
        <f t="shared" ca="1" si="46"/>
        <v>#REF!</v>
      </c>
      <c r="FN55" s="74" t="e">
        <f t="shared" ca="1" si="46"/>
        <v>#REF!</v>
      </c>
      <c r="FO55" s="74" t="e">
        <f t="shared" ca="1" si="46"/>
        <v>#REF!</v>
      </c>
      <c r="FP55" s="74" t="e">
        <f t="shared" ca="1" si="46"/>
        <v>#REF!</v>
      </c>
      <c r="FQ55" s="74" t="e">
        <f t="shared" ca="1" si="46"/>
        <v>#REF!</v>
      </c>
      <c r="FR55" s="74" t="e">
        <f t="shared" ca="1" si="46"/>
        <v>#REF!</v>
      </c>
      <c r="FS55" s="74" t="e">
        <f t="shared" ca="1" si="46"/>
        <v>#REF!</v>
      </c>
      <c r="FT55" s="74" t="e">
        <f t="shared" ca="1" si="46"/>
        <v>#REF!</v>
      </c>
    </row>
    <row r="56" spans="1:176" x14ac:dyDescent="0.35">
      <c r="A56" s="243">
        <v>225</v>
      </c>
      <c r="B56" s="74" t="e">
        <f t="shared" ca="1" si="49"/>
        <v>#REF!</v>
      </c>
      <c r="C56" s="74" t="e">
        <f t="shared" ca="1" si="49"/>
        <v>#REF!</v>
      </c>
      <c r="D56" s="74" t="e">
        <f t="shared" ca="1" si="49"/>
        <v>#REF!</v>
      </c>
      <c r="E56" s="74" t="e">
        <f t="shared" ca="1" si="49"/>
        <v>#REF!</v>
      </c>
      <c r="F56" t="e">
        <f t="shared" ca="1" si="13"/>
        <v>#REF!</v>
      </c>
      <c r="G56" t="e">
        <f t="shared" ca="1" si="13"/>
        <v>#REF!</v>
      </c>
      <c r="H56" t="e">
        <f t="shared" ca="1" si="13"/>
        <v>#REF!</v>
      </c>
      <c r="I56" s="74" t="e">
        <f t="shared" ca="1" si="49"/>
        <v>#REF!</v>
      </c>
      <c r="J56" s="74" t="e">
        <f t="shared" ca="1" si="49"/>
        <v>#REF!</v>
      </c>
      <c r="K56" s="74" t="e">
        <f t="shared" ca="1" si="49"/>
        <v>#REF!</v>
      </c>
      <c r="L56" s="74" t="e">
        <f t="shared" ca="1" si="49"/>
        <v>#REF!</v>
      </c>
      <c r="M56" s="74" t="e">
        <f t="shared" ca="1" si="49"/>
        <v>#REF!</v>
      </c>
      <c r="N56" s="74" t="e">
        <f t="shared" ca="1" si="49"/>
        <v>#REF!</v>
      </c>
      <c r="O56" s="74" t="e">
        <f t="shared" ca="1" si="49"/>
        <v>#REF!</v>
      </c>
      <c r="P56" s="74" t="e">
        <f t="shared" ca="1" si="49"/>
        <v>#REF!</v>
      </c>
      <c r="Q56" s="74" t="e">
        <f t="shared" ca="1" si="49"/>
        <v>#REF!</v>
      </c>
      <c r="R56" s="74" t="e">
        <f t="shared" ca="1" si="49"/>
        <v>#REF!</v>
      </c>
      <c r="S56" s="74" t="e">
        <f t="shared" ca="1" si="49"/>
        <v>#REF!</v>
      </c>
      <c r="T56" s="74" t="e">
        <f t="shared" ca="1" si="48"/>
        <v>#REF!</v>
      </c>
      <c r="U56" s="74" t="e">
        <f t="shared" ca="1" si="48"/>
        <v>#REF!</v>
      </c>
      <c r="V56" s="74" t="e">
        <f t="shared" ca="1" si="48"/>
        <v>#REF!</v>
      </c>
      <c r="W56" s="74" t="e">
        <f t="shared" ca="1" si="48"/>
        <v>#REF!</v>
      </c>
      <c r="X56" s="74" t="e">
        <f t="shared" ca="1" si="48"/>
        <v>#REF!</v>
      </c>
      <c r="Y56" s="74" t="e">
        <f t="shared" ca="1" si="48"/>
        <v>#REF!</v>
      </c>
      <c r="Z56" s="74" t="e">
        <f t="shared" ca="1" si="48"/>
        <v>#REF!</v>
      </c>
      <c r="AA56" s="74" t="e">
        <f t="shared" ca="1" si="48"/>
        <v>#REF!</v>
      </c>
      <c r="AB56" s="75" t="e">
        <f t="shared" ca="1" si="48"/>
        <v>#REF!</v>
      </c>
      <c r="AC56" s="75" t="e">
        <f t="shared" ca="1" si="48"/>
        <v>#REF!</v>
      </c>
      <c r="AD56" s="75" t="e">
        <f t="shared" ca="1" si="48"/>
        <v>#REF!</v>
      </c>
      <c r="AE56" s="75" t="e">
        <f t="shared" ca="1" si="48"/>
        <v>#REF!</v>
      </c>
      <c r="AF56" s="75" t="e">
        <f t="shared" ca="1" si="48"/>
        <v>#REF!</v>
      </c>
      <c r="AG56" s="75" t="e">
        <f t="shared" ca="1" si="48"/>
        <v>#REF!</v>
      </c>
      <c r="AH56" s="75" t="e">
        <f t="shared" ca="1" si="48"/>
        <v>#REF!</v>
      </c>
      <c r="AI56" s="75" t="e">
        <f t="shared" ca="1" si="38"/>
        <v>#REF!</v>
      </c>
      <c r="AJ56" s="75" t="e">
        <f t="shared" ca="1" si="38"/>
        <v>#REF!</v>
      </c>
      <c r="AK56" s="75" t="e">
        <f t="shared" ca="1" si="38"/>
        <v>#REF!</v>
      </c>
      <c r="AL56" s="75" t="e">
        <f t="shared" ca="1" si="38"/>
        <v>#REF!</v>
      </c>
      <c r="AM56" s="75" t="e">
        <f t="shared" ca="1" si="38"/>
        <v>#REF!</v>
      </c>
      <c r="AN56" s="75" t="e">
        <f t="shared" ca="1" si="38"/>
        <v>#REF!</v>
      </c>
      <c r="AO56" s="75" t="e">
        <f t="shared" ca="1" si="38"/>
        <v>#REF!</v>
      </c>
      <c r="AP56" s="75" t="e">
        <f t="shared" ca="1" si="38"/>
        <v>#REF!</v>
      </c>
      <c r="AQ56" s="75" t="e">
        <f t="shared" ca="1" si="38"/>
        <v>#REF!</v>
      </c>
      <c r="AR56" s="75" t="e">
        <f t="shared" ca="1" si="38"/>
        <v>#REF!</v>
      </c>
      <c r="AS56" s="75" t="e">
        <f t="shared" ca="1" si="38"/>
        <v>#REF!</v>
      </c>
      <c r="AT56" s="75" t="e">
        <f t="shared" ca="1" si="38"/>
        <v>#REF!</v>
      </c>
      <c r="AU56" s="74" t="e">
        <f t="shared" ca="1" si="38"/>
        <v>#REF!</v>
      </c>
      <c r="AV56" s="74" t="e">
        <f t="shared" ca="1" si="38"/>
        <v>#REF!</v>
      </c>
      <c r="AW56" s="74" t="e">
        <f t="shared" ca="1" si="38"/>
        <v>#REF!</v>
      </c>
      <c r="AX56" s="74" t="e">
        <f t="shared" ca="1" si="38"/>
        <v>#REF!</v>
      </c>
      <c r="AY56" s="74" t="e">
        <f t="shared" ca="1" si="39"/>
        <v>#REF!</v>
      </c>
      <c r="AZ56" s="74" t="e">
        <f t="shared" ca="1" si="39"/>
        <v>#REF!</v>
      </c>
      <c r="BA56" s="74" t="e">
        <f t="shared" ca="1" si="39"/>
        <v>#REF!</v>
      </c>
      <c r="BB56" s="74" t="e">
        <f t="shared" ca="1" si="39"/>
        <v>#REF!</v>
      </c>
      <c r="BC56" s="74" t="e">
        <f t="shared" ca="1" si="39"/>
        <v>#REF!</v>
      </c>
      <c r="BD56" s="74" t="e">
        <f t="shared" ca="1" si="39"/>
        <v>#REF!</v>
      </c>
      <c r="BE56" s="74" t="e">
        <f t="shared" ca="1" si="39"/>
        <v>#REF!</v>
      </c>
      <c r="BF56" s="74" t="e">
        <f t="shared" ca="1" si="39"/>
        <v>#REF!</v>
      </c>
      <c r="BG56" s="74" t="e">
        <f t="shared" ca="1" si="39"/>
        <v>#REF!</v>
      </c>
      <c r="BH56" s="74" t="e">
        <f t="shared" ca="1" si="39"/>
        <v>#REF!</v>
      </c>
      <c r="BI56" s="74" t="e">
        <f t="shared" ca="1" si="39"/>
        <v>#REF!</v>
      </c>
      <c r="BJ56" s="74" t="e">
        <f t="shared" ca="1" si="39"/>
        <v>#REF!</v>
      </c>
      <c r="BK56" s="74" t="e">
        <f t="shared" ca="1" si="39"/>
        <v>#REF!</v>
      </c>
      <c r="BL56" s="74" t="e">
        <f t="shared" ca="1" si="39"/>
        <v>#REF!</v>
      </c>
      <c r="BM56" s="74" t="e">
        <f t="shared" ca="1" si="39"/>
        <v>#REF!</v>
      </c>
      <c r="BN56" s="75" t="e">
        <f t="shared" ca="1" si="39"/>
        <v>#REF!</v>
      </c>
      <c r="BO56" s="75" t="e">
        <f t="shared" ca="1" si="40"/>
        <v>#REF!</v>
      </c>
      <c r="BP56" s="75" t="e">
        <f t="shared" ca="1" si="40"/>
        <v>#REF!</v>
      </c>
      <c r="BQ56" s="75" t="e">
        <f t="shared" ca="1" si="40"/>
        <v>#REF!</v>
      </c>
      <c r="BR56" s="75" t="e">
        <f t="shared" ca="1" si="40"/>
        <v>#REF!</v>
      </c>
      <c r="BS56" s="75" t="e">
        <f t="shared" ca="1" si="40"/>
        <v>#REF!</v>
      </c>
      <c r="BT56" s="75" t="e">
        <f t="shared" ca="1" si="40"/>
        <v>#REF!</v>
      </c>
      <c r="BU56" s="75" t="e">
        <f t="shared" ca="1" si="40"/>
        <v>#REF!</v>
      </c>
      <c r="BV56" s="75" t="e">
        <f t="shared" ca="1" si="40"/>
        <v>#REF!</v>
      </c>
      <c r="BW56" s="75" t="e">
        <f t="shared" ca="1" si="40"/>
        <v>#REF!</v>
      </c>
      <c r="BX56" s="75" t="e">
        <f t="shared" ca="1" si="40"/>
        <v>#REF!</v>
      </c>
      <c r="BY56" s="75" t="e">
        <f t="shared" ca="1" si="40"/>
        <v>#REF!</v>
      </c>
      <c r="BZ56" s="75" t="e">
        <f t="shared" ca="1" si="40"/>
        <v>#REF!</v>
      </c>
      <c r="CA56" s="75" t="e">
        <f t="shared" ca="1" si="40"/>
        <v>#REF!</v>
      </c>
      <c r="CB56" s="75" t="e">
        <f t="shared" ca="1" si="40"/>
        <v>#REF!</v>
      </c>
      <c r="CC56" s="75" t="e">
        <f t="shared" ca="1" si="40"/>
        <v>#REF!</v>
      </c>
      <c r="CD56" s="75" t="e">
        <f t="shared" ca="1" si="40"/>
        <v>#REF!</v>
      </c>
      <c r="CE56" s="75" t="e">
        <f t="shared" ca="1" si="41"/>
        <v>#REF!</v>
      </c>
      <c r="CF56" s="75" t="e">
        <f t="shared" ca="1" si="41"/>
        <v>#REF!</v>
      </c>
      <c r="CG56" s="74" t="e">
        <f t="shared" ca="1" si="41"/>
        <v>#REF!</v>
      </c>
      <c r="CH56" s="74" t="e">
        <f t="shared" ca="1" si="41"/>
        <v>#REF!</v>
      </c>
      <c r="CI56" s="74" t="e">
        <f t="shared" ca="1" si="41"/>
        <v>#REF!</v>
      </c>
      <c r="CJ56" s="74" t="e">
        <f t="shared" ca="1" si="41"/>
        <v>#REF!</v>
      </c>
      <c r="CK56" s="74" t="e">
        <f t="shared" ca="1" si="41"/>
        <v>#REF!</v>
      </c>
      <c r="CL56" s="74" t="e">
        <f t="shared" ca="1" si="41"/>
        <v>#REF!</v>
      </c>
      <c r="CM56" s="74" t="e">
        <f t="shared" ca="1" si="41"/>
        <v>#REF!</v>
      </c>
      <c r="CN56" s="74" t="e">
        <f t="shared" ca="1" si="41"/>
        <v>#REF!</v>
      </c>
      <c r="CO56" s="74" t="e">
        <f t="shared" ca="1" si="41"/>
        <v>#REF!</v>
      </c>
      <c r="CP56" s="74" t="e">
        <f t="shared" ca="1" si="41"/>
        <v>#REF!</v>
      </c>
      <c r="CQ56" s="74" t="e">
        <f t="shared" ca="1" si="41"/>
        <v>#REF!</v>
      </c>
      <c r="CR56" s="74" t="e">
        <f t="shared" ca="1" si="41"/>
        <v>#REF!</v>
      </c>
      <c r="CS56" s="74" t="e">
        <f t="shared" ca="1" si="41"/>
        <v>#REF!</v>
      </c>
      <c r="CT56" s="74" t="e">
        <f t="shared" ca="1" si="41"/>
        <v>#REF!</v>
      </c>
      <c r="CU56" s="74" t="e">
        <f t="shared" ca="1" si="42"/>
        <v>#REF!</v>
      </c>
      <c r="CV56" s="74" t="e">
        <f t="shared" ca="1" si="42"/>
        <v>#REF!</v>
      </c>
      <c r="CW56" s="74" t="e">
        <f t="shared" ca="1" si="42"/>
        <v>#REF!</v>
      </c>
      <c r="CX56" s="74" t="e">
        <f t="shared" ca="1" si="42"/>
        <v>#REF!</v>
      </c>
      <c r="CY56" s="74" t="e">
        <f t="shared" ca="1" si="42"/>
        <v>#REF!</v>
      </c>
      <c r="CZ56" s="75" t="e">
        <f t="shared" ca="1" si="42"/>
        <v>#REF!</v>
      </c>
      <c r="DA56" s="75" t="e">
        <f t="shared" ca="1" si="42"/>
        <v>#REF!</v>
      </c>
      <c r="DB56" s="75" t="e">
        <f t="shared" ca="1" si="42"/>
        <v>#REF!</v>
      </c>
      <c r="DC56" s="75" t="e">
        <f t="shared" ca="1" si="42"/>
        <v>#REF!</v>
      </c>
      <c r="DD56" s="75" t="e">
        <f t="shared" ca="1" si="42"/>
        <v>#REF!</v>
      </c>
      <c r="DE56" s="75" t="e">
        <f t="shared" ca="1" si="42"/>
        <v>#REF!</v>
      </c>
      <c r="DF56" s="75" t="e">
        <f t="shared" ca="1" si="42"/>
        <v>#REF!</v>
      </c>
      <c r="DG56" s="75" t="e">
        <f t="shared" ca="1" si="42"/>
        <v>#REF!</v>
      </c>
      <c r="DH56" s="75" t="e">
        <f t="shared" ca="1" si="42"/>
        <v>#REF!</v>
      </c>
      <c r="DI56" s="75" t="e">
        <f t="shared" ca="1" si="42"/>
        <v>#REF!</v>
      </c>
      <c r="DJ56" s="75" t="e">
        <f t="shared" ca="1" si="42"/>
        <v>#REF!</v>
      </c>
      <c r="DK56" s="75" t="e">
        <f t="shared" ca="1" si="43"/>
        <v>#REF!</v>
      </c>
      <c r="DL56" s="75" t="e">
        <f t="shared" ca="1" si="43"/>
        <v>#REF!</v>
      </c>
      <c r="DM56" s="75" t="e">
        <f t="shared" ca="1" si="43"/>
        <v>#REF!</v>
      </c>
      <c r="DN56" s="75" t="e">
        <f t="shared" ca="1" si="43"/>
        <v>#REF!</v>
      </c>
      <c r="DO56" s="75" t="e">
        <f t="shared" ca="1" si="43"/>
        <v>#REF!</v>
      </c>
      <c r="DP56" s="75" t="e">
        <f t="shared" ca="1" si="43"/>
        <v>#REF!</v>
      </c>
      <c r="DQ56" s="75" t="e">
        <f t="shared" ca="1" si="43"/>
        <v>#REF!</v>
      </c>
      <c r="DR56" s="75" t="e">
        <f t="shared" ca="1" si="43"/>
        <v>#REF!</v>
      </c>
      <c r="DS56" s="74" t="e">
        <f t="shared" ca="1" si="43"/>
        <v>#REF!</v>
      </c>
      <c r="DT56" s="74" t="e">
        <f t="shared" ca="1" si="43"/>
        <v>#REF!</v>
      </c>
      <c r="DU56" s="74" t="e">
        <f t="shared" ca="1" si="43"/>
        <v>#REF!</v>
      </c>
      <c r="DV56" s="74" t="e">
        <f t="shared" ca="1" si="43"/>
        <v>#REF!</v>
      </c>
      <c r="DW56" s="74" t="e">
        <f t="shared" ca="1" si="43"/>
        <v>#REF!</v>
      </c>
      <c r="DX56" s="74" t="e">
        <f t="shared" ca="1" si="43"/>
        <v>#REF!</v>
      </c>
      <c r="DY56" s="74" t="e">
        <f t="shared" ca="1" si="43"/>
        <v>#REF!</v>
      </c>
      <c r="DZ56" s="74" t="e">
        <f t="shared" ca="1" si="43"/>
        <v>#REF!</v>
      </c>
      <c r="EA56" s="74" t="e">
        <f t="shared" ca="1" si="44"/>
        <v>#REF!</v>
      </c>
      <c r="EB56" s="74" t="e">
        <f t="shared" ca="1" si="44"/>
        <v>#REF!</v>
      </c>
      <c r="EC56" s="74" t="e">
        <f t="shared" ca="1" si="44"/>
        <v>#REF!</v>
      </c>
      <c r="ED56" s="74" t="e">
        <f t="shared" ca="1" si="44"/>
        <v>#REF!</v>
      </c>
      <c r="EE56" s="74" t="e">
        <f t="shared" ca="1" si="44"/>
        <v>#REF!</v>
      </c>
      <c r="EF56" s="74" t="e">
        <f t="shared" ca="1" si="44"/>
        <v>#REF!</v>
      </c>
      <c r="EG56" s="74" t="e">
        <f t="shared" ca="1" si="44"/>
        <v>#REF!</v>
      </c>
      <c r="EH56" s="74" t="e">
        <f t="shared" ca="1" si="44"/>
        <v>#REF!</v>
      </c>
      <c r="EI56" s="74" t="e">
        <f t="shared" ca="1" si="44"/>
        <v>#REF!</v>
      </c>
      <c r="EJ56" s="74" t="e">
        <f t="shared" ca="1" si="44"/>
        <v>#REF!</v>
      </c>
      <c r="EK56" s="75" t="e">
        <f t="shared" ca="1" si="44"/>
        <v>#REF!</v>
      </c>
      <c r="EL56" s="75" t="e">
        <f t="shared" ca="1" si="44"/>
        <v>#REF!</v>
      </c>
      <c r="EM56" s="75" t="e">
        <f t="shared" ca="1" si="44"/>
        <v>#REF!</v>
      </c>
      <c r="EN56" s="75" t="e">
        <f t="shared" ca="1" si="44"/>
        <v>#REF!</v>
      </c>
      <c r="EO56" s="75" t="e">
        <f t="shared" ca="1" si="44"/>
        <v>#REF!</v>
      </c>
      <c r="EP56" s="75" t="e">
        <f t="shared" ca="1" si="44"/>
        <v>#REF!</v>
      </c>
      <c r="EQ56" s="75" t="e">
        <f t="shared" ca="1" si="45"/>
        <v>#REF!</v>
      </c>
      <c r="ER56" s="75" t="e">
        <f t="shared" ca="1" si="45"/>
        <v>#REF!</v>
      </c>
      <c r="ES56" s="75" t="e">
        <f t="shared" ca="1" si="45"/>
        <v>#REF!</v>
      </c>
      <c r="ET56" s="75" t="e">
        <f t="shared" ca="1" si="45"/>
        <v>#REF!</v>
      </c>
      <c r="EU56" s="75" t="e">
        <f t="shared" ca="1" si="45"/>
        <v>#REF!</v>
      </c>
      <c r="EV56" s="75" t="e">
        <f t="shared" ca="1" si="45"/>
        <v>#REF!</v>
      </c>
      <c r="EW56" s="75" t="e">
        <f t="shared" ca="1" si="45"/>
        <v>#REF!</v>
      </c>
      <c r="EX56" s="75" t="e">
        <f t="shared" ca="1" si="45"/>
        <v>#REF!</v>
      </c>
      <c r="EY56" s="75" t="e">
        <f t="shared" ca="1" si="45"/>
        <v>#REF!</v>
      </c>
      <c r="EZ56" s="75" t="e">
        <f t="shared" ca="1" si="45"/>
        <v>#REF!</v>
      </c>
      <c r="FA56" s="75" t="e">
        <f t="shared" ca="1" si="45"/>
        <v>#REF!</v>
      </c>
      <c r="FB56" s="75" t="e">
        <f t="shared" ca="1" si="45"/>
        <v>#REF!</v>
      </c>
      <c r="FC56" s="76" t="e">
        <f t="shared" ca="1" si="45"/>
        <v>#REF!</v>
      </c>
      <c r="FD56" s="74" t="e">
        <f t="shared" ca="1" si="45"/>
        <v>#REF!</v>
      </c>
      <c r="FE56" s="74" t="e">
        <f t="shared" ca="1" si="45"/>
        <v>#REF!</v>
      </c>
      <c r="FF56" s="74" t="e">
        <f t="shared" ca="1" si="45"/>
        <v>#REF!</v>
      </c>
      <c r="FG56" s="74" t="e">
        <f t="shared" ca="1" si="46"/>
        <v>#REF!</v>
      </c>
      <c r="FH56" s="74" t="e">
        <f t="shared" ca="1" si="46"/>
        <v>#REF!</v>
      </c>
      <c r="FI56" s="74" t="e">
        <f t="shared" ca="1" si="46"/>
        <v>#REF!</v>
      </c>
      <c r="FJ56" s="74" t="e">
        <f t="shared" ca="1" si="46"/>
        <v>#REF!</v>
      </c>
      <c r="FK56" s="74" t="e">
        <f t="shared" ca="1" si="46"/>
        <v>#REF!</v>
      </c>
      <c r="FL56" s="74" t="e">
        <f t="shared" ca="1" si="46"/>
        <v>#REF!</v>
      </c>
      <c r="FM56" s="74" t="e">
        <f t="shared" ca="1" si="46"/>
        <v>#REF!</v>
      </c>
      <c r="FN56" s="74" t="e">
        <f t="shared" ca="1" si="46"/>
        <v>#REF!</v>
      </c>
      <c r="FO56" s="74" t="e">
        <f t="shared" ca="1" si="46"/>
        <v>#REF!</v>
      </c>
      <c r="FP56" s="74" t="e">
        <f t="shared" ca="1" si="46"/>
        <v>#REF!</v>
      </c>
      <c r="FQ56" s="74" t="e">
        <f t="shared" ca="1" si="46"/>
        <v>#REF!</v>
      </c>
      <c r="FR56" s="74" t="e">
        <f t="shared" ca="1" si="46"/>
        <v>#REF!</v>
      </c>
      <c r="FS56" s="74" t="e">
        <f t="shared" ca="1" si="46"/>
        <v>#REF!</v>
      </c>
      <c r="FT56" s="74" t="e">
        <f t="shared" ca="1" si="46"/>
        <v>#REF!</v>
      </c>
    </row>
    <row r="57" spans="1:176" x14ac:dyDescent="0.35">
      <c r="A57" s="243">
        <v>220</v>
      </c>
      <c r="B57" s="74" t="e">
        <f t="shared" ca="1" si="49"/>
        <v>#REF!</v>
      </c>
      <c r="C57" s="74" t="e">
        <f t="shared" ca="1" si="49"/>
        <v>#REF!</v>
      </c>
      <c r="D57" s="74" t="e">
        <f t="shared" ca="1" si="49"/>
        <v>#REF!</v>
      </c>
      <c r="E57" s="74" t="e">
        <f t="shared" ca="1" si="49"/>
        <v>#REF!</v>
      </c>
      <c r="F57" t="e">
        <f t="shared" ca="1" si="13"/>
        <v>#REF!</v>
      </c>
      <c r="G57" t="e">
        <f t="shared" ca="1" si="13"/>
        <v>#REF!</v>
      </c>
      <c r="H57" t="e">
        <f t="shared" ca="1" si="13"/>
        <v>#REF!</v>
      </c>
      <c r="I57" s="74" t="e">
        <f t="shared" ca="1" si="49"/>
        <v>#REF!</v>
      </c>
      <c r="J57" s="74" t="e">
        <f t="shared" ca="1" si="49"/>
        <v>#REF!</v>
      </c>
      <c r="K57" s="74" t="e">
        <f t="shared" ca="1" si="49"/>
        <v>#REF!</v>
      </c>
      <c r="L57" s="74" t="e">
        <f t="shared" ca="1" si="49"/>
        <v>#REF!</v>
      </c>
      <c r="M57" s="74" t="e">
        <f t="shared" ca="1" si="49"/>
        <v>#REF!</v>
      </c>
      <c r="N57" s="74" t="e">
        <f t="shared" ca="1" si="49"/>
        <v>#REF!</v>
      </c>
      <c r="O57" s="74" t="e">
        <f t="shared" ca="1" si="49"/>
        <v>#REF!</v>
      </c>
      <c r="P57" s="74" t="e">
        <f t="shared" ca="1" si="49"/>
        <v>#REF!</v>
      </c>
      <c r="Q57" s="74" t="e">
        <f t="shared" ca="1" si="49"/>
        <v>#REF!</v>
      </c>
      <c r="R57" s="74" t="e">
        <f t="shared" ca="1" si="49"/>
        <v>#REF!</v>
      </c>
      <c r="S57" s="74" t="e">
        <f t="shared" ca="1" si="49"/>
        <v>#REF!</v>
      </c>
      <c r="T57" s="74" t="e">
        <f t="shared" ca="1" si="48"/>
        <v>#REF!</v>
      </c>
      <c r="U57" s="74" t="e">
        <f t="shared" ca="1" si="48"/>
        <v>#REF!</v>
      </c>
      <c r="V57" s="74" t="e">
        <f t="shared" ca="1" si="48"/>
        <v>#REF!</v>
      </c>
      <c r="W57" s="74" t="e">
        <f t="shared" ca="1" si="48"/>
        <v>#REF!</v>
      </c>
      <c r="X57" s="74" t="e">
        <f t="shared" ca="1" si="48"/>
        <v>#REF!</v>
      </c>
      <c r="Y57" s="74" t="e">
        <f t="shared" ca="1" si="48"/>
        <v>#REF!</v>
      </c>
      <c r="Z57" s="74" t="e">
        <f t="shared" ca="1" si="48"/>
        <v>#REF!</v>
      </c>
      <c r="AA57" s="74" t="e">
        <f t="shared" ca="1" si="48"/>
        <v>#REF!</v>
      </c>
      <c r="AB57" s="75" t="e">
        <f t="shared" ca="1" si="48"/>
        <v>#REF!</v>
      </c>
      <c r="AC57" s="75" t="e">
        <f t="shared" ca="1" si="48"/>
        <v>#REF!</v>
      </c>
      <c r="AD57" s="75" t="e">
        <f t="shared" ca="1" si="48"/>
        <v>#REF!</v>
      </c>
      <c r="AE57" s="75" t="e">
        <f t="shared" ca="1" si="48"/>
        <v>#REF!</v>
      </c>
      <c r="AF57" s="75" t="e">
        <f t="shared" ca="1" si="48"/>
        <v>#REF!</v>
      </c>
      <c r="AG57" s="75" t="e">
        <f t="shared" ca="1" si="48"/>
        <v>#REF!</v>
      </c>
      <c r="AH57" s="75" t="e">
        <f t="shared" ca="1" si="48"/>
        <v>#REF!</v>
      </c>
      <c r="AI57" s="75" t="e">
        <f t="shared" ca="1" si="38"/>
        <v>#REF!</v>
      </c>
      <c r="AJ57" s="75" t="e">
        <f t="shared" ca="1" si="38"/>
        <v>#REF!</v>
      </c>
      <c r="AK57" s="75" t="e">
        <f t="shared" ca="1" si="38"/>
        <v>#REF!</v>
      </c>
      <c r="AL57" s="75" t="e">
        <f t="shared" ca="1" si="38"/>
        <v>#REF!</v>
      </c>
      <c r="AM57" s="75" t="e">
        <f t="shared" ca="1" si="38"/>
        <v>#REF!</v>
      </c>
      <c r="AN57" s="75" t="e">
        <f t="shared" ca="1" si="38"/>
        <v>#REF!</v>
      </c>
      <c r="AO57" s="75" t="e">
        <f t="shared" ca="1" si="38"/>
        <v>#REF!</v>
      </c>
      <c r="AP57" s="75" t="e">
        <f t="shared" ca="1" si="38"/>
        <v>#REF!</v>
      </c>
      <c r="AQ57" s="75" t="e">
        <f t="shared" ca="1" si="38"/>
        <v>#REF!</v>
      </c>
      <c r="AR57" s="75" t="e">
        <f t="shared" ca="1" si="38"/>
        <v>#REF!</v>
      </c>
      <c r="AS57" s="75" t="e">
        <f t="shared" ca="1" si="38"/>
        <v>#REF!</v>
      </c>
      <c r="AT57" s="75" t="e">
        <f t="shared" ca="1" si="38"/>
        <v>#REF!</v>
      </c>
      <c r="AU57" s="74" t="e">
        <f t="shared" ca="1" si="38"/>
        <v>#REF!</v>
      </c>
      <c r="AV57" s="74" t="e">
        <f t="shared" ca="1" si="38"/>
        <v>#REF!</v>
      </c>
      <c r="AW57" s="74" t="e">
        <f t="shared" ca="1" si="38"/>
        <v>#REF!</v>
      </c>
      <c r="AX57" s="74" t="e">
        <f t="shared" ca="1" si="38"/>
        <v>#REF!</v>
      </c>
      <c r="AY57" s="74" t="e">
        <f t="shared" ca="1" si="39"/>
        <v>#REF!</v>
      </c>
      <c r="AZ57" s="74" t="e">
        <f t="shared" ca="1" si="39"/>
        <v>#REF!</v>
      </c>
      <c r="BA57" s="74" t="e">
        <f t="shared" ca="1" si="39"/>
        <v>#REF!</v>
      </c>
      <c r="BB57" s="74" t="e">
        <f t="shared" ca="1" si="39"/>
        <v>#REF!</v>
      </c>
      <c r="BC57" s="74" t="e">
        <f t="shared" ca="1" si="39"/>
        <v>#REF!</v>
      </c>
      <c r="BD57" s="74" t="e">
        <f t="shared" ca="1" si="39"/>
        <v>#REF!</v>
      </c>
      <c r="BE57" s="74" t="e">
        <f t="shared" ca="1" si="39"/>
        <v>#REF!</v>
      </c>
      <c r="BF57" s="74" t="e">
        <f t="shared" ca="1" si="39"/>
        <v>#REF!</v>
      </c>
      <c r="BG57" s="74" t="e">
        <f t="shared" ca="1" si="39"/>
        <v>#REF!</v>
      </c>
      <c r="BH57" s="74" t="e">
        <f t="shared" ca="1" si="39"/>
        <v>#REF!</v>
      </c>
      <c r="BI57" s="74" t="e">
        <f t="shared" ca="1" si="39"/>
        <v>#REF!</v>
      </c>
      <c r="BJ57" s="74" t="e">
        <f t="shared" ca="1" si="39"/>
        <v>#REF!</v>
      </c>
      <c r="BK57" s="74" t="e">
        <f t="shared" ca="1" si="39"/>
        <v>#REF!</v>
      </c>
      <c r="BL57" s="74" t="e">
        <f t="shared" ca="1" si="39"/>
        <v>#REF!</v>
      </c>
      <c r="BM57" s="74" t="e">
        <f t="shared" ca="1" si="39"/>
        <v>#REF!</v>
      </c>
      <c r="BN57" s="75" t="e">
        <f t="shared" ca="1" si="39"/>
        <v>#REF!</v>
      </c>
      <c r="BO57" s="75" t="e">
        <f t="shared" ca="1" si="40"/>
        <v>#REF!</v>
      </c>
      <c r="BP57" s="75" t="e">
        <f t="shared" ca="1" si="40"/>
        <v>#REF!</v>
      </c>
      <c r="BQ57" s="75" t="e">
        <f t="shared" ca="1" si="40"/>
        <v>#REF!</v>
      </c>
      <c r="BR57" s="75" t="e">
        <f t="shared" ca="1" si="40"/>
        <v>#REF!</v>
      </c>
      <c r="BS57" s="75" t="e">
        <f t="shared" ca="1" si="40"/>
        <v>#REF!</v>
      </c>
      <c r="BT57" s="75" t="e">
        <f t="shared" ca="1" si="40"/>
        <v>#REF!</v>
      </c>
      <c r="BU57" s="75" t="e">
        <f t="shared" ca="1" si="40"/>
        <v>#REF!</v>
      </c>
      <c r="BV57" s="75" t="e">
        <f t="shared" ca="1" si="40"/>
        <v>#REF!</v>
      </c>
      <c r="BW57" s="75" t="e">
        <f t="shared" ca="1" si="40"/>
        <v>#REF!</v>
      </c>
      <c r="BX57" s="75" t="e">
        <f t="shared" ca="1" si="40"/>
        <v>#REF!</v>
      </c>
      <c r="BY57" s="75" t="e">
        <f t="shared" ca="1" si="40"/>
        <v>#REF!</v>
      </c>
      <c r="BZ57" s="75" t="e">
        <f t="shared" ca="1" si="40"/>
        <v>#REF!</v>
      </c>
      <c r="CA57" s="75" t="e">
        <f t="shared" ca="1" si="40"/>
        <v>#REF!</v>
      </c>
      <c r="CB57" s="75" t="e">
        <f t="shared" ca="1" si="40"/>
        <v>#REF!</v>
      </c>
      <c r="CC57" s="75" t="e">
        <f t="shared" ca="1" si="40"/>
        <v>#REF!</v>
      </c>
      <c r="CD57" s="75" t="e">
        <f t="shared" ca="1" si="40"/>
        <v>#REF!</v>
      </c>
      <c r="CE57" s="75" t="e">
        <f t="shared" ca="1" si="41"/>
        <v>#REF!</v>
      </c>
      <c r="CF57" s="75" t="e">
        <f t="shared" ca="1" si="41"/>
        <v>#REF!</v>
      </c>
      <c r="CG57" s="74" t="e">
        <f t="shared" ca="1" si="41"/>
        <v>#REF!</v>
      </c>
      <c r="CH57" s="74" t="e">
        <f t="shared" ca="1" si="41"/>
        <v>#REF!</v>
      </c>
      <c r="CI57" s="74" t="e">
        <f t="shared" ca="1" si="41"/>
        <v>#REF!</v>
      </c>
      <c r="CJ57" s="74" t="e">
        <f t="shared" ca="1" si="41"/>
        <v>#REF!</v>
      </c>
      <c r="CK57" s="74" t="e">
        <f t="shared" ca="1" si="41"/>
        <v>#REF!</v>
      </c>
      <c r="CL57" s="74" t="e">
        <f t="shared" ca="1" si="41"/>
        <v>#REF!</v>
      </c>
      <c r="CM57" s="74" t="e">
        <f t="shared" ca="1" si="41"/>
        <v>#REF!</v>
      </c>
      <c r="CN57" s="74" t="e">
        <f t="shared" ca="1" si="41"/>
        <v>#REF!</v>
      </c>
      <c r="CO57" s="74" t="e">
        <f t="shared" ca="1" si="41"/>
        <v>#REF!</v>
      </c>
      <c r="CP57" s="74" t="e">
        <f t="shared" ca="1" si="41"/>
        <v>#REF!</v>
      </c>
      <c r="CQ57" s="74" t="e">
        <f t="shared" ca="1" si="41"/>
        <v>#REF!</v>
      </c>
      <c r="CR57" s="74" t="e">
        <f t="shared" ca="1" si="41"/>
        <v>#REF!</v>
      </c>
      <c r="CS57" s="74" t="e">
        <f t="shared" ca="1" si="41"/>
        <v>#REF!</v>
      </c>
      <c r="CT57" s="74" t="e">
        <f t="shared" ca="1" si="41"/>
        <v>#REF!</v>
      </c>
      <c r="CU57" s="74" t="e">
        <f t="shared" ca="1" si="42"/>
        <v>#REF!</v>
      </c>
      <c r="CV57" s="74" t="e">
        <f t="shared" ca="1" si="42"/>
        <v>#REF!</v>
      </c>
      <c r="CW57" s="74" t="e">
        <f t="shared" ca="1" si="42"/>
        <v>#REF!</v>
      </c>
      <c r="CX57" s="74" t="e">
        <f t="shared" ca="1" si="42"/>
        <v>#REF!</v>
      </c>
      <c r="CY57" s="74" t="e">
        <f t="shared" ca="1" si="42"/>
        <v>#REF!</v>
      </c>
      <c r="CZ57" s="75" t="e">
        <f t="shared" ca="1" si="42"/>
        <v>#REF!</v>
      </c>
      <c r="DA57" s="75" t="e">
        <f t="shared" ca="1" si="42"/>
        <v>#REF!</v>
      </c>
      <c r="DB57" s="75" t="e">
        <f t="shared" ca="1" si="42"/>
        <v>#REF!</v>
      </c>
      <c r="DC57" s="75" t="e">
        <f t="shared" ca="1" si="42"/>
        <v>#REF!</v>
      </c>
      <c r="DD57" s="75" t="e">
        <f t="shared" ca="1" si="42"/>
        <v>#REF!</v>
      </c>
      <c r="DE57" s="75" t="e">
        <f t="shared" ca="1" si="42"/>
        <v>#REF!</v>
      </c>
      <c r="DF57" s="75" t="e">
        <f t="shared" ca="1" si="42"/>
        <v>#REF!</v>
      </c>
      <c r="DG57" s="75" t="e">
        <f t="shared" ca="1" si="42"/>
        <v>#REF!</v>
      </c>
      <c r="DH57" s="75" t="e">
        <f t="shared" ca="1" si="42"/>
        <v>#REF!</v>
      </c>
      <c r="DI57" s="75" t="e">
        <f t="shared" ca="1" si="42"/>
        <v>#REF!</v>
      </c>
      <c r="DJ57" s="75" t="e">
        <f t="shared" ca="1" si="42"/>
        <v>#REF!</v>
      </c>
      <c r="DK57" s="75" t="e">
        <f t="shared" ca="1" si="43"/>
        <v>#REF!</v>
      </c>
      <c r="DL57" s="75" t="e">
        <f t="shared" ca="1" si="43"/>
        <v>#REF!</v>
      </c>
      <c r="DM57" s="75" t="e">
        <f t="shared" ca="1" si="43"/>
        <v>#REF!</v>
      </c>
      <c r="DN57" s="75" t="e">
        <f t="shared" ca="1" si="43"/>
        <v>#REF!</v>
      </c>
      <c r="DO57" s="75" t="e">
        <f t="shared" ca="1" si="43"/>
        <v>#REF!</v>
      </c>
      <c r="DP57" s="75" t="e">
        <f t="shared" ca="1" si="43"/>
        <v>#REF!</v>
      </c>
      <c r="DQ57" s="75" t="e">
        <f t="shared" ca="1" si="43"/>
        <v>#REF!</v>
      </c>
      <c r="DR57" s="75" t="e">
        <f t="shared" ca="1" si="43"/>
        <v>#REF!</v>
      </c>
      <c r="DS57" s="74" t="e">
        <f t="shared" ca="1" si="43"/>
        <v>#REF!</v>
      </c>
      <c r="DT57" s="74" t="e">
        <f t="shared" ca="1" si="43"/>
        <v>#REF!</v>
      </c>
      <c r="DU57" s="74" t="e">
        <f t="shared" ca="1" si="43"/>
        <v>#REF!</v>
      </c>
      <c r="DV57" s="74" t="e">
        <f t="shared" ca="1" si="43"/>
        <v>#REF!</v>
      </c>
      <c r="DW57" s="74" t="e">
        <f t="shared" ca="1" si="43"/>
        <v>#REF!</v>
      </c>
      <c r="DX57" s="74" t="e">
        <f t="shared" ca="1" si="43"/>
        <v>#REF!</v>
      </c>
      <c r="DY57" s="74" t="e">
        <f t="shared" ca="1" si="43"/>
        <v>#REF!</v>
      </c>
      <c r="DZ57" s="74" t="e">
        <f t="shared" ca="1" si="43"/>
        <v>#REF!</v>
      </c>
      <c r="EA57" s="74" t="e">
        <f t="shared" ca="1" si="44"/>
        <v>#REF!</v>
      </c>
      <c r="EB57" s="74" t="e">
        <f t="shared" ca="1" si="44"/>
        <v>#REF!</v>
      </c>
      <c r="EC57" s="74" t="e">
        <f t="shared" ca="1" si="44"/>
        <v>#REF!</v>
      </c>
      <c r="ED57" s="74" t="e">
        <f t="shared" ca="1" si="44"/>
        <v>#REF!</v>
      </c>
      <c r="EE57" s="74" t="e">
        <f t="shared" ca="1" si="44"/>
        <v>#REF!</v>
      </c>
      <c r="EF57" s="74" t="e">
        <f t="shared" ca="1" si="44"/>
        <v>#REF!</v>
      </c>
      <c r="EG57" s="74" t="e">
        <f t="shared" ca="1" si="44"/>
        <v>#REF!</v>
      </c>
      <c r="EH57" s="74" t="e">
        <f t="shared" ca="1" si="44"/>
        <v>#REF!</v>
      </c>
      <c r="EI57" s="74" t="e">
        <f t="shared" ca="1" si="44"/>
        <v>#REF!</v>
      </c>
      <c r="EJ57" s="74" t="e">
        <f t="shared" ca="1" si="44"/>
        <v>#REF!</v>
      </c>
      <c r="EK57" s="75" t="e">
        <f t="shared" ca="1" si="44"/>
        <v>#REF!</v>
      </c>
      <c r="EL57" s="75" t="e">
        <f t="shared" ca="1" si="44"/>
        <v>#REF!</v>
      </c>
      <c r="EM57" s="75" t="e">
        <f t="shared" ca="1" si="44"/>
        <v>#REF!</v>
      </c>
      <c r="EN57" s="75" t="e">
        <f t="shared" ca="1" si="44"/>
        <v>#REF!</v>
      </c>
      <c r="EO57" s="75" t="e">
        <f t="shared" ca="1" si="44"/>
        <v>#REF!</v>
      </c>
      <c r="EP57" s="75" t="e">
        <f t="shared" ca="1" si="44"/>
        <v>#REF!</v>
      </c>
      <c r="EQ57" s="75" t="e">
        <f t="shared" ca="1" si="45"/>
        <v>#REF!</v>
      </c>
      <c r="ER57" s="75" t="e">
        <f t="shared" ca="1" si="45"/>
        <v>#REF!</v>
      </c>
      <c r="ES57" s="75" t="e">
        <f t="shared" ca="1" si="45"/>
        <v>#REF!</v>
      </c>
      <c r="ET57" s="75" t="e">
        <f t="shared" ca="1" si="45"/>
        <v>#REF!</v>
      </c>
      <c r="EU57" s="75" t="e">
        <f t="shared" ca="1" si="45"/>
        <v>#REF!</v>
      </c>
      <c r="EV57" s="75" t="e">
        <f t="shared" ca="1" si="45"/>
        <v>#REF!</v>
      </c>
      <c r="EW57" s="75" t="e">
        <f t="shared" ca="1" si="45"/>
        <v>#REF!</v>
      </c>
      <c r="EX57" s="75" t="e">
        <f t="shared" ca="1" si="45"/>
        <v>#REF!</v>
      </c>
      <c r="EY57" s="75" t="e">
        <f t="shared" ca="1" si="45"/>
        <v>#REF!</v>
      </c>
      <c r="EZ57" s="75" t="e">
        <f t="shared" ca="1" si="45"/>
        <v>#REF!</v>
      </c>
      <c r="FA57" s="75" t="e">
        <f t="shared" ca="1" si="45"/>
        <v>#REF!</v>
      </c>
      <c r="FB57" s="75" t="e">
        <f t="shared" ca="1" si="45"/>
        <v>#REF!</v>
      </c>
      <c r="FC57" s="76" t="e">
        <f t="shared" ca="1" si="45"/>
        <v>#REF!</v>
      </c>
      <c r="FD57" s="74" t="e">
        <f t="shared" ca="1" si="45"/>
        <v>#REF!</v>
      </c>
      <c r="FE57" s="74" t="e">
        <f t="shared" ca="1" si="45"/>
        <v>#REF!</v>
      </c>
      <c r="FF57" s="74" t="e">
        <f t="shared" ca="1" si="45"/>
        <v>#REF!</v>
      </c>
      <c r="FG57" s="74" t="e">
        <f t="shared" ca="1" si="46"/>
        <v>#REF!</v>
      </c>
      <c r="FH57" s="74" t="e">
        <f t="shared" ca="1" si="46"/>
        <v>#REF!</v>
      </c>
      <c r="FI57" s="74" t="e">
        <f t="shared" ca="1" si="46"/>
        <v>#REF!</v>
      </c>
      <c r="FJ57" s="74" t="e">
        <f t="shared" ca="1" si="46"/>
        <v>#REF!</v>
      </c>
      <c r="FK57" s="74" t="e">
        <f t="shared" ca="1" si="46"/>
        <v>#REF!</v>
      </c>
      <c r="FL57" s="74" t="e">
        <f t="shared" ca="1" si="46"/>
        <v>#REF!</v>
      </c>
      <c r="FM57" s="74" t="e">
        <f t="shared" ca="1" si="46"/>
        <v>#REF!</v>
      </c>
      <c r="FN57" s="74" t="e">
        <f t="shared" ca="1" si="46"/>
        <v>#REF!</v>
      </c>
      <c r="FO57" s="74" t="e">
        <f t="shared" ca="1" si="46"/>
        <v>#REF!</v>
      </c>
      <c r="FP57" s="74" t="e">
        <f t="shared" ca="1" si="46"/>
        <v>#REF!</v>
      </c>
      <c r="FQ57" s="74" t="e">
        <f t="shared" ca="1" si="46"/>
        <v>#REF!</v>
      </c>
      <c r="FR57" s="74" t="e">
        <f t="shared" ca="1" si="46"/>
        <v>#REF!</v>
      </c>
      <c r="FS57" s="74" t="e">
        <f t="shared" ca="1" si="46"/>
        <v>#REF!</v>
      </c>
      <c r="FT57" s="74" t="e">
        <f t="shared" ca="1" si="46"/>
        <v>#REF!</v>
      </c>
    </row>
    <row r="58" spans="1:176" x14ac:dyDescent="0.35">
      <c r="A58" s="243">
        <v>213</v>
      </c>
      <c r="B58" s="74" t="e">
        <f t="shared" ca="1" si="49"/>
        <v>#REF!</v>
      </c>
      <c r="C58" s="74" t="e">
        <f t="shared" ca="1" si="49"/>
        <v>#REF!</v>
      </c>
      <c r="D58" s="74" t="e">
        <f t="shared" ca="1" si="49"/>
        <v>#REF!</v>
      </c>
      <c r="E58" s="74" t="e">
        <f t="shared" ca="1" si="49"/>
        <v>#REF!</v>
      </c>
      <c r="F58" t="e">
        <f t="shared" ca="1" si="13"/>
        <v>#REF!</v>
      </c>
      <c r="G58" t="e">
        <f t="shared" ca="1" si="13"/>
        <v>#REF!</v>
      </c>
      <c r="H58" t="e">
        <f t="shared" ca="1" si="13"/>
        <v>#REF!</v>
      </c>
      <c r="I58" s="74" t="e">
        <f t="shared" ca="1" si="49"/>
        <v>#REF!</v>
      </c>
      <c r="J58" s="74" t="e">
        <f t="shared" ca="1" si="49"/>
        <v>#REF!</v>
      </c>
      <c r="K58" s="74" t="e">
        <f t="shared" ca="1" si="49"/>
        <v>#REF!</v>
      </c>
      <c r="L58" s="74" t="e">
        <f t="shared" ca="1" si="49"/>
        <v>#REF!</v>
      </c>
      <c r="M58" s="74" t="e">
        <f t="shared" ca="1" si="49"/>
        <v>#REF!</v>
      </c>
      <c r="N58" s="74" t="e">
        <f t="shared" ca="1" si="49"/>
        <v>#REF!</v>
      </c>
      <c r="O58" s="74" t="e">
        <f t="shared" ca="1" si="49"/>
        <v>#REF!</v>
      </c>
      <c r="P58" s="74" t="e">
        <f t="shared" ca="1" si="49"/>
        <v>#REF!</v>
      </c>
      <c r="Q58" s="74" t="e">
        <f t="shared" ca="1" si="49"/>
        <v>#REF!</v>
      </c>
      <c r="R58" s="74" t="e">
        <f t="shared" ca="1" si="49"/>
        <v>#REF!</v>
      </c>
      <c r="S58" s="74" t="e">
        <f t="shared" ca="1" si="49"/>
        <v>#REF!</v>
      </c>
      <c r="T58" s="74" t="e">
        <f t="shared" ca="1" si="48"/>
        <v>#REF!</v>
      </c>
      <c r="U58" s="74" t="e">
        <f t="shared" ca="1" si="48"/>
        <v>#REF!</v>
      </c>
      <c r="V58" s="74" t="e">
        <f t="shared" ca="1" si="48"/>
        <v>#REF!</v>
      </c>
      <c r="W58" s="74" t="e">
        <f t="shared" ca="1" si="48"/>
        <v>#REF!</v>
      </c>
      <c r="X58" s="74" t="e">
        <f t="shared" ca="1" si="48"/>
        <v>#REF!</v>
      </c>
      <c r="Y58" s="74" t="e">
        <f t="shared" ca="1" si="48"/>
        <v>#REF!</v>
      </c>
      <c r="Z58" s="74" t="e">
        <f t="shared" ca="1" si="48"/>
        <v>#REF!</v>
      </c>
      <c r="AA58" s="74" t="e">
        <f t="shared" ca="1" si="48"/>
        <v>#REF!</v>
      </c>
      <c r="AB58" s="75" t="e">
        <f t="shared" ca="1" si="48"/>
        <v>#REF!</v>
      </c>
      <c r="AC58" s="75" t="e">
        <f t="shared" ca="1" si="48"/>
        <v>#REF!</v>
      </c>
      <c r="AD58" s="75" t="e">
        <f t="shared" ca="1" si="48"/>
        <v>#REF!</v>
      </c>
      <c r="AE58" s="75" t="e">
        <f t="shared" ca="1" si="48"/>
        <v>#REF!</v>
      </c>
      <c r="AF58" s="75" t="e">
        <f t="shared" ca="1" si="48"/>
        <v>#REF!</v>
      </c>
      <c r="AG58" s="75" t="e">
        <f t="shared" ca="1" si="48"/>
        <v>#REF!</v>
      </c>
      <c r="AH58" s="75" t="e">
        <f t="shared" ca="1" si="48"/>
        <v>#REF!</v>
      </c>
      <c r="AI58" s="75" t="e">
        <f t="shared" ca="1" si="38"/>
        <v>#REF!</v>
      </c>
      <c r="AJ58" s="75" t="e">
        <f t="shared" ca="1" si="38"/>
        <v>#REF!</v>
      </c>
      <c r="AK58" s="75" t="e">
        <f t="shared" ca="1" si="38"/>
        <v>#REF!</v>
      </c>
      <c r="AL58" s="75" t="e">
        <f t="shared" ca="1" si="38"/>
        <v>#REF!</v>
      </c>
      <c r="AM58" s="75" t="e">
        <f t="shared" ca="1" si="38"/>
        <v>#REF!</v>
      </c>
      <c r="AN58" s="75" t="e">
        <f t="shared" ca="1" si="38"/>
        <v>#REF!</v>
      </c>
      <c r="AO58" s="75" t="e">
        <f t="shared" ca="1" si="38"/>
        <v>#REF!</v>
      </c>
      <c r="AP58" s="75" t="e">
        <f t="shared" ca="1" si="38"/>
        <v>#REF!</v>
      </c>
      <c r="AQ58" s="75" t="e">
        <f t="shared" ca="1" si="38"/>
        <v>#REF!</v>
      </c>
      <c r="AR58" s="75" t="e">
        <f t="shared" ca="1" si="38"/>
        <v>#REF!</v>
      </c>
      <c r="AS58" s="75" t="e">
        <f t="shared" ca="1" si="38"/>
        <v>#REF!</v>
      </c>
      <c r="AT58" s="75" t="e">
        <f t="shared" ca="1" si="38"/>
        <v>#REF!</v>
      </c>
      <c r="AU58" s="74" t="e">
        <f t="shared" ca="1" si="38"/>
        <v>#REF!</v>
      </c>
      <c r="AV58" s="74" t="e">
        <f t="shared" ca="1" si="38"/>
        <v>#REF!</v>
      </c>
      <c r="AW58" s="74" t="e">
        <f t="shared" ca="1" si="38"/>
        <v>#REF!</v>
      </c>
      <c r="AX58" s="74" t="e">
        <f t="shared" ca="1" si="38"/>
        <v>#REF!</v>
      </c>
      <c r="AY58" s="74" t="e">
        <f t="shared" ca="1" si="39"/>
        <v>#REF!</v>
      </c>
      <c r="AZ58" s="74" t="e">
        <f t="shared" ca="1" si="39"/>
        <v>#REF!</v>
      </c>
      <c r="BA58" s="74" t="e">
        <f t="shared" ca="1" si="39"/>
        <v>#REF!</v>
      </c>
      <c r="BB58" s="74" t="e">
        <f t="shared" ca="1" si="39"/>
        <v>#REF!</v>
      </c>
      <c r="BC58" s="74" t="e">
        <f t="shared" ca="1" si="39"/>
        <v>#REF!</v>
      </c>
      <c r="BD58" s="74" t="e">
        <f t="shared" ca="1" si="39"/>
        <v>#REF!</v>
      </c>
      <c r="BE58" s="74" t="e">
        <f t="shared" ca="1" si="39"/>
        <v>#REF!</v>
      </c>
      <c r="BF58" s="74" t="e">
        <f t="shared" ca="1" si="39"/>
        <v>#REF!</v>
      </c>
      <c r="BG58" s="74" t="e">
        <f t="shared" ca="1" si="39"/>
        <v>#REF!</v>
      </c>
      <c r="BH58" s="74" t="e">
        <f t="shared" ca="1" si="39"/>
        <v>#REF!</v>
      </c>
      <c r="BI58" s="74" t="e">
        <f t="shared" ca="1" si="39"/>
        <v>#REF!</v>
      </c>
      <c r="BJ58" s="74" t="e">
        <f t="shared" ca="1" si="39"/>
        <v>#REF!</v>
      </c>
      <c r="BK58" s="74" t="e">
        <f t="shared" ca="1" si="39"/>
        <v>#REF!</v>
      </c>
      <c r="BL58" s="74" t="e">
        <f t="shared" ca="1" si="39"/>
        <v>#REF!</v>
      </c>
      <c r="BM58" s="74" t="e">
        <f t="shared" ca="1" si="39"/>
        <v>#REF!</v>
      </c>
      <c r="BN58" s="75" t="e">
        <f t="shared" ca="1" si="39"/>
        <v>#REF!</v>
      </c>
      <c r="BO58" s="75" t="e">
        <f t="shared" ca="1" si="40"/>
        <v>#REF!</v>
      </c>
      <c r="BP58" s="75" t="e">
        <f t="shared" ca="1" si="40"/>
        <v>#REF!</v>
      </c>
      <c r="BQ58" s="75" t="e">
        <f t="shared" ca="1" si="40"/>
        <v>#REF!</v>
      </c>
      <c r="BR58" s="75" t="e">
        <f t="shared" ca="1" si="40"/>
        <v>#REF!</v>
      </c>
      <c r="BS58" s="75" t="e">
        <f t="shared" ca="1" si="40"/>
        <v>#REF!</v>
      </c>
      <c r="BT58" s="75" t="e">
        <f t="shared" ca="1" si="40"/>
        <v>#REF!</v>
      </c>
      <c r="BU58" s="75" t="e">
        <f t="shared" ca="1" si="40"/>
        <v>#REF!</v>
      </c>
      <c r="BV58" s="75" t="e">
        <f t="shared" ca="1" si="40"/>
        <v>#REF!</v>
      </c>
      <c r="BW58" s="75" t="e">
        <f t="shared" ca="1" si="40"/>
        <v>#REF!</v>
      </c>
      <c r="BX58" s="75" t="e">
        <f t="shared" ca="1" si="40"/>
        <v>#REF!</v>
      </c>
      <c r="BY58" s="75" t="e">
        <f t="shared" ca="1" si="40"/>
        <v>#REF!</v>
      </c>
      <c r="BZ58" s="75" t="e">
        <f t="shared" ca="1" si="40"/>
        <v>#REF!</v>
      </c>
      <c r="CA58" s="75" t="e">
        <f t="shared" ca="1" si="40"/>
        <v>#REF!</v>
      </c>
      <c r="CB58" s="75" t="e">
        <f t="shared" ca="1" si="40"/>
        <v>#REF!</v>
      </c>
      <c r="CC58" s="75" t="e">
        <f t="shared" ca="1" si="40"/>
        <v>#REF!</v>
      </c>
      <c r="CD58" s="75" t="e">
        <f t="shared" ca="1" si="40"/>
        <v>#REF!</v>
      </c>
      <c r="CE58" s="75" t="e">
        <f t="shared" ca="1" si="41"/>
        <v>#REF!</v>
      </c>
      <c r="CF58" s="75" t="e">
        <f t="shared" ca="1" si="41"/>
        <v>#REF!</v>
      </c>
      <c r="CG58" s="74" t="e">
        <f t="shared" ca="1" si="41"/>
        <v>#REF!</v>
      </c>
      <c r="CH58" s="74" t="e">
        <f t="shared" ca="1" si="41"/>
        <v>#REF!</v>
      </c>
      <c r="CI58" s="74" t="e">
        <f t="shared" ca="1" si="41"/>
        <v>#REF!</v>
      </c>
      <c r="CJ58" s="74" t="e">
        <f t="shared" ca="1" si="41"/>
        <v>#REF!</v>
      </c>
      <c r="CK58" s="74" t="e">
        <f t="shared" ca="1" si="41"/>
        <v>#REF!</v>
      </c>
      <c r="CL58" s="74" t="e">
        <f t="shared" ca="1" si="41"/>
        <v>#REF!</v>
      </c>
      <c r="CM58" s="74" t="e">
        <f t="shared" ca="1" si="41"/>
        <v>#REF!</v>
      </c>
      <c r="CN58" s="74" t="e">
        <f t="shared" ca="1" si="41"/>
        <v>#REF!</v>
      </c>
      <c r="CO58" s="74" t="e">
        <f t="shared" ca="1" si="41"/>
        <v>#REF!</v>
      </c>
      <c r="CP58" s="74" t="e">
        <f t="shared" ca="1" si="41"/>
        <v>#REF!</v>
      </c>
      <c r="CQ58" s="74" t="e">
        <f t="shared" ca="1" si="41"/>
        <v>#REF!</v>
      </c>
      <c r="CR58" s="74" t="e">
        <f t="shared" ca="1" si="41"/>
        <v>#REF!</v>
      </c>
      <c r="CS58" s="74" t="e">
        <f t="shared" ca="1" si="41"/>
        <v>#REF!</v>
      </c>
      <c r="CT58" s="74" t="e">
        <f t="shared" ca="1" si="41"/>
        <v>#REF!</v>
      </c>
      <c r="CU58" s="74" t="e">
        <f t="shared" ca="1" si="42"/>
        <v>#REF!</v>
      </c>
      <c r="CV58" s="74" t="e">
        <f t="shared" ca="1" si="42"/>
        <v>#REF!</v>
      </c>
      <c r="CW58" s="74" t="e">
        <f t="shared" ca="1" si="42"/>
        <v>#REF!</v>
      </c>
      <c r="CX58" s="74" t="e">
        <f t="shared" ca="1" si="42"/>
        <v>#REF!</v>
      </c>
      <c r="CY58" s="74" t="e">
        <f t="shared" ca="1" si="42"/>
        <v>#REF!</v>
      </c>
      <c r="CZ58" s="75" t="e">
        <f t="shared" ca="1" si="42"/>
        <v>#REF!</v>
      </c>
      <c r="DA58" s="75" t="e">
        <f t="shared" ca="1" si="42"/>
        <v>#REF!</v>
      </c>
      <c r="DB58" s="75" t="e">
        <f t="shared" ca="1" si="42"/>
        <v>#REF!</v>
      </c>
      <c r="DC58" s="75" t="e">
        <f t="shared" ca="1" si="42"/>
        <v>#REF!</v>
      </c>
      <c r="DD58" s="75" t="e">
        <f t="shared" ca="1" si="42"/>
        <v>#REF!</v>
      </c>
      <c r="DE58" s="75" t="e">
        <f t="shared" ca="1" si="42"/>
        <v>#REF!</v>
      </c>
      <c r="DF58" s="75" t="e">
        <f t="shared" ca="1" si="42"/>
        <v>#REF!</v>
      </c>
      <c r="DG58" s="75" t="e">
        <f t="shared" ca="1" si="42"/>
        <v>#REF!</v>
      </c>
      <c r="DH58" s="75" t="e">
        <f t="shared" ca="1" si="42"/>
        <v>#REF!</v>
      </c>
      <c r="DI58" s="75" t="e">
        <f t="shared" ca="1" si="42"/>
        <v>#REF!</v>
      </c>
      <c r="DJ58" s="75" t="e">
        <f t="shared" ca="1" si="42"/>
        <v>#REF!</v>
      </c>
      <c r="DK58" s="75" t="e">
        <f t="shared" ca="1" si="43"/>
        <v>#REF!</v>
      </c>
      <c r="DL58" s="75" t="e">
        <f t="shared" ca="1" si="43"/>
        <v>#REF!</v>
      </c>
      <c r="DM58" s="75" t="e">
        <f t="shared" ca="1" si="43"/>
        <v>#REF!</v>
      </c>
      <c r="DN58" s="75" t="e">
        <f t="shared" ca="1" si="43"/>
        <v>#REF!</v>
      </c>
      <c r="DO58" s="75" t="e">
        <f t="shared" ca="1" si="43"/>
        <v>#REF!</v>
      </c>
      <c r="DP58" s="75" t="e">
        <f t="shared" ca="1" si="43"/>
        <v>#REF!</v>
      </c>
      <c r="DQ58" s="75" t="e">
        <f t="shared" ca="1" si="43"/>
        <v>#REF!</v>
      </c>
      <c r="DR58" s="75" t="e">
        <f t="shared" ca="1" si="43"/>
        <v>#REF!</v>
      </c>
      <c r="DS58" s="74" t="e">
        <f t="shared" ca="1" si="43"/>
        <v>#REF!</v>
      </c>
      <c r="DT58" s="74" t="e">
        <f t="shared" ca="1" si="43"/>
        <v>#REF!</v>
      </c>
      <c r="DU58" s="74" t="e">
        <f t="shared" ca="1" si="43"/>
        <v>#REF!</v>
      </c>
      <c r="DV58" s="74" t="e">
        <f t="shared" ca="1" si="43"/>
        <v>#REF!</v>
      </c>
      <c r="DW58" s="74" t="e">
        <f t="shared" ca="1" si="43"/>
        <v>#REF!</v>
      </c>
      <c r="DX58" s="74" t="e">
        <f t="shared" ca="1" si="43"/>
        <v>#REF!</v>
      </c>
      <c r="DY58" s="74" t="e">
        <f t="shared" ca="1" si="43"/>
        <v>#REF!</v>
      </c>
      <c r="DZ58" s="74" t="e">
        <f t="shared" ca="1" si="43"/>
        <v>#REF!</v>
      </c>
      <c r="EA58" s="74" t="e">
        <f t="shared" ca="1" si="44"/>
        <v>#REF!</v>
      </c>
      <c r="EB58" s="74" t="e">
        <f t="shared" ca="1" si="44"/>
        <v>#REF!</v>
      </c>
      <c r="EC58" s="74" t="e">
        <f t="shared" ca="1" si="44"/>
        <v>#REF!</v>
      </c>
      <c r="ED58" s="74" t="e">
        <f t="shared" ca="1" si="44"/>
        <v>#REF!</v>
      </c>
      <c r="EE58" s="74" t="e">
        <f t="shared" ca="1" si="44"/>
        <v>#REF!</v>
      </c>
      <c r="EF58" s="74" t="e">
        <f t="shared" ca="1" si="44"/>
        <v>#REF!</v>
      </c>
      <c r="EG58" s="74" t="e">
        <f t="shared" ca="1" si="44"/>
        <v>#REF!</v>
      </c>
      <c r="EH58" s="74" t="e">
        <f t="shared" ca="1" si="44"/>
        <v>#REF!</v>
      </c>
      <c r="EI58" s="74" t="e">
        <f t="shared" ca="1" si="44"/>
        <v>#REF!</v>
      </c>
      <c r="EJ58" s="74" t="e">
        <f t="shared" ca="1" si="44"/>
        <v>#REF!</v>
      </c>
      <c r="EK58" s="75" t="e">
        <f t="shared" ca="1" si="44"/>
        <v>#REF!</v>
      </c>
      <c r="EL58" s="75" t="e">
        <f t="shared" ca="1" si="44"/>
        <v>#REF!</v>
      </c>
      <c r="EM58" s="75" t="e">
        <f t="shared" ca="1" si="44"/>
        <v>#REF!</v>
      </c>
      <c r="EN58" s="75" t="e">
        <f t="shared" ca="1" si="44"/>
        <v>#REF!</v>
      </c>
      <c r="EO58" s="75" t="e">
        <f t="shared" ca="1" si="44"/>
        <v>#REF!</v>
      </c>
      <c r="EP58" s="75" t="e">
        <f t="shared" ca="1" si="44"/>
        <v>#REF!</v>
      </c>
      <c r="EQ58" s="75" t="e">
        <f t="shared" ca="1" si="45"/>
        <v>#REF!</v>
      </c>
      <c r="ER58" s="75" t="e">
        <f t="shared" ca="1" si="45"/>
        <v>#REF!</v>
      </c>
      <c r="ES58" s="75" t="e">
        <f t="shared" ca="1" si="45"/>
        <v>#REF!</v>
      </c>
      <c r="ET58" s="75" t="e">
        <f t="shared" ca="1" si="45"/>
        <v>#REF!</v>
      </c>
      <c r="EU58" s="75" t="e">
        <f t="shared" ca="1" si="45"/>
        <v>#REF!</v>
      </c>
      <c r="EV58" s="75" t="e">
        <f t="shared" ca="1" si="45"/>
        <v>#REF!</v>
      </c>
      <c r="EW58" s="75" t="e">
        <f t="shared" ca="1" si="45"/>
        <v>#REF!</v>
      </c>
      <c r="EX58" s="75" t="e">
        <f t="shared" ca="1" si="45"/>
        <v>#REF!</v>
      </c>
      <c r="EY58" s="75" t="e">
        <f t="shared" ca="1" si="45"/>
        <v>#REF!</v>
      </c>
      <c r="EZ58" s="75" t="e">
        <f t="shared" ca="1" si="45"/>
        <v>#REF!</v>
      </c>
      <c r="FA58" s="75" t="e">
        <f t="shared" ca="1" si="45"/>
        <v>#REF!</v>
      </c>
      <c r="FB58" s="75" t="e">
        <f t="shared" ca="1" si="45"/>
        <v>#REF!</v>
      </c>
      <c r="FC58" s="76" t="e">
        <f t="shared" ca="1" si="45"/>
        <v>#REF!</v>
      </c>
      <c r="FD58" s="74" t="e">
        <f t="shared" ca="1" si="45"/>
        <v>#REF!</v>
      </c>
      <c r="FE58" s="74" t="e">
        <f t="shared" ca="1" si="45"/>
        <v>#REF!</v>
      </c>
      <c r="FF58" s="74" t="e">
        <f t="shared" ca="1" si="45"/>
        <v>#REF!</v>
      </c>
      <c r="FG58" s="74" t="e">
        <f t="shared" ca="1" si="46"/>
        <v>#REF!</v>
      </c>
      <c r="FH58" s="74" t="e">
        <f t="shared" ca="1" si="46"/>
        <v>#REF!</v>
      </c>
      <c r="FI58" s="74" t="e">
        <f t="shared" ca="1" si="46"/>
        <v>#REF!</v>
      </c>
      <c r="FJ58" s="74" t="e">
        <f t="shared" ca="1" si="46"/>
        <v>#REF!</v>
      </c>
      <c r="FK58" s="74" t="e">
        <f t="shared" ca="1" si="46"/>
        <v>#REF!</v>
      </c>
      <c r="FL58" s="74" t="e">
        <f t="shared" ca="1" si="46"/>
        <v>#REF!</v>
      </c>
      <c r="FM58" s="74" t="e">
        <f t="shared" ca="1" si="46"/>
        <v>#REF!</v>
      </c>
      <c r="FN58" s="74" t="e">
        <f t="shared" ca="1" si="46"/>
        <v>#REF!</v>
      </c>
      <c r="FO58" s="74" t="e">
        <f t="shared" ca="1" si="46"/>
        <v>#REF!</v>
      </c>
      <c r="FP58" s="74" t="e">
        <f t="shared" ca="1" si="46"/>
        <v>#REF!</v>
      </c>
      <c r="FQ58" s="74" t="e">
        <f t="shared" ca="1" si="46"/>
        <v>#REF!</v>
      </c>
      <c r="FR58" s="74" t="e">
        <f t="shared" ca="1" si="46"/>
        <v>#REF!</v>
      </c>
      <c r="FS58" s="74" t="e">
        <f t="shared" ca="1" si="46"/>
        <v>#REF!</v>
      </c>
      <c r="FT58" s="74" t="e">
        <f t="shared" ca="1" si="46"/>
        <v>#REF!</v>
      </c>
    </row>
    <row r="59" spans="1:176" x14ac:dyDescent="0.35">
      <c r="A59" s="243">
        <v>241</v>
      </c>
      <c r="B59" s="74" t="e">
        <f t="shared" ca="1" si="49"/>
        <v>#REF!</v>
      </c>
      <c r="C59" s="74" t="e">
        <f t="shared" ca="1" si="49"/>
        <v>#REF!</v>
      </c>
      <c r="D59" s="74" t="e">
        <f t="shared" ca="1" si="49"/>
        <v>#REF!</v>
      </c>
      <c r="E59" s="74" t="e">
        <f t="shared" ca="1" si="49"/>
        <v>#REF!</v>
      </c>
      <c r="F59" t="e">
        <f t="shared" ca="1" si="13"/>
        <v>#REF!</v>
      </c>
      <c r="G59" t="e">
        <f t="shared" ca="1" si="13"/>
        <v>#REF!</v>
      </c>
      <c r="H59" t="e">
        <f t="shared" ca="1" si="13"/>
        <v>#REF!</v>
      </c>
      <c r="I59" s="74" t="e">
        <f t="shared" ca="1" si="49"/>
        <v>#REF!</v>
      </c>
      <c r="J59" s="74" t="e">
        <f t="shared" ca="1" si="49"/>
        <v>#REF!</v>
      </c>
      <c r="K59" s="74" t="e">
        <f t="shared" ca="1" si="49"/>
        <v>#REF!</v>
      </c>
      <c r="L59" s="74" t="e">
        <f t="shared" ca="1" si="49"/>
        <v>#REF!</v>
      </c>
      <c r="M59" s="74" t="e">
        <f t="shared" ca="1" si="49"/>
        <v>#REF!</v>
      </c>
      <c r="N59" s="74" t="e">
        <f t="shared" ca="1" si="49"/>
        <v>#REF!</v>
      </c>
      <c r="O59" s="74" t="e">
        <f t="shared" ca="1" si="49"/>
        <v>#REF!</v>
      </c>
      <c r="P59" s="74" t="e">
        <f t="shared" ca="1" si="49"/>
        <v>#REF!</v>
      </c>
      <c r="Q59" s="74" t="e">
        <f t="shared" ca="1" si="49"/>
        <v>#REF!</v>
      </c>
      <c r="R59" s="74" t="e">
        <f t="shared" ca="1" si="49"/>
        <v>#REF!</v>
      </c>
      <c r="S59" s="74" t="e">
        <f t="shared" ca="1" si="49"/>
        <v>#REF!</v>
      </c>
      <c r="T59" s="74" t="e">
        <f t="shared" ca="1" si="48"/>
        <v>#REF!</v>
      </c>
      <c r="U59" s="74" t="e">
        <f t="shared" ca="1" si="48"/>
        <v>#REF!</v>
      </c>
      <c r="V59" s="74" t="e">
        <f t="shared" ca="1" si="48"/>
        <v>#REF!</v>
      </c>
      <c r="W59" s="74" t="e">
        <f t="shared" ca="1" si="48"/>
        <v>#REF!</v>
      </c>
      <c r="X59" s="74" t="e">
        <f t="shared" ca="1" si="48"/>
        <v>#REF!</v>
      </c>
      <c r="Y59" s="74" t="e">
        <f t="shared" ca="1" si="48"/>
        <v>#REF!</v>
      </c>
      <c r="Z59" s="74" t="e">
        <f t="shared" ca="1" si="48"/>
        <v>#REF!</v>
      </c>
      <c r="AA59" s="74" t="e">
        <f t="shared" ca="1" si="48"/>
        <v>#REF!</v>
      </c>
      <c r="AB59" s="75" t="e">
        <f t="shared" ca="1" si="48"/>
        <v>#REF!</v>
      </c>
      <c r="AC59" s="75" t="e">
        <f t="shared" ca="1" si="48"/>
        <v>#REF!</v>
      </c>
      <c r="AD59" s="75" t="e">
        <f t="shared" ca="1" si="48"/>
        <v>#REF!</v>
      </c>
      <c r="AE59" s="75" t="e">
        <f t="shared" ca="1" si="48"/>
        <v>#REF!</v>
      </c>
      <c r="AF59" s="75" t="e">
        <f t="shared" ca="1" si="48"/>
        <v>#REF!</v>
      </c>
      <c r="AG59" s="75" t="e">
        <f t="shared" ca="1" si="48"/>
        <v>#REF!</v>
      </c>
      <c r="AH59" s="75" t="e">
        <f t="shared" ca="1" si="48"/>
        <v>#REF!</v>
      </c>
      <c r="AI59" s="75" t="e">
        <f t="shared" ca="1" si="38"/>
        <v>#REF!</v>
      </c>
      <c r="AJ59" s="75" t="e">
        <f t="shared" ca="1" si="38"/>
        <v>#REF!</v>
      </c>
      <c r="AK59" s="75" t="e">
        <f t="shared" ca="1" si="38"/>
        <v>#REF!</v>
      </c>
      <c r="AL59" s="75" t="e">
        <f t="shared" ca="1" si="38"/>
        <v>#REF!</v>
      </c>
      <c r="AM59" s="75" t="e">
        <f t="shared" ca="1" si="38"/>
        <v>#REF!</v>
      </c>
      <c r="AN59" s="75" t="e">
        <f t="shared" ca="1" si="38"/>
        <v>#REF!</v>
      </c>
      <c r="AO59" s="75" t="e">
        <f t="shared" ca="1" si="38"/>
        <v>#REF!</v>
      </c>
      <c r="AP59" s="75" t="e">
        <f t="shared" ca="1" si="38"/>
        <v>#REF!</v>
      </c>
      <c r="AQ59" s="75" t="e">
        <f t="shared" ca="1" si="38"/>
        <v>#REF!</v>
      </c>
      <c r="AR59" s="75" t="e">
        <f t="shared" ca="1" si="38"/>
        <v>#REF!</v>
      </c>
      <c r="AS59" s="75" t="e">
        <f t="shared" ca="1" si="38"/>
        <v>#REF!</v>
      </c>
      <c r="AT59" s="75" t="e">
        <f t="shared" ca="1" si="38"/>
        <v>#REF!</v>
      </c>
      <c r="AU59" s="74" t="e">
        <f t="shared" ca="1" si="38"/>
        <v>#REF!</v>
      </c>
      <c r="AV59" s="74" t="e">
        <f t="shared" ca="1" si="38"/>
        <v>#REF!</v>
      </c>
      <c r="AW59" s="74" t="e">
        <f t="shared" ca="1" si="38"/>
        <v>#REF!</v>
      </c>
      <c r="AX59" s="74" t="e">
        <f t="shared" ca="1" si="38"/>
        <v>#REF!</v>
      </c>
      <c r="AY59" s="74" t="e">
        <f t="shared" ca="1" si="39"/>
        <v>#REF!</v>
      </c>
      <c r="AZ59" s="74" t="e">
        <f t="shared" ca="1" si="39"/>
        <v>#REF!</v>
      </c>
      <c r="BA59" s="74" t="e">
        <f t="shared" ca="1" si="39"/>
        <v>#REF!</v>
      </c>
      <c r="BB59" s="74" t="e">
        <f t="shared" ca="1" si="39"/>
        <v>#REF!</v>
      </c>
      <c r="BC59" s="74" t="e">
        <f t="shared" ca="1" si="39"/>
        <v>#REF!</v>
      </c>
      <c r="BD59" s="74" t="e">
        <f t="shared" ca="1" si="39"/>
        <v>#REF!</v>
      </c>
      <c r="BE59" s="74" t="e">
        <f t="shared" ca="1" si="39"/>
        <v>#REF!</v>
      </c>
      <c r="BF59" s="74" t="e">
        <f t="shared" ca="1" si="39"/>
        <v>#REF!</v>
      </c>
      <c r="BG59" s="74" t="e">
        <f t="shared" ca="1" si="39"/>
        <v>#REF!</v>
      </c>
      <c r="BH59" s="74" t="e">
        <f t="shared" ca="1" si="39"/>
        <v>#REF!</v>
      </c>
      <c r="BI59" s="74" t="e">
        <f t="shared" ca="1" si="39"/>
        <v>#REF!</v>
      </c>
      <c r="BJ59" s="74" t="e">
        <f t="shared" ca="1" si="39"/>
        <v>#REF!</v>
      </c>
      <c r="BK59" s="74" t="e">
        <f t="shared" ca="1" si="39"/>
        <v>#REF!</v>
      </c>
      <c r="BL59" s="74" t="e">
        <f t="shared" ca="1" si="39"/>
        <v>#REF!</v>
      </c>
      <c r="BM59" s="74" t="e">
        <f t="shared" ca="1" si="39"/>
        <v>#REF!</v>
      </c>
      <c r="BN59" s="75" t="e">
        <f t="shared" ca="1" si="39"/>
        <v>#REF!</v>
      </c>
      <c r="BO59" s="75" t="e">
        <f t="shared" ca="1" si="40"/>
        <v>#REF!</v>
      </c>
      <c r="BP59" s="75" t="e">
        <f t="shared" ca="1" si="40"/>
        <v>#REF!</v>
      </c>
      <c r="BQ59" s="75" t="e">
        <f t="shared" ca="1" si="40"/>
        <v>#REF!</v>
      </c>
      <c r="BR59" s="75" t="e">
        <f t="shared" ca="1" si="40"/>
        <v>#REF!</v>
      </c>
      <c r="BS59" s="75" t="e">
        <f t="shared" ca="1" si="40"/>
        <v>#REF!</v>
      </c>
      <c r="BT59" s="75" t="e">
        <f t="shared" ca="1" si="40"/>
        <v>#REF!</v>
      </c>
      <c r="BU59" s="75" t="e">
        <f t="shared" ca="1" si="40"/>
        <v>#REF!</v>
      </c>
      <c r="BV59" s="75" t="e">
        <f t="shared" ca="1" si="40"/>
        <v>#REF!</v>
      </c>
      <c r="BW59" s="75" t="e">
        <f t="shared" ca="1" si="40"/>
        <v>#REF!</v>
      </c>
      <c r="BX59" s="75" t="e">
        <f t="shared" ca="1" si="40"/>
        <v>#REF!</v>
      </c>
      <c r="BY59" s="75" t="e">
        <f t="shared" ca="1" si="40"/>
        <v>#REF!</v>
      </c>
      <c r="BZ59" s="75" t="e">
        <f t="shared" ca="1" si="40"/>
        <v>#REF!</v>
      </c>
      <c r="CA59" s="75" t="e">
        <f t="shared" ca="1" si="40"/>
        <v>#REF!</v>
      </c>
      <c r="CB59" s="75" t="e">
        <f t="shared" ca="1" si="40"/>
        <v>#REF!</v>
      </c>
      <c r="CC59" s="75" t="e">
        <f t="shared" ca="1" si="40"/>
        <v>#REF!</v>
      </c>
      <c r="CD59" s="75" t="e">
        <f t="shared" ca="1" si="40"/>
        <v>#REF!</v>
      </c>
      <c r="CE59" s="75" t="e">
        <f t="shared" ca="1" si="41"/>
        <v>#REF!</v>
      </c>
      <c r="CF59" s="75" t="e">
        <f t="shared" ca="1" si="41"/>
        <v>#REF!</v>
      </c>
      <c r="CG59" s="74" t="e">
        <f t="shared" ca="1" si="41"/>
        <v>#REF!</v>
      </c>
      <c r="CH59" s="74" t="e">
        <f t="shared" ca="1" si="41"/>
        <v>#REF!</v>
      </c>
      <c r="CI59" s="74" t="e">
        <f t="shared" ca="1" si="41"/>
        <v>#REF!</v>
      </c>
      <c r="CJ59" s="74" t="e">
        <f t="shared" ca="1" si="41"/>
        <v>#REF!</v>
      </c>
      <c r="CK59" s="74" t="e">
        <f t="shared" ca="1" si="41"/>
        <v>#REF!</v>
      </c>
      <c r="CL59" s="74" t="e">
        <f t="shared" ca="1" si="41"/>
        <v>#REF!</v>
      </c>
      <c r="CM59" s="74" t="e">
        <f t="shared" ca="1" si="41"/>
        <v>#REF!</v>
      </c>
      <c r="CN59" s="74" t="e">
        <f t="shared" ca="1" si="41"/>
        <v>#REF!</v>
      </c>
      <c r="CO59" s="74" t="e">
        <f t="shared" ca="1" si="41"/>
        <v>#REF!</v>
      </c>
      <c r="CP59" s="74" t="e">
        <f t="shared" ca="1" si="41"/>
        <v>#REF!</v>
      </c>
      <c r="CQ59" s="74" t="e">
        <f t="shared" ca="1" si="41"/>
        <v>#REF!</v>
      </c>
      <c r="CR59" s="74" t="e">
        <f t="shared" ca="1" si="41"/>
        <v>#REF!</v>
      </c>
      <c r="CS59" s="74" t="e">
        <f t="shared" ca="1" si="41"/>
        <v>#REF!</v>
      </c>
      <c r="CT59" s="74" t="e">
        <f t="shared" ca="1" si="41"/>
        <v>#REF!</v>
      </c>
      <c r="CU59" s="74" t="e">
        <f t="shared" ca="1" si="42"/>
        <v>#REF!</v>
      </c>
      <c r="CV59" s="74" t="e">
        <f t="shared" ca="1" si="42"/>
        <v>#REF!</v>
      </c>
      <c r="CW59" s="74" t="e">
        <f t="shared" ca="1" si="42"/>
        <v>#REF!</v>
      </c>
      <c r="CX59" s="74" t="e">
        <f t="shared" ca="1" si="42"/>
        <v>#REF!</v>
      </c>
      <c r="CY59" s="74" t="e">
        <f t="shared" ca="1" si="42"/>
        <v>#REF!</v>
      </c>
      <c r="CZ59" s="75" t="e">
        <f t="shared" ca="1" si="42"/>
        <v>#REF!</v>
      </c>
      <c r="DA59" s="75" t="e">
        <f t="shared" ca="1" si="42"/>
        <v>#REF!</v>
      </c>
      <c r="DB59" s="75" t="e">
        <f t="shared" ca="1" si="42"/>
        <v>#REF!</v>
      </c>
      <c r="DC59" s="75" t="e">
        <f t="shared" ca="1" si="42"/>
        <v>#REF!</v>
      </c>
      <c r="DD59" s="75" t="e">
        <f t="shared" ca="1" si="42"/>
        <v>#REF!</v>
      </c>
      <c r="DE59" s="75" t="e">
        <f t="shared" ca="1" si="42"/>
        <v>#REF!</v>
      </c>
      <c r="DF59" s="75" t="e">
        <f t="shared" ca="1" si="42"/>
        <v>#REF!</v>
      </c>
      <c r="DG59" s="75" t="e">
        <f t="shared" ca="1" si="42"/>
        <v>#REF!</v>
      </c>
      <c r="DH59" s="75" t="e">
        <f t="shared" ca="1" si="42"/>
        <v>#REF!</v>
      </c>
      <c r="DI59" s="75" t="e">
        <f t="shared" ca="1" si="42"/>
        <v>#REF!</v>
      </c>
      <c r="DJ59" s="75" t="e">
        <f t="shared" ca="1" si="42"/>
        <v>#REF!</v>
      </c>
      <c r="DK59" s="75" t="e">
        <f t="shared" ca="1" si="43"/>
        <v>#REF!</v>
      </c>
      <c r="DL59" s="75" t="e">
        <f t="shared" ca="1" si="43"/>
        <v>#REF!</v>
      </c>
      <c r="DM59" s="75" t="e">
        <f t="shared" ca="1" si="43"/>
        <v>#REF!</v>
      </c>
      <c r="DN59" s="75" t="e">
        <f t="shared" ca="1" si="43"/>
        <v>#REF!</v>
      </c>
      <c r="DO59" s="75" t="e">
        <f t="shared" ca="1" si="43"/>
        <v>#REF!</v>
      </c>
      <c r="DP59" s="75" t="e">
        <f t="shared" ca="1" si="43"/>
        <v>#REF!</v>
      </c>
      <c r="DQ59" s="75" t="e">
        <f t="shared" ca="1" si="43"/>
        <v>#REF!</v>
      </c>
      <c r="DR59" s="75" t="e">
        <f t="shared" ca="1" si="43"/>
        <v>#REF!</v>
      </c>
      <c r="DS59" s="74" t="e">
        <f t="shared" ca="1" si="43"/>
        <v>#REF!</v>
      </c>
      <c r="DT59" s="74" t="e">
        <f t="shared" ca="1" si="43"/>
        <v>#REF!</v>
      </c>
      <c r="DU59" s="74" t="e">
        <f t="shared" ca="1" si="43"/>
        <v>#REF!</v>
      </c>
      <c r="DV59" s="74" t="e">
        <f t="shared" ca="1" si="43"/>
        <v>#REF!</v>
      </c>
      <c r="DW59" s="74" t="e">
        <f t="shared" ca="1" si="43"/>
        <v>#REF!</v>
      </c>
      <c r="DX59" s="74" t="e">
        <f t="shared" ca="1" si="43"/>
        <v>#REF!</v>
      </c>
      <c r="DY59" s="74" t="e">
        <f t="shared" ca="1" si="43"/>
        <v>#REF!</v>
      </c>
      <c r="DZ59" s="74" t="e">
        <f t="shared" ca="1" si="43"/>
        <v>#REF!</v>
      </c>
      <c r="EA59" s="74" t="e">
        <f t="shared" ca="1" si="44"/>
        <v>#REF!</v>
      </c>
      <c r="EB59" s="74" t="e">
        <f t="shared" ca="1" si="44"/>
        <v>#REF!</v>
      </c>
      <c r="EC59" s="74" t="e">
        <f t="shared" ca="1" si="44"/>
        <v>#REF!</v>
      </c>
      <c r="ED59" s="74" t="e">
        <f t="shared" ca="1" si="44"/>
        <v>#REF!</v>
      </c>
      <c r="EE59" s="74" t="e">
        <f t="shared" ca="1" si="44"/>
        <v>#REF!</v>
      </c>
      <c r="EF59" s="74" t="e">
        <f t="shared" ca="1" si="44"/>
        <v>#REF!</v>
      </c>
      <c r="EG59" s="74" t="e">
        <f t="shared" ca="1" si="44"/>
        <v>#REF!</v>
      </c>
      <c r="EH59" s="74" t="e">
        <f t="shared" ca="1" si="44"/>
        <v>#REF!</v>
      </c>
      <c r="EI59" s="74" t="e">
        <f t="shared" ca="1" si="44"/>
        <v>#REF!</v>
      </c>
      <c r="EJ59" s="74" t="e">
        <f t="shared" ca="1" si="44"/>
        <v>#REF!</v>
      </c>
      <c r="EK59" s="75" t="e">
        <f t="shared" ca="1" si="44"/>
        <v>#REF!</v>
      </c>
      <c r="EL59" s="75" t="e">
        <f t="shared" ca="1" si="44"/>
        <v>#REF!</v>
      </c>
      <c r="EM59" s="75" t="e">
        <f t="shared" ca="1" si="44"/>
        <v>#REF!</v>
      </c>
      <c r="EN59" s="75" t="e">
        <f t="shared" ca="1" si="44"/>
        <v>#REF!</v>
      </c>
      <c r="EO59" s="75" t="e">
        <f t="shared" ca="1" si="44"/>
        <v>#REF!</v>
      </c>
      <c r="EP59" s="75" t="e">
        <f t="shared" ca="1" si="44"/>
        <v>#REF!</v>
      </c>
      <c r="EQ59" s="75" t="e">
        <f t="shared" ca="1" si="45"/>
        <v>#REF!</v>
      </c>
      <c r="ER59" s="75" t="e">
        <f t="shared" ca="1" si="45"/>
        <v>#REF!</v>
      </c>
      <c r="ES59" s="75" t="e">
        <f t="shared" ca="1" si="45"/>
        <v>#REF!</v>
      </c>
      <c r="ET59" s="75" t="e">
        <f t="shared" ca="1" si="45"/>
        <v>#REF!</v>
      </c>
      <c r="EU59" s="75" t="e">
        <f t="shared" ca="1" si="45"/>
        <v>#REF!</v>
      </c>
      <c r="EV59" s="75" t="e">
        <f t="shared" ca="1" si="45"/>
        <v>#REF!</v>
      </c>
      <c r="EW59" s="75" t="e">
        <f t="shared" ca="1" si="45"/>
        <v>#REF!</v>
      </c>
      <c r="EX59" s="75" t="e">
        <f t="shared" ca="1" si="45"/>
        <v>#REF!</v>
      </c>
      <c r="EY59" s="75" t="e">
        <f t="shared" ca="1" si="45"/>
        <v>#REF!</v>
      </c>
      <c r="EZ59" s="75" t="e">
        <f t="shared" ca="1" si="45"/>
        <v>#REF!</v>
      </c>
      <c r="FA59" s="75" t="e">
        <f t="shared" ca="1" si="45"/>
        <v>#REF!</v>
      </c>
      <c r="FB59" s="75" t="e">
        <f t="shared" ca="1" si="45"/>
        <v>#REF!</v>
      </c>
      <c r="FC59" s="76" t="e">
        <f t="shared" ca="1" si="45"/>
        <v>#REF!</v>
      </c>
      <c r="FD59" s="74" t="e">
        <f t="shared" ca="1" si="45"/>
        <v>#REF!</v>
      </c>
      <c r="FE59" s="74" t="e">
        <f t="shared" ca="1" si="45"/>
        <v>#REF!</v>
      </c>
      <c r="FF59" s="74" t="e">
        <f t="shared" ca="1" si="45"/>
        <v>#REF!</v>
      </c>
      <c r="FG59" s="74" t="e">
        <f t="shared" ca="1" si="46"/>
        <v>#REF!</v>
      </c>
      <c r="FH59" s="74" t="e">
        <f t="shared" ca="1" si="46"/>
        <v>#REF!</v>
      </c>
      <c r="FI59" s="74" t="e">
        <f t="shared" ca="1" si="46"/>
        <v>#REF!</v>
      </c>
      <c r="FJ59" s="74" t="e">
        <f t="shared" ca="1" si="46"/>
        <v>#REF!</v>
      </c>
      <c r="FK59" s="74" t="e">
        <f t="shared" ca="1" si="46"/>
        <v>#REF!</v>
      </c>
      <c r="FL59" s="74" t="e">
        <f t="shared" ca="1" si="46"/>
        <v>#REF!</v>
      </c>
      <c r="FM59" s="74" t="e">
        <f t="shared" ca="1" si="46"/>
        <v>#REF!</v>
      </c>
      <c r="FN59" s="74" t="e">
        <f t="shared" ca="1" si="46"/>
        <v>#REF!</v>
      </c>
      <c r="FO59" s="74" t="e">
        <f t="shared" ca="1" si="46"/>
        <v>#REF!</v>
      </c>
      <c r="FP59" s="74" t="e">
        <f t="shared" ca="1" si="46"/>
        <v>#REF!</v>
      </c>
      <c r="FQ59" s="74" t="e">
        <f t="shared" ca="1" si="46"/>
        <v>#REF!</v>
      </c>
      <c r="FR59" s="74" t="e">
        <f t="shared" ca="1" si="46"/>
        <v>#REF!</v>
      </c>
      <c r="FS59" s="74" t="e">
        <f t="shared" ca="1" si="46"/>
        <v>#REF!</v>
      </c>
      <c r="FT59" s="74" t="e">
        <f t="shared" ca="1" si="46"/>
        <v>#REF!</v>
      </c>
    </row>
    <row r="60" spans="1:176" x14ac:dyDescent="0.35">
      <c r="A60" s="243">
        <v>248</v>
      </c>
      <c r="B60" s="74" t="e">
        <f t="shared" ca="1" si="49"/>
        <v>#REF!</v>
      </c>
      <c r="C60" s="74" t="e">
        <f t="shared" ca="1" si="49"/>
        <v>#REF!</v>
      </c>
      <c r="D60" s="74" t="e">
        <f t="shared" ca="1" si="49"/>
        <v>#REF!</v>
      </c>
      <c r="E60" s="74" t="e">
        <f t="shared" ca="1" si="49"/>
        <v>#REF!</v>
      </c>
      <c r="F60" t="e">
        <f t="shared" ca="1" si="13"/>
        <v>#REF!</v>
      </c>
      <c r="G60" t="e">
        <f t="shared" ca="1" si="13"/>
        <v>#REF!</v>
      </c>
      <c r="H60" t="e">
        <f t="shared" ca="1" si="13"/>
        <v>#REF!</v>
      </c>
      <c r="I60" s="74" t="e">
        <f t="shared" ca="1" si="49"/>
        <v>#REF!</v>
      </c>
      <c r="J60" s="74" t="e">
        <f t="shared" ca="1" si="49"/>
        <v>#REF!</v>
      </c>
      <c r="K60" s="74" t="e">
        <f t="shared" ca="1" si="49"/>
        <v>#REF!</v>
      </c>
      <c r="L60" s="74" t="e">
        <f t="shared" ca="1" si="49"/>
        <v>#REF!</v>
      </c>
      <c r="M60" s="74" t="e">
        <f t="shared" ca="1" si="49"/>
        <v>#REF!</v>
      </c>
      <c r="N60" s="74" t="e">
        <f t="shared" ca="1" si="49"/>
        <v>#REF!</v>
      </c>
      <c r="O60" s="74" t="e">
        <f t="shared" ca="1" si="49"/>
        <v>#REF!</v>
      </c>
      <c r="P60" s="74" t="e">
        <f t="shared" ca="1" si="49"/>
        <v>#REF!</v>
      </c>
      <c r="Q60" s="74" t="e">
        <f t="shared" ca="1" si="49"/>
        <v>#REF!</v>
      </c>
      <c r="R60" s="74" t="e">
        <f t="shared" ca="1" si="49"/>
        <v>#REF!</v>
      </c>
      <c r="S60" s="74" t="e">
        <f t="shared" ca="1" si="49"/>
        <v>#REF!</v>
      </c>
      <c r="T60" s="74" t="e">
        <f t="shared" ca="1" si="48"/>
        <v>#REF!</v>
      </c>
      <c r="U60" s="74" t="e">
        <f t="shared" ca="1" si="48"/>
        <v>#REF!</v>
      </c>
      <c r="V60" s="74" t="e">
        <f t="shared" ca="1" si="48"/>
        <v>#REF!</v>
      </c>
      <c r="W60" s="74" t="e">
        <f t="shared" ca="1" si="48"/>
        <v>#REF!</v>
      </c>
      <c r="X60" s="74" t="e">
        <f t="shared" ca="1" si="48"/>
        <v>#REF!</v>
      </c>
      <c r="Y60" s="74" t="e">
        <f t="shared" ca="1" si="48"/>
        <v>#REF!</v>
      </c>
      <c r="Z60" s="74" t="e">
        <f t="shared" ca="1" si="48"/>
        <v>#REF!</v>
      </c>
      <c r="AA60" s="74" t="e">
        <f t="shared" ca="1" si="48"/>
        <v>#REF!</v>
      </c>
      <c r="AB60" s="75" t="e">
        <f t="shared" ca="1" si="48"/>
        <v>#REF!</v>
      </c>
      <c r="AC60" s="75" t="e">
        <f t="shared" ca="1" si="48"/>
        <v>#REF!</v>
      </c>
      <c r="AD60" s="75" t="e">
        <f t="shared" ca="1" si="48"/>
        <v>#REF!</v>
      </c>
      <c r="AE60" s="75" t="e">
        <f t="shared" ca="1" si="48"/>
        <v>#REF!</v>
      </c>
      <c r="AF60" s="75" t="e">
        <f t="shared" ca="1" si="48"/>
        <v>#REF!</v>
      </c>
      <c r="AG60" s="75" t="e">
        <f t="shared" ca="1" si="48"/>
        <v>#REF!</v>
      </c>
      <c r="AH60" s="75" t="e">
        <f t="shared" ca="1" si="48"/>
        <v>#REF!</v>
      </c>
      <c r="AI60" s="75" t="e">
        <f t="shared" ca="1" si="38"/>
        <v>#REF!</v>
      </c>
      <c r="AJ60" s="75" t="e">
        <f t="shared" ca="1" si="38"/>
        <v>#REF!</v>
      </c>
      <c r="AK60" s="75" t="e">
        <f t="shared" ca="1" si="38"/>
        <v>#REF!</v>
      </c>
      <c r="AL60" s="75" t="e">
        <f t="shared" ca="1" si="38"/>
        <v>#REF!</v>
      </c>
      <c r="AM60" s="75" t="e">
        <f t="shared" ca="1" si="38"/>
        <v>#REF!</v>
      </c>
      <c r="AN60" s="75" t="e">
        <f t="shared" ca="1" si="38"/>
        <v>#REF!</v>
      </c>
      <c r="AO60" s="75" t="e">
        <f t="shared" ca="1" si="38"/>
        <v>#REF!</v>
      </c>
      <c r="AP60" s="75" t="e">
        <f t="shared" ca="1" si="38"/>
        <v>#REF!</v>
      </c>
      <c r="AQ60" s="75" t="e">
        <f t="shared" ca="1" si="38"/>
        <v>#REF!</v>
      </c>
      <c r="AR60" s="75" t="e">
        <f t="shared" ca="1" si="38"/>
        <v>#REF!</v>
      </c>
      <c r="AS60" s="75" t="e">
        <f t="shared" ca="1" si="38"/>
        <v>#REF!</v>
      </c>
      <c r="AT60" s="75" t="e">
        <f t="shared" ca="1" si="38"/>
        <v>#REF!</v>
      </c>
      <c r="AU60" s="74" t="e">
        <f t="shared" ca="1" si="38"/>
        <v>#REF!</v>
      </c>
      <c r="AV60" s="74" t="e">
        <f t="shared" ca="1" si="38"/>
        <v>#REF!</v>
      </c>
      <c r="AW60" s="74" t="e">
        <f t="shared" ca="1" si="38"/>
        <v>#REF!</v>
      </c>
      <c r="AX60" s="74" t="e">
        <f t="shared" ca="1" si="38"/>
        <v>#REF!</v>
      </c>
      <c r="AY60" s="74" t="e">
        <f t="shared" ca="1" si="39"/>
        <v>#REF!</v>
      </c>
      <c r="AZ60" s="74" t="e">
        <f t="shared" ca="1" si="39"/>
        <v>#REF!</v>
      </c>
      <c r="BA60" s="74" t="e">
        <f t="shared" ca="1" si="39"/>
        <v>#REF!</v>
      </c>
      <c r="BB60" s="74" t="e">
        <f t="shared" ca="1" si="39"/>
        <v>#REF!</v>
      </c>
      <c r="BC60" s="74" t="e">
        <f t="shared" ca="1" si="39"/>
        <v>#REF!</v>
      </c>
      <c r="BD60" s="74" t="e">
        <f t="shared" ca="1" si="39"/>
        <v>#REF!</v>
      </c>
      <c r="BE60" s="74" t="e">
        <f t="shared" ca="1" si="39"/>
        <v>#REF!</v>
      </c>
      <c r="BF60" s="74" t="e">
        <f t="shared" ca="1" si="39"/>
        <v>#REF!</v>
      </c>
      <c r="BG60" s="74" t="e">
        <f t="shared" ca="1" si="39"/>
        <v>#REF!</v>
      </c>
      <c r="BH60" s="74" t="e">
        <f t="shared" ca="1" si="39"/>
        <v>#REF!</v>
      </c>
      <c r="BI60" s="74" t="e">
        <f t="shared" ca="1" si="39"/>
        <v>#REF!</v>
      </c>
      <c r="BJ60" s="74" t="e">
        <f t="shared" ca="1" si="39"/>
        <v>#REF!</v>
      </c>
      <c r="BK60" s="74" t="e">
        <f t="shared" ca="1" si="39"/>
        <v>#REF!</v>
      </c>
      <c r="BL60" s="74" t="e">
        <f t="shared" ca="1" si="39"/>
        <v>#REF!</v>
      </c>
      <c r="BM60" s="74" t="e">
        <f t="shared" ca="1" si="39"/>
        <v>#REF!</v>
      </c>
      <c r="BN60" s="75" t="e">
        <f t="shared" ca="1" si="39"/>
        <v>#REF!</v>
      </c>
      <c r="BO60" s="75" t="e">
        <f t="shared" ca="1" si="40"/>
        <v>#REF!</v>
      </c>
      <c r="BP60" s="75" t="e">
        <f t="shared" ca="1" si="40"/>
        <v>#REF!</v>
      </c>
      <c r="BQ60" s="75" t="e">
        <f t="shared" ca="1" si="40"/>
        <v>#REF!</v>
      </c>
      <c r="BR60" s="75" t="e">
        <f t="shared" ca="1" si="40"/>
        <v>#REF!</v>
      </c>
      <c r="BS60" s="75" t="e">
        <f t="shared" ca="1" si="40"/>
        <v>#REF!</v>
      </c>
      <c r="BT60" s="75" t="e">
        <f t="shared" ca="1" si="40"/>
        <v>#REF!</v>
      </c>
      <c r="BU60" s="75" t="e">
        <f t="shared" ca="1" si="40"/>
        <v>#REF!</v>
      </c>
      <c r="BV60" s="75" t="e">
        <f t="shared" ca="1" si="40"/>
        <v>#REF!</v>
      </c>
      <c r="BW60" s="75" t="e">
        <f t="shared" ca="1" si="40"/>
        <v>#REF!</v>
      </c>
      <c r="BX60" s="75" t="e">
        <f t="shared" ca="1" si="40"/>
        <v>#REF!</v>
      </c>
      <c r="BY60" s="75" t="e">
        <f t="shared" ca="1" si="40"/>
        <v>#REF!</v>
      </c>
      <c r="BZ60" s="75" t="e">
        <f t="shared" ca="1" si="40"/>
        <v>#REF!</v>
      </c>
      <c r="CA60" s="75" t="e">
        <f t="shared" ca="1" si="40"/>
        <v>#REF!</v>
      </c>
      <c r="CB60" s="75" t="e">
        <f t="shared" ca="1" si="40"/>
        <v>#REF!</v>
      </c>
      <c r="CC60" s="75" t="e">
        <f t="shared" ca="1" si="40"/>
        <v>#REF!</v>
      </c>
      <c r="CD60" s="75" t="e">
        <f t="shared" ca="1" si="40"/>
        <v>#REF!</v>
      </c>
      <c r="CE60" s="75" t="e">
        <f t="shared" ca="1" si="41"/>
        <v>#REF!</v>
      </c>
      <c r="CF60" s="75" t="e">
        <f t="shared" ca="1" si="41"/>
        <v>#REF!</v>
      </c>
      <c r="CG60" s="74" t="e">
        <f t="shared" ca="1" si="41"/>
        <v>#REF!</v>
      </c>
      <c r="CH60" s="74" t="e">
        <f t="shared" ca="1" si="41"/>
        <v>#REF!</v>
      </c>
      <c r="CI60" s="74" t="e">
        <f t="shared" ca="1" si="41"/>
        <v>#REF!</v>
      </c>
      <c r="CJ60" s="74" t="e">
        <f t="shared" ca="1" si="41"/>
        <v>#REF!</v>
      </c>
      <c r="CK60" s="74" t="e">
        <f t="shared" ca="1" si="41"/>
        <v>#REF!</v>
      </c>
      <c r="CL60" s="74" t="e">
        <f t="shared" ca="1" si="41"/>
        <v>#REF!</v>
      </c>
      <c r="CM60" s="74" t="e">
        <f t="shared" ca="1" si="41"/>
        <v>#REF!</v>
      </c>
      <c r="CN60" s="74" t="e">
        <f t="shared" ca="1" si="41"/>
        <v>#REF!</v>
      </c>
      <c r="CO60" s="74" t="e">
        <f t="shared" ca="1" si="41"/>
        <v>#REF!</v>
      </c>
      <c r="CP60" s="74" t="e">
        <f t="shared" ca="1" si="41"/>
        <v>#REF!</v>
      </c>
      <c r="CQ60" s="74" t="e">
        <f t="shared" ca="1" si="41"/>
        <v>#REF!</v>
      </c>
      <c r="CR60" s="74" t="e">
        <f t="shared" ca="1" si="41"/>
        <v>#REF!</v>
      </c>
      <c r="CS60" s="74" t="e">
        <f t="shared" ca="1" si="41"/>
        <v>#REF!</v>
      </c>
      <c r="CT60" s="74" t="e">
        <f t="shared" ca="1" si="41"/>
        <v>#REF!</v>
      </c>
      <c r="CU60" s="74" t="e">
        <f t="shared" ca="1" si="42"/>
        <v>#REF!</v>
      </c>
      <c r="CV60" s="74" t="e">
        <f t="shared" ca="1" si="42"/>
        <v>#REF!</v>
      </c>
      <c r="CW60" s="74" t="e">
        <f t="shared" ca="1" si="42"/>
        <v>#REF!</v>
      </c>
      <c r="CX60" s="74" t="e">
        <f t="shared" ca="1" si="42"/>
        <v>#REF!</v>
      </c>
      <c r="CY60" s="74" t="e">
        <f t="shared" ca="1" si="42"/>
        <v>#REF!</v>
      </c>
      <c r="CZ60" s="75" t="e">
        <f t="shared" ca="1" si="42"/>
        <v>#REF!</v>
      </c>
      <c r="DA60" s="75" t="e">
        <f t="shared" ca="1" si="42"/>
        <v>#REF!</v>
      </c>
      <c r="DB60" s="75" t="e">
        <f t="shared" ca="1" si="42"/>
        <v>#REF!</v>
      </c>
      <c r="DC60" s="75" t="e">
        <f t="shared" ca="1" si="42"/>
        <v>#REF!</v>
      </c>
      <c r="DD60" s="75" t="e">
        <f t="shared" ca="1" si="42"/>
        <v>#REF!</v>
      </c>
      <c r="DE60" s="75" t="e">
        <f t="shared" ca="1" si="42"/>
        <v>#REF!</v>
      </c>
      <c r="DF60" s="75" t="e">
        <f t="shared" ca="1" si="42"/>
        <v>#REF!</v>
      </c>
      <c r="DG60" s="75" t="e">
        <f t="shared" ca="1" si="42"/>
        <v>#REF!</v>
      </c>
      <c r="DH60" s="75" t="e">
        <f t="shared" ca="1" si="42"/>
        <v>#REF!</v>
      </c>
      <c r="DI60" s="75" t="e">
        <f t="shared" ca="1" si="42"/>
        <v>#REF!</v>
      </c>
      <c r="DJ60" s="75" t="e">
        <f t="shared" ca="1" si="42"/>
        <v>#REF!</v>
      </c>
      <c r="DK60" s="75" t="e">
        <f t="shared" ca="1" si="43"/>
        <v>#REF!</v>
      </c>
      <c r="DL60" s="75" t="e">
        <f t="shared" ca="1" si="43"/>
        <v>#REF!</v>
      </c>
      <c r="DM60" s="75" t="e">
        <f t="shared" ca="1" si="43"/>
        <v>#REF!</v>
      </c>
      <c r="DN60" s="75" t="e">
        <f t="shared" ca="1" si="43"/>
        <v>#REF!</v>
      </c>
      <c r="DO60" s="75" t="e">
        <f t="shared" ca="1" si="43"/>
        <v>#REF!</v>
      </c>
      <c r="DP60" s="75" t="e">
        <f t="shared" ca="1" si="43"/>
        <v>#REF!</v>
      </c>
      <c r="DQ60" s="75" t="e">
        <f t="shared" ca="1" si="43"/>
        <v>#REF!</v>
      </c>
      <c r="DR60" s="75" t="e">
        <f t="shared" ca="1" si="43"/>
        <v>#REF!</v>
      </c>
      <c r="DS60" s="74" t="e">
        <f t="shared" ca="1" si="43"/>
        <v>#REF!</v>
      </c>
      <c r="DT60" s="74" t="e">
        <f t="shared" ca="1" si="43"/>
        <v>#REF!</v>
      </c>
      <c r="DU60" s="74" t="e">
        <f t="shared" ca="1" si="43"/>
        <v>#REF!</v>
      </c>
      <c r="DV60" s="74" t="e">
        <f t="shared" ca="1" si="43"/>
        <v>#REF!</v>
      </c>
      <c r="DW60" s="74" t="e">
        <f t="shared" ca="1" si="43"/>
        <v>#REF!</v>
      </c>
      <c r="DX60" s="74" t="e">
        <f t="shared" ca="1" si="43"/>
        <v>#REF!</v>
      </c>
      <c r="DY60" s="74" t="e">
        <f t="shared" ca="1" si="43"/>
        <v>#REF!</v>
      </c>
      <c r="DZ60" s="74" t="e">
        <f t="shared" ca="1" si="43"/>
        <v>#REF!</v>
      </c>
      <c r="EA60" s="74" t="e">
        <f t="shared" ca="1" si="44"/>
        <v>#REF!</v>
      </c>
      <c r="EB60" s="74" t="e">
        <f t="shared" ca="1" si="44"/>
        <v>#REF!</v>
      </c>
      <c r="EC60" s="74" t="e">
        <f t="shared" ca="1" si="44"/>
        <v>#REF!</v>
      </c>
      <c r="ED60" s="74" t="e">
        <f t="shared" ca="1" si="44"/>
        <v>#REF!</v>
      </c>
      <c r="EE60" s="74" t="e">
        <f t="shared" ca="1" si="44"/>
        <v>#REF!</v>
      </c>
      <c r="EF60" s="74" t="e">
        <f t="shared" ca="1" si="44"/>
        <v>#REF!</v>
      </c>
      <c r="EG60" s="74" t="e">
        <f t="shared" ca="1" si="44"/>
        <v>#REF!</v>
      </c>
      <c r="EH60" s="74" t="e">
        <f t="shared" ca="1" si="44"/>
        <v>#REF!</v>
      </c>
      <c r="EI60" s="74" t="e">
        <f t="shared" ca="1" si="44"/>
        <v>#REF!</v>
      </c>
      <c r="EJ60" s="74" t="e">
        <f t="shared" ca="1" si="44"/>
        <v>#REF!</v>
      </c>
      <c r="EK60" s="75" t="e">
        <f t="shared" ca="1" si="44"/>
        <v>#REF!</v>
      </c>
      <c r="EL60" s="75" t="e">
        <f t="shared" ca="1" si="44"/>
        <v>#REF!</v>
      </c>
      <c r="EM60" s="75" t="e">
        <f t="shared" ca="1" si="44"/>
        <v>#REF!</v>
      </c>
      <c r="EN60" s="75" t="e">
        <f t="shared" ca="1" si="44"/>
        <v>#REF!</v>
      </c>
      <c r="EO60" s="75" t="e">
        <f t="shared" ca="1" si="44"/>
        <v>#REF!</v>
      </c>
      <c r="EP60" s="75" t="e">
        <f t="shared" ca="1" si="44"/>
        <v>#REF!</v>
      </c>
      <c r="EQ60" s="75" t="e">
        <f t="shared" ca="1" si="45"/>
        <v>#REF!</v>
      </c>
      <c r="ER60" s="75" t="e">
        <f t="shared" ca="1" si="45"/>
        <v>#REF!</v>
      </c>
      <c r="ES60" s="75" t="e">
        <f t="shared" ca="1" si="45"/>
        <v>#REF!</v>
      </c>
      <c r="ET60" s="75" t="e">
        <f t="shared" ca="1" si="45"/>
        <v>#REF!</v>
      </c>
      <c r="EU60" s="75" t="e">
        <f t="shared" ca="1" si="45"/>
        <v>#REF!</v>
      </c>
      <c r="EV60" s="75" t="e">
        <f t="shared" ca="1" si="45"/>
        <v>#REF!</v>
      </c>
      <c r="EW60" s="75" t="e">
        <f t="shared" ca="1" si="45"/>
        <v>#REF!</v>
      </c>
      <c r="EX60" s="75" t="e">
        <f t="shared" ca="1" si="45"/>
        <v>#REF!</v>
      </c>
      <c r="EY60" s="75" t="e">
        <f t="shared" ca="1" si="45"/>
        <v>#REF!</v>
      </c>
      <c r="EZ60" s="75" t="e">
        <f t="shared" ca="1" si="45"/>
        <v>#REF!</v>
      </c>
      <c r="FA60" s="75" t="e">
        <f t="shared" ca="1" si="45"/>
        <v>#REF!</v>
      </c>
      <c r="FB60" s="75" t="e">
        <f t="shared" ca="1" si="45"/>
        <v>#REF!</v>
      </c>
      <c r="FC60" s="76" t="e">
        <f t="shared" ca="1" si="45"/>
        <v>#REF!</v>
      </c>
      <c r="FD60" s="74" t="e">
        <f t="shared" ca="1" si="45"/>
        <v>#REF!</v>
      </c>
      <c r="FE60" s="74" t="e">
        <f t="shared" ca="1" si="45"/>
        <v>#REF!</v>
      </c>
      <c r="FF60" s="74" t="e">
        <f t="shared" ca="1" si="45"/>
        <v>#REF!</v>
      </c>
      <c r="FG60" s="74" t="e">
        <f t="shared" ca="1" si="46"/>
        <v>#REF!</v>
      </c>
      <c r="FH60" s="74" t="e">
        <f t="shared" ca="1" si="46"/>
        <v>#REF!</v>
      </c>
      <c r="FI60" s="74" t="e">
        <f t="shared" ca="1" si="46"/>
        <v>#REF!</v>
      </c>
      <c r="FJ60" s="74" t="e">
        <f t="shared" ca="1" si="46"/>
        <v>#REF!</v>
      </c>
      <c r="FK60" s="74" t="e">
        <f t="shared" ca="1" si="46"/>
        <v>#REF!</v>
      </c>
      <c r="FL60" s="74" t="e">
        <f t="shared" ca="1" si="46"/>
        <v>#REF!</v>
      </c>
      <c r="FM60" s="74" t="e">
        <f t="shared" ca="1" si="46"/>
        <v>#REF!</v>
      </c>
      <c r="FN60" s="74" t="e">
        <f t="shared" ca="1" si="46"/>
        <v>#REF!</v>
      </c>
      <c r="FO60" s="74" t="e">
        <f t="shared" ca="1" si="46"/>
        <v>#REF!</v>
      </c>
      <c r="FP60" s="74" t="e">
        <f t="shared" ca="1" si="46"/>
        <v>#REF!</v>
      </c>
      <c r="FQ60" s="74" t="e">
        <f t="shared" ca="1" si="46"/>
        <v>#REF!</v>
      </c>
      <c r="FR60" s="74" t="e">
        <f t="shared" ca="1" si="46"/>
        <v>#REF!</v>
      </c>
      <c r="FS60" s="74" t="e">
        <f t="shared" ca="1" si="46"/>
        <v>#REF!</v>
      </c>
      <c r="FT60" s="74" t="e">
        <f t="shared" ca="1" si="46"/>
        <v>#REF!</v>
      </c>
    </row>
    <row r="61" spans="1:176" x14ac:dyDescent="0.35">
      <c r="A61" s="243">
        <v>245</v>
      </c>
      <c r="B61" s="74" t="e">
        <f t="shared" ca="1" si="49"/>
        <v>#REF!</v>
      </c>
      <c r="C61" s="74" t="e">
        <f t="shared" ca="1" si="49"/>
        <v>#REF!</v>
      </c>
      <c r="D61" s="74" t="e">
        <f t="shared" ca="1" si="49"/>
        <v>#REF!</v>
      </c>
      <c r="E61" s="74" t="e">
        <f t="shared" ca="1" si="49"/>
        <v>#REF!</v>
      </c>
      <c r="F61" t="e">
        <f t="shared" ca="1" si="13"/>
        <v>#REF!</v>
      </c>
      <c r="G61" t="e">
        <f t="shared" ca="1" si="13"/>
        <v>#REF!</v>
      </c>
      <c r="H61" t="e">
        <f t="shared" ca="1" si="13"/>
        <v>#REF!</v>
      </c>
      <c r="I61" s="74" t="e">
        <f t="shared" ca="1" si="49"/>
        <v>#REF!</v>
      </c>
      <c r="J61" s="74" t="e">
        <f t="shared" ca="1" si="49"/>
        <v>#REF!</v>
      </c>
      <c r="K61" s="74" t="e">
        <f t="shared" ca="1" si="49"/>
        <v>#REF!</v>
      </c>
      <c r="L61" s="74" t="e">
        <f t="shared" ca="1" si="49"/>
        <v>#REF!</v>
      </c>
      <c r="M61" s="74" t="e">
        <f t="shared" ca="1" si="49"/>
        <v>#REF!</v>
      </c>
      <c r="N61" s="74" t="e">
        <f t="shared" ca="1" si="49"/>
        <v>#REF!</v>
      </c>
      <c r="O61" s="74" t="e">
        <f t="shared" ca="1" si="49"/>
        <v>#REF!</v>
      </c>
      <c r="P61" s="74" t="e">
        <f t="shared" ca="1" si="49"/>
        <v>#REF!</v>
      </c>
      <c r="Q61" s="74" t="e">
        <f t="shared" ca="1" si="49"/>
        <v>#REF!</v>
      </c>
      <c r="R61" s="74" t="e">
        <f t="shared" ca="1" si="49"/>
        <v>#REF!</v>
      </c>
      <c r="S61" s="74" t="e">
        <f t="shared" ca="1" si="49"/>
        <v>#REF!</v>
      </c>
      <c r="T61" s="74" t="e">
        <f t="shared" ca="1" si="48"/>
        <v>#REF!</v>
      </c>
      <c r="U61" s="74" t="e">
        <f t="shared" ca="1" si="48"/>
        <v>#REF!</v>
      </c>
      <c r="V61" s="74" t="e">
        <f t="shared" ca="1" si="48"/>
        <v>#REF!</v>
      </c>
      <c r="W61" s="74" t="e">
        <f t="shared" ca="1" si="48"/>
        <v>#REF!</v>
      </c>
      <c r="X61" s="74" t="e">
        <f t="shared" ca="1" si="48"/>
        <v>#REF!</v>
      </c>
      <c r="Y61" s="74" t="e">
        <f t="shared" ca="1" si="48"/>
        <v>#REF!</v>
      </c>
      <c r="Z61" s="74" t="e">
        <f t="shared" ca="1" si="48"/>
        <v>#REF!</v>
      </c>
      <c r="AA61" s="74" t="e">
        <f t="shared" ca="1" si="48"/>
        <v>#REF!</v>
      </c>
      <c r="AB61" s="75" t="e">
        <f t="shared" ca="1" si="48"/>
        <v>#REF!</v>
      </c>
      <c r="AC61" s="75" t="e">
        <f t="shared" ca="1" si="48"/>
        <v>#REF!</v>
      </c>
      <c r="AD61" s="75" t="e">
        <f t="shared" ca="1" si="48"/>
        <v>#REF!</v>
      </c>
      <c r="AE61" s="75" t="e">
        <f t="shared" ca="1" si="48"/>
        <v>#REF!</v>
      </c>
      <c r="AF61" s="75" t="e">
        <f t="shared" ca="1" si="48"/>
        <v>#REF!</v>
      </c>
      <c r="AG61" s="75" t="e">
        <f t="shared" ca="1" si="48"/>
        <v>#REF!</v>
      </c>
      <c r="AH61" s="75" t="e">
        <f t="shared" ca="1" si="48"/>
        <v>#REF!</v>
      </c>
      <c r="AI61" s="75" t="e">
        <f t="shared" ca="1" si="38"/>
        <v>#REF!</v>
      </c>
      <c r="AJ61" s="75" t="e">
        <f t="shared" ca="1" si="38"/>
        <v>#REF!</v>
      </c>
      <c r="AK61" s="75" t="e">
        <f t="shared" ca="1" si="38"/>
        <v>#REF!</v>
      </c>
      <c r="AL61" s="75" t="e">
        <f t="shared" ca="1" si="38"/>
        <v>#REF!</v>
      </c>
      <c r="AM61" s="75" t="e">
        <f t="shared" ca="1" si="38"/>
        <v>#REF!</v>
      </c>
      <c r="AN61" s="75" t="e">
        <f t="shared" ca="1" si="38"/>
        <v>#REF!</v>
      </c>
      <c r="AO61" s="75" t="e">
        <f t="shared" ca="1" si="38"/>
        <v>#REF!</v>
      </c>
      <c r="AP61" s="75" t="e">
        <f t="shared" ca="1" si="38"/>
        <v>#REF!</v>
      </c>
      <c r="AQ61" s="75" t="e">
        <f t="shared" ca="1" si="38"/>
        <v>#REF!</v>
      </c>
      <c r="AR61" s="75" t="e">
        <f t="shared" ca="1" si="38"/>
        <v>#REF!</v>
      </c>
      <c r="AS61" s="75" t="e">
        <f t="shared" ca="1" si="38"/>
        <v>#REF!</v>
      </c>
      <c r="AT61" s="75" t="e">
        <f t="shared" ca="1" si="38"/>
        <v>#REF!</v>
      </c>
      <c r="AU61" s="74" t="e">
        <f t="shared" ca="1" si="38"/>
        <v>#REF!</v>
      </c>
      <c r="AV61" s="74" t="e">
        <f t="shared" ca="1" si="38"/>
        <v>#REF!</v>
      </c>
      <c r="AW61" s="74" t="e">
        <f t="shared" ca="1" si="38"/>
        <v>#REF!</v>
      </c>
      <c r="AX61" s="74" t="e">
        <f t="shared" ca="1" si="38"/>
        <v>#REF!</v>
      </c>
      <c r="AY61" s="74" t="e">
        <f t="shared" ca="1" si="39"/>
        <v>#REF!</v>
      </c>
      <c r="AZ61" s="74" t="e">
        <f t="shared" ca="1" si="39"/>
        <v>#REF!</v>
      </c>
      <c r="BA61" s="74" t="e">
        <f t="shared" ca="1" si="39"/>
        <v>#REF!</v>
      </c>
      <c r="BB61" s="74" t="e">
        <f t="shared" ca="1" si="39"/>
        <v>#REF!</v>
      </c>
      <c r="BC61" s="74" t="e">
        <f t="shared" ca="1" si="39"/>
        <v>#REF!</v>
      </c>
      <c r="BD61" s="74" t="e">
        <f t="shared" ca="1" si="39"/>
        <v>#REF!</v>
      </c>
      <c r="BE61" s="74" t="e">
        <f t="shared" ca="1" si="39"/>
        <v>#REF!</v>
      </c>
      <c r="BF61" s="74" t="e">
        <f t="shared" ca="1" si="39"/>
        <v>#REF!</v>
      </c>
      <c r="BG61" s="74" t="e">
        <f t="shared" ca="1" si="39"/>
        <v>#REF!</v>
      </c>
      <c r="BH61" s="74" t="e">
        <f t="shared" ca="1" si="39"/>
        <v>#REF!</v>
      </c>
      <c r="BI61" s="74" t="e">
        <f t="shared" ca="1" si="39"/>
        <v>#REF!</v>
      </c>
      <c r="BJ61" s="74" t="e">
        <f t="shared" ca="1" si="39"/>
        <v>#REF!</v>
      </c>
      <c r="BK61" s="74" t="e">
        <f t="shared" ca="1" si="39"/>
        <v>#REF!</v>
      </c>
      <c r="BL61" s="74" t="e">
        <f t="shared" ca="1" si="39"/>
        <v>#REF!</v>
      </c>
      <c r="BM61" s="74" t="e">
        <f t="shared" ca="1" si="39"/>
        <v>#REF!</v>
      </c>
      <c r="BN61" s="75" t="e">
        <f t="shared" ca="1" si="39"/>
        <v>#REF!</v>
      </c>
      <c r="BO61" s="75" t="e">
        <f t="shared" ca="1" si="40"/>
        <v>#REF!</v>
      </c>
      <c r="BP61" s="75" t="e">
        <f t="shared" ca="1" si="40"/>
        <v>#REF!</v>
      </c>
      <c r="BQ61" s="75" t="e">
        <f t="shared" ca="1" si="40"/>
        <v>#REF!</v>
      </c>
      <c r="BR61" s="75" t="e">
        <f t="shared" ca="1" si="40"/>
        <v>#REF!</v>
      </c>
      <c r="BS61" s="75" t="e">
        <f t="shared" ca="1" si="40"/>
        <v>#REF!</v>
      </c>
      <c r="BT61" s="75" t="e">
        <f t="shared" ca="1" si="40"/>
        <v>#REF!</v>
      </c>
      <c r="BU61" s="75" t="e">
        <f t="shared" ca="1" si="40"/>
        <v>#REF!</v>
      </c>
      <c r="BV61" s="75" t="e">
        <f t="shared" ca="1" si="40"/>
        <v>#REF!</v>
      </c>
      <c r="BW61" s="75" t="e">
        <f t="shared" ca="1" si="40"/>
        <v>#REF!</v>
      </c>
      <c r="BX61" s="75" t="e">
        <f t="shared" ca="1" si="40"/>
        <v>#REF!</v>
      </c>
      <c r="BY61" s="75" t="e">
        <f t="shared" ca="1" si="40"/>
        <v>#REF!</v>
      </c>
      <c r="BZ61" s="75" t="e">
        <f t="shared" ca="1" si="40"/>
        <v>#REF!</v>
      </c>
      <c r="CA61" s="75" t="e">
        <f t="shared" ca="1" si="40"/>
        <v>#REF!</v>
      </c>
      <c r="CB61" s="75" t="e">
        <f t="shared" ca="1" si="40"/>
        <v>#REF!</v>
      </c>
      <c r="CC61" s="75" t="e">
        <f t="shared" ca="1" si="40"/>
        <v>#REF!</v>
      </c>
      <c r="CD61" s="75" t="e">
        <f t="shared" ca="1" si="40"/>
        <v>#REF!</v>
      </c>
      <c r="CE61" s="75" t="e">
        <f t="shared" ca="1" si="41"/>
        <v>#REF!</v>
      </c>
      <c r="CF61" s="75" t="e">
        <f t="shared" ca="1" si="41"/>
        <v>#REF!</v>
      </c>
      <c r="CG61" s="74" t="e">
        <f t="shared" ca="1" si="41"/>
        <v>#REF!</v>
      </c>
      <c r="CH61" s="74" t="e">
        <f t="shared" ca="1" si="41"/>
        <v>#REF!</v>
      </c>
      <c r="CI61" s="74" t="e">
        <f t="shared" ca="1" si="41"/>
        <v>#REF!</v>
      </c>
      <c r="CJ61" s="74" t="e">
        <f t="shared" ca="1" si="41"/>
        <v>#REF!</v>
      </c>
      <c r="CK61" s="74" t="e">
        <f t="shared" ca="1" si="41"/>
        <v>#REF!</v>
      </c>
      <c r="CL61" s="74" t="e">
        <f t="shared" ca="1" si="41"/>
        <v>#REF!</v>
      </c>
      <c r="CM61" s="74" t="e">
        <f t="shared" ca="1" si="41"/>
        <v>#REF!</v>
      </c>
      <c r="CN61" s="74" t="e">
        <f t="shared" ca="1" si="41"/>
        <v>#REF!</v>
      </c>
      <c r="CO61" s="74" t="e">
        <f t="shared" ca="1" si="41"/>
        <v>#REF!</v>
      </c>
      <c r="CP61" s="74" t="e">
        <f t="shared" ca="1" si="41"/>
        <v>#REF!</v>
      </c>
      <c r="CQ61" s="74" t="e">
        <f t="shared" ca="1" si="41"/>
        <v>#REF!</v>
      </c>
      <c r="CR61" s="74" t="e">
        <f t="shared" ca="1" si="41"/>
        <v>#REF!</v>
      </c>
      <c r="CS61" s="74" t="e">
        <f t="shared" ca="1" si="41"/>
        <v>#REF!</v>
      </c>
      <c r="CT61" s="74" t="e">
        <f t="shared" ca="1" si="41"/>
        <v>#REF!</v>
      </c>
      <c r="CU61" s="74" t="e">
        <f t="shared" ca="1" si="42"/>
        <v>#REF!</v>
      </c>
      <c r="CV61" s="74" t="e">
        <f t="shared" ca="1" si="42"/>
        <v>#REF!</v>
      </c>
      <c r="CW61" s="74" t="e">
        <f t="shared" ca="1" si="42"/>
        <v>#REF!</v>
      </c>
      <c r="CX61" s="74" t="e">
        <f t="shared" ca="1" si="42"/>
        <v>#REF!</v>
      </c>
      <c r="CY61" s="74" t="e">
        <f t="shared" ca="1" si="42"/>
        <v>#REF!</v>
      </c>
      <c r="CZ61" s="75" t="e">
        <f t="shared" ca="1" si="42"/>
        <v>#REF!</v>
      </c>
      <c r="DA61" s="75" t="e">
        <f t="shared" ca="1" si="42"/>
        <v>#REF!</v>
      </c>
      <c r="DB61" s="75" t="e">
        <f t="shared" ca="1" si="42"/>
        <v>#REF!</v>
      </c>
      <c r="DC61" s="75" t="e">
        <f t="shared" ca="1" si="42"/>
        <v>#REF!</v>
      </c>
      <c r="DD61" s="75" t="e">
        <f t="shared" ca="1" si="42"/>
        <v>#REF!</v>
      </c>
      <c r="DE61" s="75" t="e">
        <f t="shared" ca="1" si="42"/>
        <v>#REF!</v>
      </c>
      <c r="DF61" s="75" t="e">
        <f t="shared" ca="1" si="42"/>
        <v>#REF!</v>
      </c>
      <c r="DG61" s="75" t="e">
        <f t="shared" ca="1" si="42"/>
        <v>#REF!</v>
      </c>
      <c r="DH61" s="75" t="e">
        <f t="shared" ca="1" si="42"/>
        <v>#REF!</v>
      </c>
      <c r="DI61" s="75" t="e">
        <f t="shared" ca="1" si="42"/>
        <v>#REF!</v>
      </c>
      <c r="DJ61" s="75" t="e">
        <f t="shared" ca="1" si="42"/>
        <v>#REF!</v>
      </c>
      <c r="DK61" s="75" t="e">
        <f t="shared" ca="1" si="43"/>
        <v>#REF!</v>
      </c>
      <c r="DL61" s="75" t="e">
        <f t="shared" ca="1" si="43"/>
        <v>#REF!</v>
      </c>
      <c r="DM61" s="75" t="e">
        <f t="shared" ca="1" si="43"/>
        <v>#REF!</v>
      </c>
      <c r="DN61" s="75" t="e">
        <f t="shared" ca="1" si="43"/>
        <v>#REF!</v>
      </c>
      <c r="DO61" s="75" t="e">
        <f t="shared" ca="1" si="43"/>
        <v>#REF!</v>
      </c>
      <c r="DP61" s="75" t="e">
        <f t="shared" ca="1" si="43"/>
        <v>#REF!</v>
      </c>
      <c r="DQ61" s="75" t="e">
        <f t="shared" ca="1" si="43"/>
        <v>#REF!</v>
      </c>
      <c r="DR61" s="75" t="e">
        <f t="shared" ca="1" si="43"/>
        <v>#REF!</v>
      </c>
      <c r="DS61" s="74" t="e">
        <f t="shared" ca="1" si="43"/>
        <v>#REF!</v>
      </c>
      <c r="DT61" s="74" t="e">
        <f t="shared" ca="1" si="43"/>
        <v>#REF!</v>
      </c>
      <c r="DU61" s="74" t="e">
        <f t="shared" ca="1" si="43"/>
        <v>#REF!</v>
      </c>
      <c r="DV61" s="74" t="e">
        <f t="shared" ca="1" si="43"/>
        <v>#REF!</v>
      </c>
      <c r="DW61" s="74" t="e">
        <f t="shared" ca="1" si="43"/>
        <v>#REF!</v>
      </c>
      <c r="DX61" s="74" t="e">
        <f t="shared" ca="1" si="43"/>
        <v>#REF!</v>
      </c>
      <c r="DY61" s="74" t="e">
        <f t="shared" ca="1" si="43"/>
        <v>#REF!</v>
      </c>
      <c r="DZ61" s="74" t="e">
        <f t="shared" ca="1" si="43"/>
        <v>#REF!</v>
      </c>
      <c r="EA61" s="74" t="e">
        <f t="shared" ca="1" si="44"/>
        <v>#REF!</v>
      </c>
      <c r="EB61" s="74" t="e">
        <f t="shared" ca="1" si="44"/>
        <v>#REF!</v>
      </c>
      <c r="EC61" s="74" t="e">
        <f t="shared" ca="1" si="44"/>
        <v>#REF!</v>
      </c>
      <c r="ED61" s="74" t="e">
        <f t="shared" ca="1" si="44"/>
        <v>#REF!</v>
      </c>
      <c r="EE61" s="74" t="e">
        <f t="shared" ca="1" si="44"/>
        <v>#REF!</v>
      </c>
      <c r="EF61" s="74" t="e">
        <f t="shared" ca="1" si="44"/>
        <v>#REF!</v>
      </c>
      <c r="EG61" s="74" t="e">
        <f t="shared" ca="1" si="44"/>
        <v>#REF!</v>
      </c>
      <c r="EH61" s="74" t="e">
        <f t="shared" ca="1" si="44"/>
        <v>#REF!</v>
      </c>
      <c r="EI61" s="74" t="e">
        <f t="shared" ca="1" si="44"/>
        <v>#REF!</v>
      </c>
      <c r="EJ61" s="74" t="e">
        <f t="shared" ca="1" si="44"/>
        <v>#REF!</v>
      </c>
      <c r="EK61" s="75" t="e">
        <f t="shared" ca="1" si="44"/>
        <v>#REF!</v>
      </c>
      <c r="EL61" s="75" t="e">
        <f t="shared" ca="1" si="44"/>
        <v>#REF!</v>
      </c>
      <c r="EM61" s="75" t="e">
        <f t="shared" ca="1" si="44"/>
        <v>#REF!</v>
      </c>
      <c r="EN61" s="75" t="e">
        <f t="shared" ca="1" si="44"/>
        <v>#REF!</v>
      </c>
      <c r="EO61" s="75" t="e">
        <f t="shared" ca="1" si="44"/>
        <v>#REF!</v>
      </c>
      <c r="EP61" s="75" t="e">
        <f t="shared" ca="1" si="44"/>
        <v>#REF!</v>
      </c>
      <c r="EQ61" s="75" t="e">
        <f t="shared" ca="1" si="45"/>
        <v>#REF!</v>
      </c>
      <c r="ER61" s="75" t="e">
        <f t="shared" ca="1" si="45"/>
        <v>#REF!</v>
      </c>
      <c r="ES61" s="75" t="e">
        <f t="shared" ca="1" si="45"/>
        <v>#REF!</v>
      </c>
      <c r="ET61" s="75" t="e">
        <f t="shared" ca="1" si="45"/>
        <v>#REF!</v>
      </c>
      <c r="EU61" s="75" t="e">
        <f t="shared" ca="1" si="45"/>
        <v>#REF!</v>
      </c>
      <c r="EV61" s="75" t="e">
        <f t="shared" ca="1" si="45"/>
        <v>#REF!</v>
      </c>
      <c r="EW61" s="75" t="e">
        <f t="shared" ca="1" si="45"/>
        <v>#REF!</v>
      </c>
      <c r="EX61" s="75" t="e">
        <f t="shared" ca="1" si="45"/>
        <v>#REF!</v>
      </c>
      <c r="EY61" s="75" t="e">
        <f t="shared" ca="1" si="45"/>
        <v>#REF!</v>
      </c>
      <c r="EZ61" s="75" t="e">
        <f t="shared" ca="1" si="45"/>
        <v>#REF!</v>
      </c>
      <c r="FA61" s="75" t="e">
        <f t="shared" ca="1" si="45"/>
        <v>#REF!</v>
      </c>
      <c r="FB61" s="75" t="e">
        <f t="shared" ca="1" si="45"/>
        <v>#REF!</v>
      </c>
      <c r="FC61" s="76" t="e">
        <f t="shared" ca="1" si="45"/>
        <v>#REF!</v>
      </c>
      <c r="FD61" s="74" t="e">
        <f t="shared" ca="1" si="45"/>
        <v>#REF!</v>
      </c>
      <c r="FE61" s="74" t="e">
        <f t="shared" ca="1" si="45"/>
        <v>#REF!</v>
      </c>
      <c r="FF61" s="74" t="e">
        <f t="shared" ca="1" si="45"/>
        <v>#REF!</v>
      </c>
      <c r="FG61" s="74" t="e">
        <f t="shared" ca="1" si="46"/>
        <v>#REF!</v>
      </c>
      <c r="FH61" s="74" t="e">
        <f t="shared" ca="1" si="46"/>
        <v>#REF!</v>
      </c>
      <c r="FI61" s="74" t="e">
        <f t="shared" ca="1" si="46"/>
        <v>#REF!</v>
      </c>
      <c r="FJ61" s="74" t="e">
        <f t="shared" ca="1" si="46"/>
        <v>#REF!</v>
      </c>
      <c r="FK61" s="74" t="e">
        <f t="shared" ca="1" si="46"/>
        <v>#REF!</v>
      </c>
      <c r="FL61" s="74" t="e">
        <f t="shared" ca="1" si="46"/>
        <v>#REF!</v>
      </c>
      <c r="FM61" s="74" t="e">
        <f t="shared" ca="1" si="46"/>
        <v>#REF!</v>
      </c>
      <c r="FN61" s="74" t="e">
        <f t="shared" ca="1" si="46"/>
        <v>#REF!</v>
      </c>
      <c r="FO61" s="74" t="e">
        <f t="shared" ca="1" si="46"/>
        <v>#REF!</v>
      </c>
      <c r="FP61" s="74" t="e">
        <f t="shared" ca="1" si="46"/>
        <v>#REF!</v>
      </c>
      <c r="FQ61" s="74" t="e">
        <f t="shared" ca="1" si="46"/>
        <v>#REF!</v>
      </c>
      <c r="FR61" s="74" t="e">
        <f t="shared" ca="1" si="46"/>
        <v>#REF!</v>
      </c>
      <c r="FS61" s="74" t="e">
        <f t="shared" ca="1" si="46"/>
        <v>#REF!</v>
      </c>
      <c r="FT61" s="74" t="e">
        <f t="shared" ca="1" si="46"/>
        <v>#REF!</v>
      </c>
    </row>
    <row r="62" spans="1:176" x14ac:dyDescent="0.35">
      <c r="A62" s="243">
        <v>244</v>
      </c>
      <c r="B62" s="74" t="e">
        <f t="shared" ca="1" si="49"/>
        <v>#REF!</v>
      </c>
      <c r="C62" s="74" t="e">
        <f t="shared" ca="1" si="49"/>
        <v>#REF!</v>
      </c>
      <c r="D62" s="74" t="e">
        <f t="shared" ca="1" si="49"/>
        <v>#REF!</v>
      </c>
      <c r="E62" s="74" t="e">
        <f t="shared" ca="1" si="49"/>
        <v>#REF!</v>
      </c>
      <c r="F62" t="e">
        <f t="shared" ca="1" si="13"/>
        <v>#REF!</v>
      </c>
      <c r="G62" t="e">
        <f t="shared" ca="1" si="13"/>
        <v>#REF!</v>
      </c>
      <c r="H62" t="e">
        <f t="shared" ca="1" si="13"/>
        <v>#REF!</v>
      </c>
      <c r="I62" s="74" t="e">
        <f t="shared" ca="1" si="49"/>
        <v>#REF!</v>
      </c>
      <c r="J62" s="74" t="e">
        <f t="shared" ca="1" si="49"/>
        <v>#REF!</v>
      </c>
      <c r="K62" s="74" t="e">
        <f t="shared" ca="1" si="49"/>
        <v>#REF!</v>
      </c>
      <c r="L62" s="74" t="e">
        <f t="shared" ca="1" si="49"/>
        <v>#REF!</v>
      </c>
      <c r="M62" s="74" t="e">
        <f t="shared" ca="1" si="49"/>
        <v>#REF!</v>
      </c>
      <c r="N62" s="74" t="e">
        <f t="shared" ca="1" si="49"/>
        <v>#REF!</v>
      </c>
      <c r="O62" s="74" t="e">
        <f t="shared" ca="1" si="49"/>
        <v>#REF!</v>
      </c>
      <c r="P62" s="74" t="e">
        <f t="shared" ca="1" si="49"/>
        <v>#REF!</v>
      </c>
      <c r="Q62" s="74" t="e">
        <f t="shared" ca="1" si="49"/>
        <v>#REF!</v>
      </c>
      <c r="R62" s="74" t="e">
        <f t="shared" ca="1" si="49"/>
        <v>#REF!</v>
      </c>
      <c r="S62" s="74" t="e">
        <f t="shared" ca="1" si="49"/>
        <v>#REF!</v>
      </c>
      <c r="T62" s="74" t="e">
        <f t="shared" ca="1" si="48"/>
        <v>#REF!</v>
      </c>
      <c r="U62" s="74" t="e">
        <f t="shared" ca="1" si="48"/>
        <v>#REF!</v>
      </c>
      <c r="V62" s="74" t="e">
        <f t="shared" ca="1" si="48"/>
        <v>#REF!</v>
      </c>
      <c r="W62" s="74" t="e">
        <f t="shared" ca="1" si="48"/>
        <v>#REF!</v>
      </c>
      <c r="X62" s="74" t="e">
        <f t="shared" ca="1" si="48"/>
        <v>#REF!</v>
      </c>
      <c r="Y62" s="74" t="e">
        <f t="shared" ca="1" si="48"/>
        <v>#REF!</v>
      </c>
      <c r="Z62" s="74" t="e">
        <f t="shared" ca="1" si="48"/>
        <v>#REF!</v>
      </c>
      <c r="AA62" s="74" t="e">
        <f t="shared" ca="1" si="48"/>
        <v>#REF!</v>
      </c>
      <c r="AB62" s="75" t="e">
        <f t="shared" ca="1" si="48"/>
        <v>#REF!</v>
      </c>
      <c r="AC62" s="75" t="e">
        <f t="shared" ca="1" si="48"/>
        <v>#REF!</v>
      </c>
      <c r="AD62" s="75" t="e">
        <f t="shared" ca="1" si="48"/>
        <v>#REF!</v>
      </c>
      <c r="AE62" s="75" t="e">
        <f t="shared" ca="1" si="48"/>
        <v>#REF!</v>
      </c>
      <c r="AF62" s="75" t="e">
        <f t="shared" ca="1" si="48"/>
        <v>#REF!</v>
      </c>
      <c r="AG62" s="75" t="e">
        <f t="shared" ca="1" si="48"/>
        <v>#REF!</v>
      </c>
      <c r="AH62" s="75" t="e">
        <f t="shared" ca="1" si="48"/>
        <v>#REF!</v>
      </c>
      <c r="AI62" s="75" t="e">
        <f t="shared" ca="1" si="38"/>
        <v>#REF!</v>
      </c>
      <c r="AJ62" s="75" t="e">
        <f t="shared" ca="1" si="38"/>
        <v>#REF!</v>
      </c>
      <c r="AK62" s="75" t="e">
        <f t="shared" ca="1" si="38"/>
        <v>#REF!</v>
      </c>
      <c r="AL62" s="75" t="e">
        <f t="shared" ca="1" si="38"/>
        <v>#REF!</v>
      </c>
      <c r="AM62" s="75" t="e">
        <f t="shared" ca="1" si="38"/>
        <v>#REF!</v>
      </c>
      <c r="AN62" s="75" t="e">
        <f t="shared" ca="1" si="38"/>
        <v>#REF!</v>
      </c>
      <c r="AO62" s="75" t="e">
        <f t="shared" ca="1" si="38"/>
        <v>#REF!</v>
      </c>
      <c r="AP62" s="75" t="e">
        <f t="shared" ca="1" si="38"/>
        <v>#REF!</v>
      </c>
      <c r="AQ62" s="75" t="e">
        <f t="shared" ca="1" si="38"/>
        <v>#REF!</v>
      </c>
      <c r="AR62" s="75" t="e">
        <f t="shared" ca="1" si="38"/>
        <v>#REF!</v>
      </c>
      <c r="AS62" s="75" t="e">
        <f t="shared" ca="1" si="38"/>
        <v>#REF!</v>
      </c>
      <c r="AT62" s="75" t="e">
        <f t="shared" ca="1" si="38"/>
        <v>#REF!</v>
      </c>
      <c r="AU62" s="74" t="e">
        <f t="shared" ca="1" si="38"/>
        <v>#REF!</v>
      </c>
      <c r="AV62" s="74" t="e">
        <f t="shared" ca="1" si="38"/>
        <v>#REF!</v>
      </c>
      <c r="AW62" s="74" t="e">
        <f t="shared" ca="1" si="38"/>
        <v>#REF!</v>
      </c>
      <c r="AX62" s="74" t="e">
        <f t="shared" ca="1" si="38"/>
        <v>#REF!</v>
      </c>
      <c r="AY62" s="74" t="e">
        <f t="shared" ca="1" si="39"/>
        <v>#REF!</v>
      </c>
      <c r="AZ62" s="74" t="e">
        <f t="shared" ca="1" si="39"/>
        <v>#REF!</v>
      </c>
      <c r="BA62" s="74" t="e">
        <f t="shared" ca="1" si="39"/>
        <v>#REF!</v>
      </c>
      <c r="BB62" s="74" t="e">
        <f t="shared" ca="1" si="39"/>
        <v>#REF!</v>
      </c>
      <c r="BC62" s="74" t="e">
        <f t="shared" ca="1" si="39"/>
        <v>#REF!</v>
      </c>
      <c r="BD62" s="74" t="e">
        <f t="shared" ca="1" si="39"/>
        <v>#REF!</v>
      </c>
      <c r="BE62" s="74" t="e">
        <f t="shared" ca="1" si="39"/>
        <v>#REF!</v>
      </c>
      <c r="BF62" s="74" t="e">
        <f t="shared" ca="1" si="39"/>
        <v>#REF!</v>
      </c>
      <c r="BG62" s="74" t="e">
        <f t="shared" ca="1" si="39"/>
        <v>#REF!</v>
      </c>
      <c r="BH62" s="74" t="e">
        <f t="shared" ca="1" si="39"/>
        <v>#REF!</v>
      </c>
      <c r="BI62" s="74" t="e">
        <f t="shared" ca="1" si="39"/>
        <v>#REF!</v>
      </c>
      <c r="BJ62" s="74" t="e">
        <f t="shared" ca="1" si="39"/>
        <v>#REF!</v>
      </c>
      <c r="BK62" s="74" t="e">
        <f t="shared" ca="1" si="39"/>
        <v>#REF!</v>
      </c>
      <c r="BL62" s="74" t="e">
        <f t="shared" ca="1" si="39"/>
        <v>#REF!</v>
      </c>
      <c r="BM62" s="74" t="e">
        <f t="shared" ca="1" si="39"/>
        <v>#REF!</v>
      </c>
      <c r="BN62" s="75" t="e">
        <f t="shared" ca="1" si="39"/>
        <v>#REF!</v>
      </c>
      <c r="BO62" s="75" t="e">
        <f t="shared" ca="1" si="40"/>
        <v>#REF!</v>
      </c>
      <c r="BP62" s="75" t="e">
        <f t="shared" ca="1" si="40"/>
        <v>#REF!</v>
      </c>
      <c r="BQ62" s="75" t="e">
        <f t="shared" ca="1" si="40"/>
        <v>#REF!</v>
      </c>
      <c r="BR62" s="75" t="e">
        <f t="shared" ca="1" si="40"/>
        <v>#REF!</v>
      </c>
      <c r="BS62" s="75" t="e">
        <f t="shared" ca="1" si="40"/>
        <v>#REF!</v>
      </c>
      <c r="BT62" s="75" t="e">
        <f t="shared" ca="1" si="40"/>
        <v>#REF!</v>
      </c>
      <c r="BU62" s="75" t="e">
        <f t="shared" ca="1" si="40"/>
        <v>#REF!</v>
      </c>
      <c r="BV62" s="75" t="e">
        <f t="shared" ca="1" si="40"/>
        <v>#REF!</v>
      </c>
      <c r="BW62" s="75" t="e">
        <f t="shared" ca="1" si="40"/>
        <v>#REF!</v>
      </c>
      <c r="BX62" s="75" t="e">
        <f t="shared" ca="1" si="40"/>
        <v>#REF!</v>
      </c>
      <c r="BY62" s="75" t="e">
        <f t="shared" ca="1" si="40"/>
        <v>#REF!</v>
      </c>
      <c r="BZ62" s="75" t="e">
        <f t="shared" ca="1" si="40"/>
        <v>#REF!</v>
      </c>
      <c r="CA62" s="75" t="e">
        <f t="shared" ca="1" si="40"/>
        <v>#REF!</v>
      </c>
      <c r="CB62" s="75" t="e">
        <f t="shared" ca="1" si="40"/>
        <v>#REF!</v>
      </c>
      <c r="CC62" s="75" t="e">
        <f t="shared" ca="1" si="40"/>
        <v>#REF!</v>
      </c>
      <c r="CD62" s="75" t="e">
        <f t="shared" ca="1" si="40"/>
        <v>#REF!</v>
      </c>
      <c r="CE62" s="75" t="e">
        <f t="shared" ca="1" si="41"/>
        <v>#REF!</v>
      </c>
      <c r="CF62" s="75" t="e">
        <f t="shared" ca="1" si="41"/>
        <v>#REF!</v>
      </c>
      <c r="CG62" s="74" t="e">
        <f t="shared" ca="1" si="41"/>
        <v>#REF!</v>
      </c>
      <c r="CH62" s="74" t="e">
        <f t="shared" ca="1" si="41"/>
        <v>#REF!</v>
      </c>
      <c r="CI62" s="74" t="e">
        <f t="shared" ca="1" si="41"/>
        <v>#REF!</v>
      </c>
      <c r="CJ62" s="74" t="e">
        <f t="shared" ca="1" si="41"/>
        <v>#REF!</v>
      </c>
      <c r="CK62" s="74" t="e">
        <f t="shared" ca="1" si="41"/>
        <v>#REF!</v>
      </c>
      <c r="CL62" s="74" t="e">
        <f t="shared" ca="1" si="41"/>
        <v>#REF!</v>
      </c>
      <c r="CM62" s="74" t="e">
        <f t="shared" ca="1" si="41"/>
        <v>#REF!</v>
      </c>
      <c r="CN62" s="74" t="e">
        <f t="shared" ca="1" si="41"/>
        <v>#REF!</v>
      </c>
      <c r="CO62" s="74" t="e">
        <f t="shared" ca="1" si="41"/>
        <v>#REF!</v>
      </c>
      <c r="CP62" s="74" t="e">
        <f t="shared" ca="1" si="41"/>
        <v>#REF!</v>
      </c>
      <c r="CQ62" s="74" t="e">
        <f t="shared" ca="1" si="41"/>
        <v>#REF!</v>
      </c>
      <c r="CR62" s="74" t="e">
        <f t="shared" ca="1" si="41"/>
        <v>#REF!</v>
      </c>
      <c r="CS62" s="74" t="e">
        <f t="shared" ca="1" si="41"/>
        <v>#REF!</v>
      </c>
      <c r="CT62" s="74" t="e">
        <f t="shared" ca="1" si="41"/>
        <v>#REF!</v>
      </c>
      <c r="CU62" s="74" t="e">
        <f t="shared" ca="1" si="42"/>
        <v>#REF!</v>
      </c>
      <c r="CV62" s="74" t="e">
        <f t="shared" ca="1" si="42"/>
        <v>#REF!</v>
      </c>
      <c r="CW62" s="74" t="e">
        <f t="shared" ca="1" si="42"/>
        <v>#REF!</v>
      </c>
      <c r="CX62" s="74" t="e">
        <f t="shared" ca="1" si="42"/>
        <v>#REF!</v>
      </c>
      <c r="CY62" s="74" t="e">
        <f t="shared" ca="1" si="42"/>
        <v>#REF!</v>
      </c>
      <c r="CZ62" s="75" t="e">
        <f t="shared" ca="1" si="42"/>
        <v>#REF!</v>
      </c>
      <c r="DA62" s="75" t="e">
        <f t="shared" ca="1" si="42"/>
        <v>#REF!</v>
      </c>
      <c r="DB62" s="75" t="e">
        <f t="shared" ca="1" si="42"/>
        <v>#REF!</v>
      </c>
      <c r="DC62" s="75" t="e">
        <f t="shared" ca="1" si="42"/>
        <v>#REF!</v>
      </c>
      <c r="DD62" s="75" t="e">
        <f t="shared" ca="1" si="42"/>
        <v>#REF!</v>
      </c>
      <c r="DE62" s="75" t="e">
        <f t="shared" ca="1" si="42"/>
        <v>#REF!</v>
      </c>
      <c r="DF62" s="75" t="e">
        <f t="shared" ca="1" si="42"/>
        <v>#REF!</v>
      </c>
      <c r="DG62" s="75" t="e">
        <f t="shared" ca="1" si="42"/>
        <v>#REF!</v>
      </c>
      <c r="DH62" s="75" t="e">
        <f t="shared" ca="1" si="42"/>
        <v>#REF!</v>
      </c>
      <c r="DI62" s="75" t="e">
        <f t="shared" ca="1" si="42"/>
        <v>#REF!</v>
      </c>
      <c r="DJ62" s="75" t="e">
        <f t="shared" ca="1" si="42"/>
        <v>#REF!</v>
      </c>
      <c r="DK62" s="75" t="e">
        <f t="shared" ca="1" si="43"/>
        <v>#REF!</v>
      </c>
      <c r="DL62" s="75" t="e">
        <f t="shared" ca="1" si="43"/>
        <v>#REF!</v>
      </c>
      <c r="DM62" s="75" t="e">
        <f t="shared" ca="1" si="43"/>
        <v>#REF!</v>
      </c>
      <c r="DN62" s="75" t="e">
        <f t="shared" ca="1" si="43"/>
        <v>#REF!</v>
      </c>
      <c r="DO62" s="75" t="e">
        <f t="shared" ca="1" si="43"/>
        <v>#REF!</v>
      </c>
      <c r="DP62" s="75" t="e">
        <f t="shared" ca="1" si="43"/>
        <v>#REF!</v>
      </c>
      <c r="DQ62" s="75" t="e">
        <f t="shared" ca="1" si="43"/>
        <v>#REF!</v>
      </c>
      <c r="DR62" s="75" t="e">
        <f t="shared" ca="1" si="43"/>
        <v>#REF!</v>
      </c>
      <c r="DS62" s="74" t="e">
        <f t="shared" ca="1" si="43"/>
        <v>#REF!</v>
      </c>
      <c r="DT62" s="74" t="e">
        <f t="shared" ca="1" si="43"/>
        <v>#REF!</v>
      </c>
      <c r="DU62" s="74" t="e">
        <f t="shared" ca="1" si="43"/>
        <v>#REF!</v>
      </c>
      <c r="DV62" s="74" t="e">
        <f t="shared" ca="1" si="43"/>
        <v>#REF!</v>
      </c>
      <c r="DW62" s="74" t="e">
        <f t="shared" ca="1" si="43"/>
        <v>#REF!</v>
      </c>
      <c r="DX62" s="74" t="e">
        <f t="shared" ca="1" si="43"/>
        <v>#REF!</v>
      </c>
      <c r="DY62" s="74" t="e">
        <f t="shared" ca="1" si="43"/>
        <v>#REF!</v>
      </c>
      <c r="DZ62" s="74" t="e">
        <f t="shared" ca="1" si="43"/>
        <v>#REF!</v>
      </c>
      <c r="EA62" s="74" t="e">
        <f t="shared" ca="1" si="44"/>
        <v>#REF!</v>
      </c>
      <c r="EB62" s="74" t="e">
        <f t="shared" ca="1" si="44"/>
        <v>#REF!</v>
      </c>
      <c r="EC62" s="74" t="e">
        <f t="shared" ca="1" si="44"/>
        <v>#REF!</v>
      </c>
      <c r="ED62" s="74" t="e">
        <f t="shared" ca="1" si="44"/>
        <v>#REF!</v>
      </c>
      <c r="EE62" s="74" t="e">
        <f t="shared" ca="1" si="44"/>
        <v>#REF!</v>
      </c>
      <c r="EF62" s="74" t="e">
        <f t="shared" ca="1" si="44"/>
        <v>#REF!</v>
      </c>
      <c r="EG62" s="74" t="e">
        <f t="shared" ca="1" si="44"/>
        <v>#REF!</v>
      </c>
      <c r="EH62" s="74" t="e">
        <f t="shared" ca="1" si="44"/>
        <v>#REF!</v>
      </c>
      <c r="EI62" s="74" t="e">
        <f t="shared" ca="1" si="44"/>
        <v>#REF!</v>
      </c>
      <c r="EJ62" s="74" t="e">
        <f t="shared" ca="1" si="44"/>
        <v>#REF!</v>
      </c>
      <c r="EK62" s="75" t="e">
        <f t="shared" ca="1" si="44"/>
        <v>#REF!</v>
      </c>
      <c r="EL62" s="75" t="e">
        <f t="shared" ca="1" si="44"/>
        <v>#REF!</v>
      </c>
      <c r="EM62" s="75" t="e">
        <f t="shared" ca="1" si="44"/>
        <v>#REF!</v>
      </c>
      <c r="EN62" s="75" t="e">
        <f t="shared" ca="1" si="44"/>
        <v>#REF!</v>
      </c>
      <c r="EO62" s="75" t="e">
        <f t="shared" ca="1" si="44"/>
        <v>#REF!</v>
      </c>
      <c r="EP62" s="75" t="e">
        <f t="shared" ca="1" si="44"/>
        <v>#REF!</v>
      </c>
      <c r="EQ62" s="75" t="e">
        <f t="shared" ca="1" si="45"/>
        <v>#REF!</v>
      </c>
      <c r="ER62" s="75" t="e">
        <f t="shared" ca="1" si="45"/>
        <v>#REF!</v>
      </c>
      <c r="ES62" s="75" t="e">
        <f t="shared" ca="1" si="45"/>
        <v>#REF!</v>
      </c>
      <c r="ET62" s="75" t="e">
        <f t="shared" ca="1" si="45"/>
        <v>#REF!</v>
      </c>
      <c r="EU62" s="75" t="e">
        <f t="shared" ca="1" si="45"/>
        <v>#REF!</v>
      </c>
      <c r="EV62" s="75" t="e">
        <f t="shared" ca="1" si="45"/>
        <v>#REF!</v>
      </c>
      <c r="EW62" s="75" t="e">
        <f t="shared" ca="1" si="45"/>
        <v>#REF!</v>
      </c>
      <c r="EX62" s="75" t="e">
        <f t="shared" ca="1" si="45"/>
        <v>#REF!</v>
      </c>
      <c r="EY62" s="75" t="e">
        <f t="shared" ca="1" si="45"/>
        <v>#REF!</v>
      </c>
      <c r="EZ62" s="75" t="e">
        <f t="shared" ca="1" si="45"/>
        <v>#REF!</v>
      </c>
      <c r="FA62" s="75" t="e">
        <f t="shared" ca="1" si="45"/>
        <v>#REF!</v>
      </c>
      <c r="FB62" s="75" t="e">
        <f t="shared" ca="1" si="45"/>
        <v>#REF!</v>
      </c>
      <c r="FC62" s="76" t="e">
        <f t="shared" ca="1" si="45"/>
        <v>#REF!</v>
      </c>
      <c r="FD62" s="74" t="e">
        <f t="shared" ca="1" si="45"/>
        <v>#REF!</v>
      </c>
      <c r="FE62" s="74" t="e">
        <f t="shared" ca="1" si="45"/>
        <v>#REF!</v>
      </c>
      <c r="FF62" s="74" t="e">
        <f t="shared" ca="1" si="45"/>
        <v>#REF!</v>
      </c>
      <c r="FG62" s="74" t="e">
        <f t="shared" ca="1" si="46"/>
        <v>#REF!</v>
      </c>
      <c r="FH62" s="74" t="e">
        <f t="shared" ca="1" si="46"/>
        <v>#REF!</v>
      </c>
      <c r="FI62" s="74" t="e">
        <f t="shared" ca="1" si="46"/>
        <v>#REF!</v>
      </c>
      <c r="FJ62" s="74" t="e">
        <f t="shared" ca="1" si="46"/>
        <v>#REF!</v>
      </c>
      <c r="FK62" s="74" t="e">
        <f t="shared" ca="1" si="46"/>
        <v>#REF!</v>
      </c>
      <c r="FL62" s="74" t="e">
        <f t="shared" ca="1" si="46"/>
        <v>#REF!</v>
      </c>
      <c r="FM62" s="74" t="e">
        <f t="shared" ca="1" si="46"/>
        <v>#REF!</v>
      </c>
      <c r="FN62" s="74" t="e">
        <f t="shared" ca="1" si="46"/>
        <v>#REF!</v>
      </c>
      <c r="FO62" s="74" t="e">
        <f t="shared" ca="1" si="46"/>
        <v>#REF!</v>
      </c>
      <c r="FP62" s="74" t="e">
        <f t="shared" ca="1" si="46"/>
        <v>#REF!</v>
      </c>
      <c r="FQ62" s="74" t="e">
        <f t="shared" ca="1" si="46"/>
        <v>#REF!</v>
      </c>
      <c r="FR62" s="74" t="e">
        <f t="shared" ca="1" si="46"/>
        <v>#REF!</v>
      </c>
      <c r="FS62" s="74" t="e">
        <f t="shared" ca="1" si="46"/>
        <v>#REF!</v>
      </c>
      <c r="FT62" s="74" t="e">
        <f t="shared" ca="1" si="46"/>
        <v>#REF!</v>
      </c>
    </row>
    <row r="63" spans="1:176" x14ac:dyDescent="0.35">
      <c r="A63" s="243">
        <v>242</v>
      </c>
      <c r="B63" s="74" t="e">
        <f t="shared" ca="1" si="49"/>
        <v>#REF!</v>
      </c>
      <c r="C63" s="74" t="e">
        <f t="shared" ca="1" si="49"/>
        <v>#REF!</v>
      </c>
      <c r="D63" s="74" t="e">
        <f t="shared" ca="1" si="49"/>
        <v>#REF!</v>
      </c>
      <c r="E63" s="74" t="e">
        <f t="shared" ca="1" si="49"/>
        <v>#REF!</v>
      </c>
      <c r="F63" t="e">
        <f t="shared" ca="1" si="13"/>
        <v>#REF!</v>
      </c>
      <c r="G63" t="e">
        <f t="shared" ca="1" si="13"/>
        <v>#REF!</v>
      </c>
      <c r="H63" t="e">
        <f t="shared" ca="1" si="13"/>
        <v>#REF!</v>
      </c>
      <c r="I63" s="74" t="e">
        <f t="shared" ca="1" si="49"/>
        <v>#REF!</v>
      </c>
      <c r="J63" s="74" t="e">
        <f t="shared" ca="1" si="49"/>
        <v>#REF!</v>
      </c>
      <c r="K63" s="74" t="e">
        <f t="shared" ca="1" si="49"/>
        <v>#REF!</v>
      </c>
      <c r="L63" s="74" t="e">
        <f t="shared" ca="1" si="49"/>
        <v>#REF!</v>
      </c>
      <c r="M63" s="74" t="e">
        <f t="shared" ca="1" si="49"/>
        <v>#REF!</v>
      </c>
      <c r="N63" s="74" t="e">
        <f t="shared" ca="1" si="49"/>
        <v>#REF!</v>
      </c>
      <c r="O63" s="74" t="e">
        <f t="shared" ca="1" si="49"/>
        <v>#REF!</v>
      </c>
      <c r="P63" s="74" t="e">
        <f t="shared" ca="1" si="49"/>
        <v>#REF!</v>
      </c>
      <c r="Q63" s="74" t="e">
        <f t="shared" ca="1" si="49"/>
        <v>#REF!</v>
      </c>
      <c r="R63" s="74" t="e">
        <f t="shared" ca="1" si="49"/>
        <v>#REF!</v>
      </c>
      <c r="S63" s="74" t="e">
        <f t="shared" ca="1" si="49"/>
        <v>#REF!</v>
      </c>
      <c r="T63" s="74" t="e">
        <f t="shared" ca="1" si="48"/>
        <v>#REF!</v>
      </c>
      <c r="U63" s="74" t="e">
        <f t="shared" ca="1" si="48"/>
        <v>#REF!</v>
      </c>
      <c r="V63" s="74" t="e">
        <f t="shared" ca="1" si="48"/>
        <v>#REF!</v>
      </c>
      <c r="W63" s="74" t="e">
        <f t="shared" ca="1" si="48"/>
        <v>#REF!</v>
      </c>
      <c r="X63" s="74" t="e">
        <f t="shared" ca="1" si="48"/>
        <v>#REF!</v>
      </c>
      <c r="Y63" s="74" t="e">
        <f t="shared" ca="1" si="48"/>
        <v>#REF!</v>
      </c>
      <c r="Z63" s="74" t="e">
        <f t="shared" ca="1" si="48"/>
        <v>#REF!</v>
      </c>
      <c r="AA63" s="74" t="e">
        <f t="shared" ca="1" si="48"/>
        <v>#REF!</v>
      </c>
      <c r="AB63" s="75" t="e">
        <f t="shared" ca="1" si="48"/>
        <v>#REF!</v>
      </c>
      <c r="AC63" s="75" t="e">
        <f t="shared" ca="1" si="48"/>
        <v>#REF!</v>
      </c>
      <c r="AD63" s="75" t="e">
        <f t="shared" ca="1" si="48"/>
        <v>#REF!</v>
      </c>
      <c r="AE63" s="75" t="e">
        <f t="shared" ca="1" si="48"/>
        <v>#REF!</v>
      </c>
      <c r="AF63" s="75" t="e">
        <f t="shared" ca="1" si="48"/>
        <v>#REF!</v>
      </c>
      <c r="AG63" s="75" t="e">
        <f t="shared" ca="1" si="48"/>
        <v>#REF!</v>
      </c>
      <c r="AH63" s="75" t="e">
        <f t="shared" ca="1" si="48"/>
        <v>#REF!</v>
      </c>
      <c r="AI63" s="75" t="e">
        <f t="shared" ca="1" si="38"/>
        <v>#REF!</v>
      </c>
      <c r="AJ63" s="75" t="e">
        <f t="shared" ca="1" si="38"/>
        <v>#REF!</v>
      </c>
      <c r="AK63" s="75" t="e">
        <f t="shared" ca="1" si="38"/>
        <v>#REF!</v>
      </c>
      <c r="AL63" s="75" t="e">
        <f t="shared" ca="1" si="38"/>
        <v>#REF!</v>
      </c>
      <c r="AM63" s="75" t="e">
        <f t="shared" ca="1" si="38"/>
        <v>#REF!</v>
      </c>
      <c r="AN63" s="75" t="e">
        <f t="shared" ca="1" si="38"/>
        <v>#REF!</v>
      </c>
      <c r="AO63" s="75" t="e">
        <f t="shared" ca="1" si="38"/>
        <v>#REF!</v>
      </c>
      <c r="AP63" s="75" t="e">
        <f t="shared" ca="1" si="38"/>
        <v>#REF!</v>
      </c>
      <c r="AQ63" s="75" t="e">
        <f t="shared" ca="1" si="38"/>
        <v>#REF!</v>
      </c>
      <c r="AR63" s="75" t="e">
        <f t="shared" ca="1" si="38"/>
        <v>#REF!</v>
      </c>
      <c r="AS63" s="75" t="e">
        <f t="shared" ca="1" si="38"/>
        <v>#REF!</v>
      </c>
      <c r="AT63" s="75" t="e">
        <f t="shared" ca="1" si="38"/>
        <v>#REF!</v>
      </c>
      <c r="AU63" s="74" t="e">
        <f t="shared" ca="1" si="38"/>
        <v>#REF!</v>
      </c>
      <c r="AV63" s="74" t="e">
        <f t="shared" ca="1" si="38"/>
        <v>#REF!</v>
      </c>
      <c r="AW63" s="74" t="e">
        <f t="shared" ca="1" si="38"/>
        <v>#REF!</v>
      </c>
      <c r="AX63" s="74" t="e">
        <f t="shared" ca="1" si="38"/>
        <v>#REF!</v>
      </c>
      <c r="AY63" s="74" t="e">
        <f t="shared" ca="1" si="39"/>
        <v>#REF!</v>
      </c>
      <c r="AZ63" s="74" t="e">
        <f t="shared" ca="1" si="39"/>
        <v>#REF!</v>
      </c>
      <c r="BA63" s="74" t="e">
        <f t="shared" ca="1" si="39"/>
        <v>#REF!</v>
      </c>
      <c r="BB63" s="74" t="e">
        <f t="shared" ca="1" si="39"/>
        <v>#REF!</v>
      </c>
      <c r="BC63" s="74" t="e">
        <f t="shared" ca="1" si="39"/>
        <v>#REF!</v>
      </c>
      <c r="BD63" s="74" t="e">
        <f t="shared" ca="1" si="39"/>
        <v>#REF!</v>
      </c>
      <c r="BE63" s="74" t="e">
        <f t="shared" ca="1" si="39"/>
        <v>#REF!</v>
      </c>
      <c r="BF63" s="74" t="e">
        <f t="shared" ca="1" si="39"/>
        <v>#REF!</v>
      </c>
      <c r="BG63" s="74" t="e">
        <f t="shared" ca="1" si="39"/>
        <v>#REF!</v>
      </c>
      <c r="BH63" s="74" t="e">
        <f t="shared" ca="1" si="39"/>
        <v>#REF!</v>
      </c>
      <c r="BI63" s="74" t="e">
        <f t="shared" ca="1" si="39"/>
        <v>#REF!</v>
      </c>
      <c r="BJ63" s="74" t="e">
        <f t="shared" ca="1" si="39"/>
        <v>#REF!</v>
      </c>
      <c r="BK63" s="74" t="e">
        <f t="shared" ca="1" si="39"/>
        <v>#REF!</v>
      </c>
      <c r="BL63" s="74" t="e">
        <f t="shared" ca="1" si="39"/>
        <v>#REF!</v>
      </c>
      <c r="BM63" s="74" t="e">
        <f t="shared" ca="1" si="39"/>
        <v>#REF!</v>
      </c>
      <c r="BN63" s="75" t="e">
        <f t="shared" ca="1" si="39"/>
        <v>#REF!</v>
      </c>
      <c r="BO63" s="75" t="e">
        <f t="shared" ca="1" si="40"/>
        <v>#REF!</v>
      </c>
      <c r="BP63" s="75" t="e">
        <f t="shared" ca="1" si="40"/>
        <v>#REF!</v>
      </c>
      <c r="BQ63" s="75" t="e">
        <f t="shared" ca="1" si="40"/>
        <v>#REF!</v>
      </c>
      <c r="BR63" s="75" t="e">
        <f t="shared" ca="1" si="40"/>
        <v>#REF!</v>
      </c>
      <c r="BS63" s="75" t="e">
        <f t="shared" ca="1" si="40"/>
        <v>#REF!</v>
      </c>
      <c r="BT63" s="75" t="e">
        <f t="shared" ca="1" si="40"/>
        <v>#REF!</v>
      </c>
      <c r="BU63" s="75" t="e">
        <f t="shared" ca="1" si="40"/>
        <v>#REF!</v>
      </c>
      <c r="BV63" s="75" t="e">
        <f t="shared" ca="1" si="40"/>
        <v>#REF!</v>
      </c>
      <c r="BW63" s="75" t="e">
        <f t="shared" ca="1" si="40"/>
        <v>#REF!</v>
      </c>
      <c r="BX63" s="75" t="e">
        <f t="shared" ca="1" si="40"/>
        <v>#REF!</v>
      </c>
      <c r="BY63" s="75" t="e">
        <f t="shared" ca="1" si="40"/>
        <v>#REF!</v>
      </c>
      <c r="BZ63" s="75" t="e">
        <f t="shared" ca="1" si="40"/>
        <v>#REF!</v>
      </c>
      <c r="CA63" s="75" t="e">
        <f t="shared" ca="1" si="40"/>
        <v>#REF!</v>
      </c>
      <c r="CB63" s="75" t="e">
        <f t="shared" ca="1" si="40"/>
        <v>#REF!</v>
      </c>
      <c r="CC63" s="75" t="e">
        <f t="shared" ca="1" si="40"/>
        <v>#REF!</v>
      </c>
      <c r="CD63" s="75" t="e">
        <f t="shared" ca="1" si="40"/>
        <v>#REF!</v>
      </c>
      <c r="CE63" s="75" t="e">
        <f t="shared" ca="1" si="41"/>
        <v>#REF!</v>
      </c>
      <c r="CF63" s="75" t="e">
        <f t="shared" ca="1" si="41"/>
        <v>#REF!</v>
      </c>
      <c r="CG63" s="74" t="e">
        <f t="shared" ca="1" si="41"/>
        <v>#REF!</v>
      </c>
      <c r="CH63" s="74" t="e">
        <f t="shared" ca="1" si="41"/>
        <v>#REF!</v>
      </c>
      <c r="CI63" s="74" t="e">
        <f t="shared" ca="1" si="41"/>
        <v>#REF!</v>
      </c>
      <c r="CJ63" s="74" t="e">
        <f t="shared" ca="1" si="41"/>
        <v>#REF!</v>
      </c>
      <c r="CK63" s="74" t="e">
        <f t="shared" ca="1" si="41"/>
        <v>#REF!</v>
      </c>
      <c r="CL63" s="74" t="e">
        <f t="shared" ca="1" si="41"/>
        <v>#REF!</v>
      </c>
      <c r="CM63" s="74" t="e">
        <f t="shared" ca="1" si="41"/>
        <v>#REF!</v>
      </c>
      <c r="CN63" s="74" t="e">
        <f t="shared" ca="1" si="41"/>
        <v>#REF!</v>
      </c>
      <c r="CO63" s="74" t="e">
        <f t="shared" ca="1" si="41"/>
        <v>#REF!</v>
      </c>
      <c r="CP63" s="74" t="e">
        <f t="shared" ca="1" si="41"/>
        <v>#REF!</v>
      </c>
      <c r="CQ63" s="74" t="e">
        <f t="shared" ca="1" si="41"/>
        <v>#REF!</v>
      </c>
      <c r="CR63" s="74" t="e">
        <f t="shared" ca="1" si="41"/>
        <v>#REF!</v>
      </c>
      <c r="CS63" s="74" t="e">
        <f t="shared" ca="1" si="41"/>
        <v>#REF!</v>
      </c>
      <c r="CT63" s="74" t="e">
        <f t="shared" ca="1" si="41"/>
        <v>#REF!</v>
      </c>
      <c r="CU63" s="74" t="e">
        <f t="shared" ca="1" si="42"/>
        <v>#REF!</v>
      </c>
      <c r="CV63" s="74" t="e">
        <f t="shared" ca="1" si="42"/>
        <v>#REF!</v>
      </c>
      <c r="CW63" s="74" t="e">
        <f t="shared" ca="1" si="42"/>
        <v>#REF!</v>
      </c>
      <c r="CX63" s="74" t="e">
        <f t="shared" ca="1" si="42"/>
        <v>#REF!</v>
      </c>
      <c r="CY63" s="74" t="e">
        <f t="shared" ca="1" si="42"/>
        <v>#REF!</v>
      </c>
      <c r="CZ63" s="75" t="e">
        <f t="shared" ca="1" si="42"/>
        <v>#REF!</v>
      </c>
      <c r="DA63" s="75" t="e">
        <f t="shared" ca="1" si="42"/>
        <v>#REF!</v>
      </c>
      <c r="DB63" s="75" t="e">
        <f t="shared" ca="1" si="42"/>
        <v>#REF!</v>
      </c>
      <c r="DC63" s="75" t="e">
        <f t="shared" ca="1" si="42"/>
        <v>#REF!</v>
      </c>
      <c r="DD63" s="75" t="e">
        <f t="shared" ca="1" si="42"/>
        <v>#REF!</v>
      </c>
      <c r="DE63" s="75" t="e">
        <f t="shared" ca="1" si="42"/>
        <v>#REF!</v>
      </c>
      <c r="DF63" s="75" t="e">
        <f t="shared" ca="1" si="42"/>
        <v>#REF!</v>
      </c>
      <c r="DG63" s="75" t="e">
        <f t="shared" ca="1" si="42"/>
        <v>#REF!</v>
      </c>
      <c r="DH63" s="75" t="e">
        <f t="shared" ca="1" si="42"/>
        <v>#REF!</v>
      </c>
      <c r="DI63" s="75" t="e">
        <f t="shared" ca="1" si="42"/>
        <v>#REF!</v>
      </c>
      <c r="DJ63" s="75" t="e">
        <f t="shared" ca="1" si="42"/>
        <v>#REF!</v>
      </c>
      <c r="DK63" s="75" t="e">
        <f t="shared" ca="1" si="43"/>
        <v>#REF!</v>
      </c>
      <c r="DL63" s="75" t="e">
        <f t="shared" ca="1" si="43"/>
        <v>#REF!</v>
      </c>
      <c r="DM63" s="75" t="e">
        <f t="shared" ca="1" si="43"/>
        <v>#REF!</v>
      </c>
      <c r="DN63" s="75" t="e">
        <f t="shared" ca="1" si="43"/>
        <v>#REF!</v>
      </c>
      <c r="DO63" s="75" t="e">
        <f t="shared" ca="1" si="43"/>
        <v>#REF!</v>
      </c>
      <c r="DP63" s="75" t="e">
        <f t="shared" ca="1" si="43"/>
        <v>#REF!</v>
      </c>
      <c r="DQ63" s="75" t="e">
        <f t="shared" ca="1" si="43"/>
        <v>#REF!</v>
      </c>
      <c r="DR63" s="75" t="e">
        <f t="shared" ca="1" si="43"/>
        <v>#REF!</v>
      </c>
      <c r="DS63" s="74" t="e">
        <f t="shared" ca="1" si="43"/>
        <v>#REF!</v>
      </c>
      <c r="DT63" s="74" t="e">
        <f t="shared" ca="1" si="43"/>
        <v>#REF!</v>
      </c>
      <c r="DU63" s="74" t="e">
        <f t="shared" ca="1" si="43"/>
        <v>#REF!</v>
      </c>
      <c r="DV63" s="74" t="e">
        <f t="shared" ca="1" si="43"/>
        <v>#REF!</v>
      </c>
      <c r="DW63" s="74" t="e">
        <f t="shared" ca="1" si="43"/>
        <v>#REF!</v>
      </c>
      <c r="DX63" s="74" t="e">
        <f t="shared" ca="1" si="43"/>
        <v>#REF!</v>
      </c>
      <c r="DY63" s="74" t="e">
        <f t="shared" ca="1" si="43"/>
        <v>#REF!</v>
      </c>
      <c r="DZ63" s="74" t="e">
        <f t="shared" ca="1" si="43"/>
        <v>#REF!</v>
      </c>
      <c r="EA63" s="74" t="e">
        <f t="shared" ca="1" si="44"/>
        <v>#REF!</v>
      </c>
      <c r="EB63" s="74" t="e">
        <f t="shared" ca="1" si="44"/>
        <v>#REF!</v>
      </c>
      <c r="EC63" s="74" t="e">
        <f t="shared" ca="1" si="44"/>
        <v>#REF!</v>
      </c>
      <c r="ED63" s="74" t="e">
        <f t="shared" ca="1" si="44"/>
        <v>#REF!</v>
      </c>
      <c r="EE63" s="74" t="e">
        <f t="shared" ca="1" si="44"/>
        <v>#REF!</v>
      </c>
      <c r="EF63" s="74" t="e">
        <f t="shared" ca="1" si="44"/>
        <v>#REF!</v>
      </c>
      <c r="EG63" s="74" t="e">
        <f t="shared" ca="1" si="44"/>
        <v>#REF!</v>
      </c>
      <c r="EH63" s="74" t="e">
        <f t="shared" ca="1" si="44"/>
        <v>#REF!</v>
      </c>
      <c r="EI63" s="74" t="e">
        <f t="shared" ca="1" si="44"/>
        <v>#REF!</v>
      </c>
      <c r="EJ63" s="74" t="e">
        <f t="shared" ca="1" si="44"/>
        <v>#REF!</v>
      </c>
      <c r="EK63" s="75" t="e">
        <f t="shared" ca="1" si="44"/>
        <v>#REF!</v>
      </c>
      <c r="EL63" s="75" t="e">
        <f t="shared" ca="1" si="44"/>
        <v>#REF!</v>
      </c>
      <c r="EM63" s="75" t="e">
        <f t="shared" ca="1" si="44"/>
        <v>#REF!</v>
      </c>
      <c r="EN63" s="75" t="e">
        <f t="shared" ca="1" si="44"/>
        <v>#REF!</v>
      </c>
      <c r="EO63" s="75" t="e">
        <f t="shared" ca="1" si="44"/>
        <v>#REF!</v>
      </c>
      <c r="EP63" s="75" t="e">
        <f t="shared" ca="1" si="44"/>
        <v>#REF!</v>
      </c>
      <c r="EQ63" s="75" t="e">
        <f t="shared" ca="1" si="45"/>
        <v>#REF!</v>
      </c>
      <c r="ER63" s="75" t="e">
        <f t="shared" ca="1" si="45"/>
        <v>#REF!</v>
      </c>
      <c r="ES63" s="75" t="e">
        <f t="shared" ca="1" si="45"/>
        <v>#REF!</v>
      </c>
      <c r="ET63" s="75" t="e">
        <f t="shared" ca="1" si="45"/>
        <v>#REF!</v>
      </c>
      <c r="EU63" s="75" t="e">
        <f t="shared" ca="1" si="45"/>
        <v>#REF!</v>
      </c>
      <c r="EV63" s="75" t="e">
        <f t="shared" ca="1" si="45"/>
        <v>#REF!</v>
      </c>
      <c r="EW63" s="75" t="e">
        <f t="shared" ca="1" si="45"/>
        <v>#REF!</v>
      </c>
      <c r="EX63" s="75" t="e">
        <f t="shared" ca="1" si="45"/>
        <v>#REF!</v>
      </c>
      <c r="EY63" s="75" t="e">
        <f t="shared" ca="1" si="45"/>
        <v>#REF!</v>
      </c>
      <c r="EZ63" s="75" t="e">
        <f t="shared" ca="1" si="45"/>
        <v>#REF!</v>
      </c>
      <c r="FA63" s="75" t="e">
        <f t="shared" ca="1" si="45"/>
        <v>#REF!</v>
      </c>
      <c r="FB63" s="75" t="e">
        <f t="shared" ca="1" si="45"/>
        <v>#REF!</v>
      </c>
      <c r="FC63" s="76" t="e">
        <f t="shared" ca="1" si="45"/>
        <v>#REF!</v>
      </c>
      <c r="FD63" s="74" t="e">
        <f t="shared" ca="1" si="45"/>
        <v>#REF!</v>
      </c>
      <c r="FE63" s="74" t="e">
        <f t="shared" ca="1" si="45"/>
        <v>#REF!</v>
      </c>
      <c r="FF63" s="74" t="e">
        <f t="shared" ca="1" si="45"/>
        <v>#REF!</v>
      </c>
      <c r="FG63" s="74" t="e">
        <f t="shared" ca="1" si="46"/>
        <v>#REF!</v>
      </c>
      <c r="FH63" s="74" t="e">
        <f t="shared" ca="1" si="46"/>
        <v>#REF!</v>
      </c>
      <c r="FI63" s="74" t="e">
        <f t="shared" ca="1" si="46"/>
        <v>#REF!</v>
      </c>
      <c r="FJ63" s="74" t="e">
        <f t="shared" ca="1" si="46"/>
        <v>#REF!</v>
      </c>
      <c r="FK63" s="74" t="e">
        <f t="shared" ca="1" si="46"/>
        <v>#REF!</v>
      </c>
      <c r="FL63" s="74" t="e">
        <f t="shared" ca="1" si="46"/>
        <v>#REF!</v>
      </c>
      <c r="FM63" s="74" t="e">
        <f t="shared" ca="1" si="46"/>
        <v>#REF!</v>
      </c>
      <c r="FN63" s="74" t="e">
        <f t="shared" ca="1" si="46"/>
        <v>#REF!</v>
      </c>
      <c r="FO63" s="74" t="e">
        <f t="shared" ca="1" si="46"/>
        <v>#REF!</v>
      </c>
      <c r="FP63" s="74" t="e">
        <f t="shared" ca="1" si="46"/>
        <v>#REF!</v>
      </c>
      <c r="FQ63" s="74" t="e">
        <f t="shared" ca="1" si="46"/>
        <v>#REF!</v>
      </c>
      <c r="FR63" s="74" t="e">
        <f t="shared" ca="1" si="46"/>
        <v>#REF!</v>
      </c>
      <c r="FS63" s="74" t="e">
        <f t="shared" ca="1" si="46"/>
        <v>#REF!</v>
      </c>
      <c r="FT63" s="74" t="e">
        <f t="shared" ca="1" si="46"/>
        <v>#REF!</v>
      </c>
    </row>
    <row r="64" spans="1:176" x14ac:dyDescent="0.35">
      <c r="A64" s="243">
        <v>249</v>
      </c>
      <c r="B64" s="74" t="e">
        <f t="shared" ca="1" si="49"/>
        <v>#REF!</v>
      </c>
      <c r="C64" s="74" t="e">
        <f t="shared" ca="1" si="49"/>
        <v>#REF!</v>
      </c>
      <c r="D64" s="74" t="e">
        <f t="shared" ca="1" si="49"/>
        <v>#REF!</v>
      </c>
      <c r="E64" s="74" t="e">
        <f t="shared" ca="1" si="49"/>
        <v>#REF!</v>
      </c>
      <c r="F64" t="e">
        <f t="shared" ca="1" si="13"/>
        <v>#REF!</v>
      </c>
      <c r="G64" t="e">
        <f t="shared" ca="1" si="13"/>
        <v>#REF!</v>
      </c>
      <c r="H64" t="e">
        <f t="shared" ca="1" si="13"/>
        <v>#REF!</v>
      </c>
      <c r="I64" s="74" t="e">
        <f t="shared" ca="1" si="49"/>
        <v>#REF!</v>
      </c>
      <c r="J64" s="74" t="e">
        <f t="shared" ca="1" si="49"/>
        <v>#REF!</v>
      </c>
      <c r="K64" s="74" t="e">
        <f t="shared" ca="1" si="49"/>
        <v>#REF!</v>
      </c>
      <c r="L64" s="74" t="e">
        <f t="shared" ca="1" si="49"/>
        <v>#REF!</v>
      </c>
      <c r="M64" s="74" t="e">
        <f t="shared" ca="1" si="49"/>
        <v>#REF!</v>
      </c>
      <c r="N64" s="74" t="e">
        <f t="shared" ca="1" si="49"/>
        <v>#REF!</v>
      </c>
      <c r="O64" s="74" t="e">
        <f t="shared" ca="1" si="49"/>
        <v>#REF!</v>
      </c>
      <c r="P64" s="74" t="e">
        <f t="shared" ca="1" si="49"/>
        <v>#REF!</v>
      </c>
      <c r="Q64" s="74" t="e">
        <f t="shared" ca="1" si="49"/>
        <v>#REF!</v>
      </c>
      <c r="R64" s="74" t="e">
        <f t="shared" ca="1" si="49"/>
        <v>#REF!</v>
      </c>
      <c r="S64" s="74" t="e">
        <f t="shared" ca="1" si="49"/>
        <v>#REF!</v>
      </c>
      <c r="T64" s="74" t="e">
        <f t="shared" ca="1" si="48"/>
        <v>#REF!</v>
      </c>
      <c r="U64" s="74" t="e">
        <f t="shared" ca="1" si="48"/>
        <v>#REF!</v>
      </c>
      <c r="V64" s="74" t="e">
        <f t="shared" ca="1" si="48"/>
        <v>#REF!</v>
      </c>
      <c r="W64" s="74" t="e">
        <f t="shared" ca="1" si="48"/>
        <v>#REF!</v>
      </c>
      <c r="X64" s="74" t="e">
        <f t="shared" ca="1" si="48"/>
        <v>#REF!</v>
      </c>
      <c r="Y64" s="74" t="e">
        <f t="shared" ca="1" si="48"/>
        <v>#REF!</v>
      </c>
      <c r="Z64" s="74" t="e">
        <f t="shared" ca="1" si="48"/>
        <v>#REF!</v>
      </c>
      <c r="AA64" s="74" t="e">
        <f t="shared" ca="1" si="48"/>
        <v>#REF!</v>
      </c>
      <c r="AB64" s="75" t="e">
        <f t="shared" ca="1" si="48"/>
        <v>#REF!</v>
      </c>
      <c r="AC64" s="75" t="e">
        <f t="shared" ca="1" si="48"/>
        <v>#REF!</v>
      </c>
      <c r="AD64" s="75" t="e">
        <f t="shared" ca="1" si="48"/>
        <v>#REF!</v>
      </c>
      <c r="AE64" s="75" t="e">
        <f t="shared" ca="1" si="48"/>
        <v>#REF!</v>
      </c>
      <c r="AF64" s="75" t="e">
        <f t="shared" ca="1" si="48"/>
        <v>#REF!</v>
      </c>
      <c r="AG64" s="75" t="e">
        <f t="shared" ca="1" si="48"/>
        <v>#REF!</v>
      </c>
      <c r="AH64" s="75" t="e">
        <f t="shared" ca="1" si="48"/>
        <v>#REF!</v>
      </c>
      <c r="AI64" s="75" t="e">
        <f t="shared" ca="1" si="38"/>
        <v>#REF!</v>
      </c>
      <c r="AJ64" s="75" t="e">
        <f t="shared" ca="1" si="38"/>
        <v>#REF!</v>
      </c>
      <c r="AK64" s="75" t="e">
        <f t="shared" ca="1" si="38"/>
        <v>#REF!</v>
      </c>
      <c r="AL64" s="75" t="e">
        <f t="shared" ca="1" si="38"/>
        <v>#REF!</v>
      </c>
      <c r="AM64" s="75" t="e">
        <f t="shared" ca="1" si="38"/>
        <v>#REF!</v>
      </c>
      <c r="AN64" s="75" t="e">
        <f t="shared" ca="1" si="38"/>
        <v>#REF!</v>
      </c>
      <c r="AO64" s="75" t="e">
        <f t="shared" ca="1" si="38"/>
        <v>#REF!</v>
      </c>
      <c r="AP64" s="75" t="e">
        <f t="shared" ca="1" si="38"/>
        <v>#REF!</v>
      </c>
      <c r="AQ64" s="75" t="e">
        <f t="shared" ca="1" si="38"/>
        <v>#REF!</v>
      </c>
      <c r="AR64" s="75" t="e">
        <f t="shared" ca="1" si="38"/>
        <v>#REF!</v>
      </c>
      <c r="AS64" s="75" t="e">
        <f t="shared" ca="1" si="38"/>
        <v>#REF!</v>
      </c>
      <c r="AT64" s="75" t="e">
        <f t="shared" ca="1" si="38"/>
        <v>#REF!</v>
      </c>
      <c r="AU64" s="74" t="e">
        <f t="shared" ca="1" si="38"/>
        <v>#REF!</v>
      </c>
      <c r="AV64" s="74" t="e">
        <f t="shared" ca="1" si="38"/>
        <v>#REF!</v>
      </c>
      <c r="AW64" s="74" t="e">
        <f t="shared" ca="1" si="38"/>
        <v>#REF!</v>
      </c>
      <c r="AX64" s="74" t="e">
        <f t="shared" ca="1" si="38"/>
        <v>#REF!</v>
      </c>
      <c r="AY64" s="74" t="e">
        <f t="shared" ca="1" si="39"/>
        <v>#REF!</v>
      </c>
      <c r="AZ64" s="74" t="e">
        <f t="shared" ca="1" si="39"/>
        <v>#REF!</v>
      </c>
      <c r="BA64" s="74" t="e">
        <f t="shared" ca="1" si="39"/>
        <v>#REF!</v>
      </c>
      <c r="BB64" s="74" t="e">
        <f t="shared" ca="1" si="39"/>
        <v>#REF!</v>
      </c>
      <c r="BC64" s="74" t="e">
        <f t="shared" ca="1" si="39"/>
        <v>#REF!</v>
      </c>
      <c r="BD64" s="74" t="e">
        <f t="shared" ca="1" si="39"/>
        <v>#REF!</v>
      </c>
      <c r="BE64" s="74" t="e">
        <f t="shared" ca="1" si="39"/>
        <v>#REF!</v>
      </c>
      <c r="BF64" s="74" t="e">
        <f t="shared" ca="1" si="39"/>
        <v>#REF!</v>
      </c>
      <c r="BG64" s="74" t="e">
        <f t="shared" ca="1" si="39"/>
        <v>#REF!</v>
      </c>
      <c r="BH64" s="74" t="e">
        <f t="shared" ca="1" si="39"/>
        <v>#REF!</v>
      </c>
      <c r="BI64" s="74" t="e">
        <f t="shared" ca="1" si="39"/>
        <v>#REF!</v>
      </c>
      <c r="BJ64" s="74" t="e">
        <f t="shared" ca="1" si="39"/>
        <v>#REF!</v>
      </c>
      <c r="BK64" s="74" t="e">
        <f t="shared" ca="1" si="39"/>
        <v>#REF!</v>
      </c>
      <c r="BL64" s="74" t="e">
        <f t="shared" ca="1" si="39"/>
        <v>#REF!</v>
      </c>
      <c r="BM64" s="74" t="e">
        <f t="shared" ca="1" si="39"/>
        <v>#REF!</v>
      </c>
      <c r="BN64" s="75" t="e">
        <f t="shared" ca="1" si="39"/>
        <v>#REF!</v>
      </c>
      <c r="BO64" s="75" t="e">
        <f t="shared" ca="1" si="40"/>
        <v>#REF!</v>
      </c>
      <c r="BP64" s="75" t="e">
        <f t="shared" ca="1" si="40"/>
        <v>#REF!</v>
      </c>
      <c r="BQ64" s="75" t="e">
        <f t="shared" ca="1" si="40"/>
        <v>#REF!</v>
      </c>
      <c r="BR64" s="75" t="e">
        <f t="shared" ca="1" si="40"/>
        <v>#REF!</v>
      </c>
      <c r="BS64" s="75" t="e">
        <f t="shared" ca="1" si="40"/>
        <v>#REF!</v>
      </c>
      <c r="BT64" s="75" t="e">
        <f t="shared" ca="1" si="40"/>
        <v>#REF!</v>
      </c>
      <c r="BU64" s="75" t="e">
        <f t="shared" ca="1" si="40"/>
        <v>#REF!</v>
      </c>
      <c r="BV64" s="75" t="e">
        <f t="shared" ca="1" si="40"/>
        <v>#REF!</v>
      </c>
      <c r="BW64" s="75" t="e">
        <f t="shared" ca="1" si="40"/>
        <v>#REF!</v>
      </c>
      <c r="BX64" s="75" t="e">
        <f t="shared" ca="1" si="40"/>
        <v>#REF!</v>
      </c>
      <c r="BY64" s="75" t="e">
        <f t="shared" ca="1" si="40"/>
        <v>#REF!</v>
      </c>
      <c r="BZ64" s="75" t="e">
        <f t="shared" ca="1" si="40"/>
        <v>#REF!</v>
      </c>
      <c r="CA64" s="75" t="e">
        <f t="shared" ca="1" si="40"/>
        <v>#REF!</v>
      </c>
      <c r="CB64" s="75" t="e">
        <f t="shared" ca="1" si="40"/>
        <v>#REF!</v>
      </c>
      <c r="CC64" s="75" t="e">
        <f t="shared" ca="1" si="40"/>
        <v>#REF!</v>
      </c>
      <c r="CD64" s="75" t="e">
        <f t="shared" ca="1" si="40"/>
        <v>#REF!</v>
      </c>
      <c r="CE64" s="75" t="e">
        <f t="shared" ca="1" si="41"/>
        <v>#REF!</v>
      </c>
      <c r="CF64" s="75" t="e">
        <f t="shared" ca="1" si="41"/>
        <v>#REF!</v>
      </c>
      <c r="CG64" s="74" t="e">
        <f t="shared" ca="1" si="41"/>
        <v>#REF!</v>
      </c>
      <c r="CH64" s="74" t="e">
        <f t="shared" ca="1" si="41"/>
        <v>#REF!</v>
      </c>
      <c r="CI64" s="74" t="e">
        <f t="shared" ca="1" si="41"/>
        <v>#REF!</v>
      </c>
      <c r="CJ64" s="74" t="e">
        <f t="shared" ca="1" si="41"/>
        <v>#REF!</v>
      </c>
      <c r="CK64" s="74" t="e">
        <f t="shared" ca="1" si="41"/>
        <v>#REF!</v>
      </c>
      <c r="CL64" s="74" t="e">
        <f t="shared" ca="1" si="41"/>
        <v>#REF!</v>
      </c>
      <c r="CM64" s="74" t="e">
        <f t="shared" ca="1" si="41"/>
        <v>#REF!</v>
      </c>
      <c r="CN64" s="74" t="e">
        <f t="shared" ca="1" si="41"/>
        <v>#REF!</v>
      </c>
      <c r="CO64" s="74" t="e">
        <f t="shared" ca="1" si="41"/>
        <v>#REF!</v>
      </c>
      <c r="CP64" s="74" t="e">
        <f t="shared" ca="1" si="41"/>
        <v>#REF!</v>
      </c>
      <c r="CQ64" s="74" t="e">
        <f t="shared" ca="1" si="41"/>
        <v>#REF!</v>
      </c>
      <c r="CR64" s="74" t="e">
        <f t="shared" ca="1" si="41"/>
        <v>#REF!</v>
      </c>
      <c r="CS64" s="74" t="e">
        <f t="shared" ca="1" si="41"/>
        <v>#REF!</v>
      </c>
      <c r="CT64" s="74" t="e">
        <f t="shared" ca="1" si="41"/>
        <v>#REF!</v>
      </c>
      <c r="CU64" s="74" t="e">
        <f t="shared" ca="1" si="42"/>
        <v>#REF!</v>
      </c>
      <c r="CV64" s="74" t="e">
        <f t="shared" ca="1" si="42"/>
        <v>#REF!</v>
      </c>
      <c r="CW64" s="74" t="e">
        <f t="shared" ca="1" si="42"/>
        <v>#REF!</v>
      </c>
      <c r="CX64" s="74" t="e">
        <f t="shared" ca="1" si="42"/>
        <v>#REF!</v>
      </c>
      <c r="CY64" s="74" t="e">
        <f t="shared" ca="1" si="42"/>
        <v>#REF!</v>
      </c>
      <c r="CZ64" s="75" t="e">
        <f t="shared" ca="1" si="42"/>
        <v>#REF!</v>
      </c>
      <c r="DA64" s="75" t="e">
        <f t="shared" ca="1" si="42"/>
        <v>#REF!</v>
      </c>
      <c r="DB64" s="75" t="e">
        <f t="shared" ca="1" si="42"/>
        <v>#REF!</v>
      </c>
      <c r="DC64" s="75" t="e">
        <f t="shared" ca="1" si="42"/>
        <v>#REF!</v>
      </c>
      <c r="DD64" s="75" t="e">
        <f t="shared" ca="1" si="42"/>
        <v>#REF!</v>
      </c>
      <c r="DE64" s="75" t="e">
        <f t="shared" ca="1" si="42"/>
        <v>#REF!</v>
      </c>
      <c r="DF64" s="75" t="e">
        <f t="shared" ca="1" si="42"/>
        <v>#REF!</v>
      </c>
      <c r="DG64" s="75" t="e">
        <f t="shared" ca="1" si="42"/>
        <v>#REF!</v>
      </c>
      <c r="DH64" s="75" t="e">
        <f t="shared" ca="1" si="42"/>
        <v>#REF!</v>
      </c>
      <c r="DI64" s="75" t="e">
        <f t="shared" ca="1" si="42"/>
        <v>#REF!</v>
      </c>
      <c r="DJ64" s="75" t="e">
        <f t="shared" ca="1" si="42"/>
        <v>#REF!</v>
      </c>
      <c r="DK64" s="75" t="e">
        <f t="shared" ca="1" si="43"/>
        <v>#REF!</v>
      </c>
      <c r="DL64" s="75" t="e">
        <f t="shared" ca="1" si="43"/>
        <v>#REF!</v>
      </c>
      <c r="DM64" s="75" t="e">
        <f t="shared" ca="1" si="43"/>
        <v>#REF!</v>
      </c>
      <c r="DN64" s="75" t="e">
        <f t="shared" ca="1" si="43"/>
        <v>#REF!</v>
      </c>
      <c r="DO64" s="75" t="e">
        <f t="shared" ca="1" si="43"/>
        <v>#REF!</v>
      </c>
      <c r="DP64" s="75" t="e">
        <f t="shared" ca="1" si="43"/>
        <v>#REF!</v>
      </c>
      <c r="DQ64" s="75" t="e">
        <f t="shared" ca="1" si="43"/>
        <v>#REF!</v>
      </c>
      <c r="DR64" s="75" t="e">
        <f t="shared" ca="1" si="43"/>
        <v>#REF!</v>
      </c>
      <c r="DS64" s="74" t="e">
        <f t="shared" ca="1" si="43"/>
        <v>#REF!</v>
      </c>
      <c r="DT64" s="74" t="e">
        <f t="shared" ca="1" si="43"/>
        <v>#REF!</v>
      </c>
      <c r="DU64" s="74" t="e">
        <f t="shared" ca="1" si="43"/>
        <v>#REF!</v>
      </c>
      <c r="DV64" s="74" t="e">
        <f t="shared" ca="1" si="43"/>
        <v>#REF!</v>
      </c>
      <c r="DW64" s="74" t="e">
        <f t="shared" ca="1" si="43"/>
        <v>#REF!</v>
      </c>
      <c r="DX64" s="74" t="e">
        <f t="shared" ca="1" si="43"/>
        <v>#REF!</v>
      </c>
      <c r="DY64" s="74" t="e">
        <f t="shared" ca="1" si="43"/>
        <v>#REF!</v>
      </c>
      <c r="DZ64" s="74" t="e">
        <f t="shared" ca="1" si="43"/>
        <v>#REF!</v>
      </c>
      <c r="EA64" s="74" t="e">
        <f t="shared" ca="1" si="44"/>
        <v>#REF!</v>
      </c>
      <c r="EB64" s="74" t="e">
        <f t="shared" ca="1" si="44"/>
        <v>#REF!</v>
      </c>
      <c r="EC64" s="74" t="e">
        <f t="shared" ca="1" si="44"/>
        <v>#REF!</v>
      </c>
      <c r="ED64" s="74" t="e">
        <f t="shared" ca="1" si="44"/>
        <v>#REF!</v>
      </c>
      <c r="EE64" s="74" t="e">
        <f t="shared" ca="1" si="44"/>
        <v>#REF!</v>
      </c>
      <c r="EF64" s="74" t="e">
        <f t="shared" ca="1" si="44"/>
        <v>#REF!</v>
      </c>
      <c r="EG64" s="74" t="e">
        <f t="shared" ca="1" si="44"/>
        <v>#REF!</v>
      </c>
      <c r="EH64" s="74" t="e">
        <f t="shared" ca="1" si="44"/>
        <v>#REF!</v>
      </c>
      <c r="EI64" s="74" t="e">
        <f t="shared" ca="1" si="44"/>
        <v>#REF!</v>
      </c>
      <c r="EJ64" s="74" t="e">
        <f t="shared" ca="1" si="44"/>
        <v>#REF!</v>
      </c>
      <c r="EK64" s="75" t="e">
        <f t="shared" ca="1" si="44"/>
        <v>#REF!</v>
      </c>
      <c r="EL64" s="75" t="e">
        <f t="shared" ca="1" si="44"/>
        <v>#REF!</v>
      </c>
      <c r="EM64" s="75" t="e">
        <f t="shared" ca="1" si="44"/>
        <v>#REF!</v>
      </c>
      <c r="EN64" s="75" t="e">
        <f t="shared" ca="1" si="44"/>
        <v>#REF!</v>
      </c>
      <c r="EO64" s="75" t="e">
        <f t="shared" ca="1" si="44"/>
        <v>#REF!</v>
      </c>
      <c r="EP64" s="75" t="e">
        <f t="shared" ca="1" si="44"/>
        <v>#REF!</v>
      </c>
      <c r="EQ64" s="75" t="e">
        <f t="shared" ca="1" si="45"/>
        <v>#REF!</v>
      </c>
      <c r="ER64" s="75" t="e">
        <f t="shared" ca="1" si="45"/>
        <v>#REF!</v>
      </c>
      <c r="ES64" s="75" t="e">
        <f t="shared" ca="1" si="45"/>
        <v>#REF!</v>
      </c>
      <c r="ET64" s="75" t="e">
        <f t="shared" ca="1" si="45"/>
        <v>#REF!</v>
      </c>
      <c r="EU64" s="75" t="e">
        <f t="shared" ca="1" si="45"/>
        <v>#REF!</v>
      </c>
      <c r="EV64" s="75" t="e">
        <f t="shared" ca="1" si="45"/>
        <v>#REF!</v>
      </c>
      <c r="EW64" s="75" t="e">
        <f t="shared" ca="1" si="45"/>
        <v>#REF!</v>
      </c>
      <c r="EX64" s="75" t="e">
        <f t="shared" ca="1" si="45"/>
        <v>#REF!</v>
      </c>
      <c r="EY64" s="75" t="e">
        <f t="shared" ca="1" si="45"/>
        <v>#REF!</v>
      </c>
      <c r="EZ64" s="75" t="e">
        <f t="shared" ca="1" si="45"/>
        <v>#REF!</v>
      </c>
      <c r="FA64" s="75" t="e">
        <f t="shared" ca="1" si="45"/>
        <v>#REF!</v>
      </c>
      <c r="FB64" s="75" t="e">
        <f t="shared" ca="1" si="45"/>
        <v>#REF!</v>
      </c>
      <c r="FC64" s="76" t="e">
        <f t="shared" ca="1" si="45"/>
        <v>#REF!</v>
      </c>
      <c r="FD64" s="74" t="e">
        <f t="shared" ca="1" si="45"/>
        <v>#REF!</v>
      </c>
      <c r="FE64" s="74" t="e">
        <f t="shared" ca="1" si="45"/>
        <v>#REF!</v>
      </c>
      <c r="FF64" s="74" t="e">
        <f t="shared" ca="1" si="45"/>
        <v>#REF!</v>
      </c>
      <c r="FG64" s="74" t="e">
        <f t="shared" ca="1" si="46"/>
        <v>#REF!</v>
      </c>
      <c r="FH64" s="74" t="e">
        <f t="shared" ca="1" si="46"/>
        <v>#REF!</v>
      </c>
      <c r="FI64" s="74" t="e">
        <f t="shared" ca="1" si="46"/>
        <v>#REF!</v>
      </c>
      <c r="FJ64" s="74" t="e">
        <f t="shared" ca="1" si="46"/>
        <v>#REF!</v>
      </c>
      <c r="FK64" s="74" t="e">
        <f t="shared" ca="1" si="46"/>
        <v>#REF!</v>
      </c>
      <c r="FL64" s="74" t="e">
        <f t="shared" ca="1" si="46"/>
        <v>#REF!</v>
      </c>
      <c r="FM64" s="74" t="e">
        <f t="shared" ca="1" si="46"/>
        <v>#REF!</v>
      </c>
      <c r="FN64" s="74" t="e">
        <f t="shared" ca="1" si="46"/>
        <v>#REF!</v>
      </c>
      <c r="FO64" s="74" t="e">
        <f t="shared" ca="1" si="46"/>
        <v>#REF!</v>
      </c>
      <c r="FP64" s="74" t="e">
        <f t="shared" ca="1" si="46"/>
        <v>#REF!</v>
      </c>
      <c r="FQ64" s="74" t="e">
        <f t="shared" ca="1" si="46"/>
        <v>#REF!</v>
      </c>
      <c r="FR64" s="74" t="e">
        <f t="shared" ca="1" si="46"/>
        <v>#REF!</v>
      </c>
      <c r="FS64" s="74" t="e">
        <f t="shared" ca="1" si="46"/>
        <v>#REF!</v>
      </c>
      <c r="FT64" s="74" t="e">
        <f t="shared" ca="1" si="46"/>
        <v>#REF!</v>
      </c>
    </row>
    <row r="65" spans="1:176" x14ac:dyDescent="0.35">
      <c r="A65" s="74"/>
      <c r="B65" s="74" t="str">
        <f t="shared" ca="1" si="49"/>
        <v/>
      </c>
      <c r="C65" s="74" t="str">
        <f t="shared" ca="1" si="49"/>
        <v/>
      </c>
      <c r="D65" s="74" t="str">
        <f t="shared" ca="1" si="49"/>
        <v/>
      </c>
      <c r="E65" s="74" t="str">
        <f t="shared" ca="1" si="49"/>
        <v/>
      </c>
      <c r="F65" t="str">
        <f t="shared" ca="1" si="13"/>
        <v/>
      </c>
      <c r="G65" t="str">
        <f t="shared" ca="1" si="13"/>
        <v/>
      </c>
      <c r="H65" t="str">
        <f t="shared" ca="1" si="13"/>
        <v/>
      </c>
      <c r="I65" s="74" t="str">
        <f t="shared" ca="1" si="49"/>
        <v/>
      </c>
      <c r="J65" s="74" t="str">
        <f t="shared" ca="1" si="49"/>
        <v/>
      </c>
      <c r="K65" s="74" t="str">
        <f t="shared" ca="1" si="49"/>
        <v/>
      </c>
      <c r="L65" s="74" t="str">
        <f t="shared" ca="1" si="49"/>
        <v/>
      </c>
      <c r="M65" s="74" t="str">
        <f t="shared" ca="1" si="49"/>
        <v/>
      </c>
      <c r="N65" s="74" t="str">
        <f t="shared" ca="1" si="49"/>
        <v/>
      </c>
      <c r="O65" s="74" t="str">
        <f t="shared" ca="1" si="49"/>
        <v/>
      </c>
      <c r="P65" s="74" t="str">
        <f t="shared" ca="1" si="49"/>
        <v/>
      </c>
      <c r="Q65" s="74" t="str">
        <f t="shared" ca="1" si="49"/>
        <v/>
      </c>
      <c r="R65" s="74" t="str">
        <f t="shared" ca="1" si="49"/>
        <v/>
      </c>
      <c r="S65" s="74" t="str">
        <f t="shared" ca="1" si="49"/>
        <v/>
      </c>
      <c r="T65" s="74" t="str">
        <f t="shared" ca="1" si="48"/>
        <v/>
      </c>
      <c r="U65" s="74" t="str">
        <f t="shared" ca="1" si="48"/>
        <v/>
      </c>
      <c r="V65" s="74" t="str">
        <f t="shared" ca="1" si="48"/>
        <v/>
      </c>
      <c r="W65" s="74" t="str">
        <f t="shared" ca="1" si="48"/>
        <v/>
      </c>
      <c r="X65" s="74" t="str">
        <f t="shared" ca="1" si="48"/>
        <v/>
      </c>
      <c r="Y65" s="74" t="str">
        <f t="shared" ca="1" si="48"/>
        <v/>
      </c>
      <c r="Z65" s="74" t="str">
        <f t="shared" ca="1" si="48"/>
        <v/>
      </c>
      <c r="AA65" s="74" t="str">
        <f t="shared" ca="1" si="48"/>
        <v/>
      </c>
      <c r="AB65" s="75" t="str">
        <f t="shared" ca="1" si="48"/>
        <v/>
      </c>
      <c r="AC65" s="75" t="str">
        <f t="shared" ca="1" si="48"/>
        <v/>
      </c>
      <c r="AD65" s="75" t="str">
        <f t="shared" ca="1" si="48"/>
        <v/>
      </c>
      <c r="AE65" s="75" t="str">
        <f t="shared" ca="1" si="48"/>
        <v/>
      </c>
      <c r="AF65" s="75" t="str">
        <f t="shared" ca="1" si="48"/>
        <v/>
      </c>
      <c r="AG65" s="75" t="str">
        <f t="shared" ca="1" si="48"/>
        <v/>
      </c>
      <c r="AH65" s="75" t="str">
        <f t="shared" ca="1" si="48"/>
        <v/>
      </c>
      <c r="AI65" s="75" t="str">
        <f t="shared" ca="1" si="48"/>
        <v/>
      </c>
      <c r="AJ65" s="75" t="str">
        <f t="shared" ref="AJ65:AY66" ca="1" si="50">IF($A65="", "", IF(INDIRECT($A65&amp; "!"&amp; AJ$2)="", "", INDIRECT($A65&amp; "!"&amp; AJ$2)))</f>
        <v/>
      </c>
      <c r="AK65" s="75" t="str">
        <f t="shared" ca="1" si="50"/>
        <v/>
      </c>
      <c r="AL65" s="75" t="str">
        <f t="shared" ca="1" si="50"/>
        <v/>
      </c>
      <c r="AM65" s="75" t="str">
        <f t="shared" ca="1" si="50"/>
        <v/>
      </c>
      <c r="AN65" s="75" t="str">
        <f t="shared" ca="1" si="50"/>
        <v/>
      </c>
      <c r="AO65" s="75" t="str">
        <f t="shared" ca="1" si="50"/>
        <v/>
      </c>
      <c r="AP65" s="75" t="str">
        <f t="shared" ca="1" si="50"/>
        <v/>
      </c>
      <c r="AQ65" s="75" t="str">
        <f t="shared" ca="1" si="50"/>
        <v/>
      </c>
      <c r="AR65" s="75" t="str">
        <f t="shared" ca="1" si="50"/>
        <v/>
      </c>
      <c r="AS65" s="75" t="str">
        <f t="shared" ca="1" si="50"/>
        <v/>
      </c>
      <c r="AT65" s="75" t="str">
        <f t="shared" ca="1" si="50"/>
        <v/>
      </c>
      <c r="AU65" s="74" t="str">
        <f t="shared" ca="1" si="50"/>
        <v/>
      </c>
      <c r="AV65" s="74" t="str">
        <f t="shared" ca="1" si="50"/>
        <v/>
      </c>
      <c r="AW65" s="74" t="str">
        <f t="shared" ca="1" si="50"/>
        <v/>
      </c>
      <c r="AX65" s="74" t="str">
        <f t="shared" ca="1" si="50"/>
        <v/>
      </c>
      <c r="AY65" s="74" t="str">
        <f t="shared" ca="1" si="50"/>
        <v/>
      </c>
      <c r="AZ65" s="74" t="str">
        <f t="shared" ref="AZ65:BO80" ca="1" si="51">IF($A65="", "", IF(INDIRECT($A65&amp; "!"&amp; AZ$2)="", "", INDIRECT($A65&amp; "!"&amp; AZ$2)))</f>
        <v/>
      </c>
      <c r="BA65" s="74" t="str">
        <f t="shared" ca="1" si="51"/>
        <v/>
      </c>
      <c r="BB65" s="74" t="str">
        <f t="shared" ca="1" si="51"/>
        <v/>
      </c>
      <c r="BC65" s="74" t="str">
        <f t="shared" ca="1" si="51"/>
        <v/>
      </c>
      <c r="BD65" s="74" t="str">
        <f t="shared" ca="1" si="51"/>
        <v/>
      </c>
      <c r="BE65" s="74" t="str">
        <f t="shared" ca="1" si="51"/>
        <v/>
      </c>
      <c r="BF65" s="74" t="str">
        <f t="shared" ca="1" si="51"/>
        <v/>
      </c>
      <c r="BG65" s="74" t="str">
        <f t="shared" ca="1" si="51"/>
        <v/>
      </c>
      <c r="BH65" s="74" t="str">
        <f t="shared" ca="1" si="51"/>
        <v/>
      </c>
      <c r="BI65" s="74" t="str">
        <f t="shared" ca="1" si="51"/>
        <v/>
      </c>
      <c r="BJ65" s="74" t="str">
        <f t="shared" ca="1" si="51"/>
        <v/>
      </c>
      <c r="BK65" s="74" t="str">
        <f t="shared" ca="1" si="51"/>
        <v/>
      </c>
      <c r="BL65" s="74" t="str">
        <f t="shared" ca="1" si="51"/>
        <v/>
      </c>
      <c r="BM65" s="74" t="str">
        <f t="shared" ca="1" si="51"/>
        <v/>
      </c>
      <c r="BN65" s="75" t="str">
        <f t="shared" ca="1" si="51"/>
        <v/>
      </c>
      <c r="BO65" s="75" t="str">
        <f t="shared" ca="1" si="51"/>
        <v/>
      </c>
      <c r="BP65" s="75" t="str">
        <f t="shared" ref="BP65:CE81" ca="1" si="52">IF($A65="", "", IF(INDIRECT($A65&amp; "!"&amp; BP$2)="", "", INDIRECT($A65&amp; "!"&amp; BP$2)))</f>
        <v/>
      </c>
      <c r="BQ65" s="75" t="str">
        <f t="shared" ca="1" si="52"/>
        <v/>
      </c>
      <c r="BR65" s="75" t="str">
        <f t="shared" ca="1" si="52"/>
        <v/>
      </c>
      <c r="BS65" s="75" t="str">
        <f t="shared" ca="1" si="52"/>
        <v/>
      </c>
      <c r="BT65" s="75" t="str">
        <f t="shared" ca="1" si="52"/>
        <v/>
      </c>
      <c r="BU65" s="75" t="str">
        <f t="shared" ca="1" si="52"/>
        <v/>
      </c>
      <c r="BV65" s="75" t="str">
        <f t="shared" ca="1" si="52"/>
        <v/>
      </c>
      <c r="BW65" s="75" t="str">
        <f t="shared" ca="1" si="52"/>
        <v/>
      </c>
      <c r="BX65" s="75" t="str">
        <f t="shared" ca="1" si="52"/>
        <v/>
      </c>
      <c r="BY65" s="75" t="str">
        <f t="shared" ca="1" si="52"/>
        <v/>
      </c>
      <c r="BZ65" s="75" t="str">
        <f t="shared" ca="1" si="52"/>
        <v/>
      </c>
      <c r="CA65" s="75" t="str">
        <f t="shared" ca="1" si="52"/>
        <v/>
      </c>
      <c r="CB65" s="75" t="str">
        <f t="shared" ca="1" si="52"/>
        <v/>
      </c>
      <c r="CC65" s="75" t="str">
        <f t="shared" ca="1" si="52"/>
        <v/>
      </c>
      <c r="CD65" s="75" t="str">
        <f t="shared" ca="1" si="52"/>
        <v/>
      </c>
      <c r="CE65" s="75" t="str">
        <f t="shared" ca="1" si="52"/>
        <v/>
      </c>
      <c r="CF65" s="75" t="str">
        <f t="shared" ref="CF65:CU80" ca="1" si="53">IF($A65="", "", IF(INDIRECT($A65&amp; "!"&amp; CF$2)="", "", INDIRECT($A65&amp; "!"&amp; CF$2)))</f>
        <v/>
      </c>
      <c r="CG65" s="74" t="str">
        <f t="shared" ca="1" si="53"/>
        <v/>
      </c>
      <c r="CH65" s="74" t="str">
        <f t="shared" ca="1" si="53"/>
        <v/>
      </c>
      <c r="CI65" s="74" t="str">
        <f t="shared" ca="1" si="53"/>
        <v/>
      </c>
      <c r="CJ65" s="74" t="str">
        <f t="shared" ca="1" si="53"/>
        <v/>
      </c>
      <c r="CK65" s="74" t="str">
        <f t="shared" ca="1" si="53"/>
        <v/>
      </c>
      <c r="CL65" s="74" t="str">
        <f t="shared" ca="1" si="53"/>
        <v/>
      </c>
      <c r="CM65" s="74" t="str">
        <f t="shared" ca="1" si="53"/>
        <v/>
      </c>
      <c r="CN65" s="74" t="str">
        <f t="shared" ca="1" si="53"/>
        <v/>
      </c>
      <c r="CO65" s="74" t="str">
        <f t="shared" ca="1" si="53"/>
        <v/>
      </c>
      <c r="CP65" s="74" t="str">
        <f t="shared" ca="1" si="53"/>
        <v/>
      </c>
      <c r="CQ65" s="74" t="str">
        <f t="shared" ca="1" si="53"/>
        <v/>
      </c>
      <c r="CR65" s="74" t="str">
        <f t="shared" ca="1" si="53"/>
        <v/>
      </c>
      <c r="CS65" s="74" t="str">
        <f t="shared" ca="1" si="53"/>
        <v/>
      </c>
      <c r="CT65" s="74" t="str">
        <f t="shared" ca="1" si="53"/>
        <v/>
      </c>
      <c r="CU65" s="74" t="str">
        <f t="shared" ca="1" si="53"/>
        <v/>
      </c>
      <c r="CV65" s="74" t="str">
        <f t="shared" ref="CV65:DK81" ca="1" si="54">IF($A65="", "", IF(INDIRECT($A65&amp; "!"&amp; CV$2)="", "", INDIRECT($A65&amp; "!"&amp; CV$2)))</f>
        <v/>
      </c>
      <c r="CW65" s="74" t="str">
        <f t="shared" ca="1" si="54"/>
        <v/>
      </c>
      <c r="CX65" s="74" t="str">
        <f t="shared" ca="1" si="54"/>
        <v/>
      </c>
      <c r="CY65" s="74" t="str">
        <f t="shared" ca="1" si="54"/>
        <v/>
      </c>
      <c r="CZ65" s="75" t="str">
        <f t="shared" ca="1" si="54"/>
        <v/>
      </c>
      <c r="DA65" s="75" t="str">
        <f t="shared" ca="1" si="54"/>
        <v/>
      </c>
      <c r="DB65" s="75" t="str">
        <f t="shared" ca="1" si="54"/>
        <v/>
      </c>
      <c r="DC65" s="75" t="str">
        <f t="shared" ca="1" si="54"/>
        <v/>
      </c>
      <c r="DD65" s="75" t="str">
        <f t="shared" ca="1" si="54"/>
        <v/>
      </c>
      <c r="DE65" s="75" t="str">
        <f t="shared" ca="1" si="54"/>
        <v/>
      </c>
      <c r="DF65" s="75" t="str">
        <f t="shared" ca="1" si="54"/>
        <v/>
      </c>
      <c r="DG65" s="75" t="str">
        <f t="shared" ca="1" si="54"/>
        <v/>
      </c>
      <c r="DH65" s="75" t="str">
        <f t="shared" ca="1" si="54"/>
        <v/>
      </c>
      <c r="DI65" s="75" t="str">
        <f t="shared" ca="1" si="54"/>
        <v/>
      </c>
      <c r="DJ65" s="75" t="str">
        <f t="shared" ca="1" si="54"/>
        <v/>
      </c>
      <c r="DK65" s="75" t="str">
        <f t="shared" ca="1" si="54"/>
        <v/>
      </c>
      <c r="DL65" s="75" t="str">
        <f t="shared" ref="DL65:EA80" ca="1" si="55">IF($A65="", "", IF(INDIRECT($A65&amp; "!"&amp; DL$2)="", "", INDIRECT($A65&amp; "!"&amp; DL$2)))</f>
        <v/>
      </c>
      <c r="DM65" s="75" t="str">
        <f t="shared" ca="1" si="55"/>
        <v/>
      </c>
      <c r="DN65" s="75" t="str">
        <f t="shared" ca="1" si="55"/>
        <v/>
      </c>
      <c r="DO65" s="75" t="str">
        <f t="shared" ca="1" si="55"/>
        <v/>
      </c>
      <c r="DP65" s="75" t="str">
        <f t="shared" ca="1" si="55"/>
        <v/>
      </c>
      <c r="DQ65" s="75" t="str">
        <f t="shared" ca="1" si="55"/>
        <v/>
      </c>
      <c r="DR65" s="75" t="str">
        <f t="shared" ca="1" si="55"/>
        <v/>
      </c>
      <c r="DS65" s="74" t="str">
        <f t="shared" ca="1" si="55"/>
        <v/>
      </c>
      <c r="DT65" s="74" t="str">
        <f t="shared" ca="1" si="55"/>
        <v/>
      </c>
      <c r="DU65" s="74" t="str">
        <f t="shared" ca="1" si="55"/>
        <v/>
      </c>
      <c r="DV65" s="74" t="str">
        <f t="shared" ca="1" si="55"/>
        <v/>
      </c>
      <c r="DW65" s="74" t="str">
        <f t="shared" ca="1" si="55"/>
        <v/>
      </c>
      <c r="DX65" s="74" t="str">
        <f t="shared" ca="1" si="55"/>
        <v/>
      </c>
      <c r="DY65" s="74" t="str">
        <f t="shared" ca="1" si="55"/>
        <v/>
      </c>
      <c r="DZ65" s="74" t="str">
        <f t="shared" ca="1" si="55"/>
        <v/>
      </c>
      <c r="EA65" s="74" t="str">
        <f t="shared" ca="1" si="55"/>
        <v/>
      </c>
      <c r="EB65" s="74" t="str">
        <f t="shared" ref="EB65:EQ81" ca="1" si="56">IF($A65="", "", IF(INDIRECT($A65&amp; "!"&amp; EB$2)="", "", INDIRECT($A65&amp; "!"&amp; EB$2)))</f>
        <v/>
      </c>
      <c r="EC65" s="74" t="str">
        <f t="shared" ca="1" si="56"/>
        <v/>
      </c>
      <c r="ED65" s="74" t="str">
        <f t="shared" ca="1" si="56"/>
        <v/>
      </c>
      <c r="EE65" s="74" t="str">
        <f t="shared" ca="1" si="56"/>
        <v/>
      </c>
      <c r="EF65" s="74" t="str">
        <f t="shared" ca="1" si="56"/>
        <v/>
      </c>
      <c r="EG65" s="74" t="str">
        <f t="shared" ca="1" si="56"/>
        <v/>
      </c>
      <c r="EH65" s="74" t="str">
        <f t="shared" ca="1" si="56"/>
        <v/>
      </c>
      <c r="EI65" s="74" t="str">
        <f t="shared" ca="1" si="56"/>
        <v/>
      </c>
      <c r="EJ65" s="74" t="str">
        <f t="shared" ca="1" si="56"/>
        <v/>
      </c>
      <c r="EK65" s="75" t="str">
        <f t="shared" ca="1" si="56"/>
        <v/>
      </c>
      <c r="EL65" s="75" t="str">
        <f t="shared" ca="1" si="56"/>
        <v/>
      </c>
      <c r="EM65" s="75" t="str">
        <f t="shared" ca="1" si="56"/>
        <v/>
      </c>
      <c r="EN65" s="75" t="str">
        <f t="shared" ca="1" si="56"/>
        <v/>
      </c>
      <c r="EO65" s="75" t="str">
        <f t="shared" ca="1" si="56"/>
        <v/>
      </c>
      <c r="EP65" s="75" t="str">
        <f t="shared" ca="1" si="56"/>
        <v/>
      </c>
      <c r="EQ65" s="75" t="str">
        <f t="shared" ca="1" si="56"/>
        <v/>
      </c>
      <c r="ER65" s="75" t="str">
        <f t="shared" ref="ER65:FG81" ca="1" si="57">IF($A65="", "", IF(INDIRECT($A65&amp; "!"&amp; ER$2)="", "", INDIRECT($A65&amp; "!"&amp; ER$2)))</f>
        <v/>
      </c>
      <c r="ES65" s="75" t="str">
        <f t="shared" ca="1" si="57"/>
        <v/>
      </c>
      <c r="ET65" s="75" t="str">
        <f t="shared" ca="1" si="57"/>
        <v/>
      </c>
      <c r="EU65" s="75" t="str">
        <f t="shared" ca="1" si="57"/>
        <v/>
      </c>
      <c r="EV65" s="75" t="str">
        <f t="shared" ca="1" si="57"/>
        <v/>
      </c>
      <c r="EW65" s="75" t="str">
        <f t="shared" ca="1" si="57"/>
        <v/>
      </c>
      <c r="EX65" s="75" t="str">
        <f t="shared" ca="1" si="57"/>
        <v/>
      </c>
      <c r="EY65" s="75" t="str">
        <f t="shared" ca="1" si="57"/>
        <v/>
      </c>
      <c r="EZ65" s="75" t="str">
        <f t="shared" ca="1" si="57"/>
        <v/>
      </c>
      <c r="FA65" s="75" t="str">
        <f t="shared" ca="1" si="57"/>
        <v/>
      </c>
      <c r="FB65" s="75" t="str">
        <f t="shared" ca="1" si="57"/>
        <v/>
      </c>
      <c r="FC65" s="76" t="str">
        <f t="shared" ca="1" si="57"/>
        <v/>
      </c>
      <c r="FD65" s="74" t="str">
        <f t="shared" ca="1" si="57"/>
        <v/>
      </c>
      <c r="FE65" s="74" t="str">
        <f t="shared" ca="1" si="57"/>
        <v/>
      </c>
      <c r="FF65" s="74" t="str">
        <f t="shared" ca="1" si="57"/>
        <v/>
      </c>
      <c r="FG65" s="74" t="str">
        <f t="shared" ca="1" si="57"/>
        <v/>
      </c>
      <c r="FH65" s="74" t="str">
        <f t="shared" ref="FG65:FT83" ca="1" si="58">IF($A65="", "", IF(INDIRECT($A65&amp; "!"&amp; FH$2)="", "", INDIRECT($A65&amp; "!"&amp; FH$2)))</f>
        <v/>
      </c>
      <c r="FI65" s="74" t="str">
        <f t="shared" ca="1" si="58"/>
        <v/>
      </c>
      <c r="FJ65" s="74" t="str">
        <f t="shared" ca="1" si="58"/>
        <v/>
      </c>
      <c r="FK65" s="74" t="str">
        <f t="shared" ca="1" si="58"/>
        <v/>
      </c>
      <c r="FL65" s="74" t="str">
        <f t="shared" ca="1" si="58"/>
        <v/>
      </c>
      <c r="FM65" s="74" t="str">
        <f t="shared" ca="1" si="58"/>
        <v/>
      </c>
      <c r="FN65" s="74" t="str">
        <f t="shared" ca="1" si="58"/>
        <v/>
      </c>
      <c r="FO65" s="74" t="str">
        <f t="shared" ca="1" si="58"/>
        <v/>
      </c>
      <c r="FP65" s="74" t="str">
        <f t="shared" ca="1" si="58"/>
        <v/>
      </c>
      <c r="FQ65" s="74" t="str">
        <f t="shared" ca="1" si="58"/>
        <v/>
      </c>
      <c r="FR65" s="74" t="str">
        <f t="shared" ca="1" si="58"/>
        <v/>
      </c>
      <c r="FS65" s="74" t="str">
        <f t="shared" ca="1" si="58"/>
        <v/>
      </c>
      <c r="FT65" s="74" t="str">
        <f t="shared" ca="1" si="58"/>
        <v/>
      </c>
    </row>
    <row r="66" spans="1:176" x14ac:dyDescent="0.35">
      <c r="A66" s="74"/>
      <c r="B66" s="74" t="str">
        <f t="shared" ca="1" si="49"/>
        <v/>
      </c>
      <c r="C66" s="74" t="str">
        <f t="shared" ca="1" si="49"/>
        <v/>
      </c>
      <c r="D66" s="74" t="str">
        <f t="shared" ca="1" si="49"/>
        <v/>
      </c>
      <c r="E66" s="74" t="str">
        <f t="shared" ca="1" si="49"/>
        <v/>
      </c>
      <c r="F66" t="str">
        <f t="shared" ca="1" si="13"/>
        <v/>
      </c>
      <c r="G66" t="str">
        <f t="shared" ca="1" si="13"/>
        <v/>
      </c>
      <c r="H66" t="str">
        <f t="shared" ca="1" si="13"/>
        <v/>
      </c>
      <c r="I66" s="74" t="str">
        <f t="shared" ca="1" si="49"/>
        <v/>
      </c>
      <c r="J66" s="74" t="str">
        <f t="shared" ca="1" si="49"/>
        <v/>
      </c>
      <c r="K66" s="74" t="str">
        <f t="shared" ca="1" si="49"/>
        <v/>
      </c>
      <c r="L66" s="74" t="str">
        <f t="shared" ca="1" si="49"/>
        <v/>
      </c>
      <c r="M66" s="74" t="str">
        <f t="shared" ca="1" si="49"/>
        <v/>
      </c>
      <c r="N66" s="74" t="str">
        <f t="shared" ca="1" si="49"/>
        <v/>
      </c>
      <c r="O66" s="74" t="str">
        <f t="shared" ca="1" si="49"/>
        <v/>
      </c>
      <c r="P66" s="74" t="str">
        <f t="shared" ca="1" si="49"/>
        <v/>
      </c>
      <c r="Q66" s="74" t="str">
        <f t="shared" ca="1" si="49"/>
        <v/>
      </c>
      <c r="R66" s="74" t="str">
        <f t="shared" ca="1" si="49"/>
        <v/>
      </c>
      <c r="S66" s="74" t="str">
        <f t="shared" ca="1" si="49"/>
        <v/>
      </c>
      <c r="T66" s="74" t="str">
        <f t="shared" ca="1" si="48"/>
        <v/>
      </c>
      <c r="U66" s="74" t="str">
        <f t="shared" ca="1" si="48"/>
        <v/>
      </c>
      <c r="V66" s="74" t="str">
        <f t="shared" ca="1" si="48"/>
        <v/>
      </c>
      <c r="W66" s="74" t="str">
        <f t="shared" ca="1" si="48"/>
        <v/>
      </c>
      <c r="X66" s="74" t="str">
        <f t="shared" ca="1" si="48"/>
        <v/>
      </c>
      <c r="Y66" s="74" t="str">
        <f t="shared" ca="1" si="48"/>
        <v/>
      </c>
      <c r="Z66" s="74" t="str">
        <f t="shared" ca="1" si="48"/>
        <v/>
      </c>
      <c r="AA66" s="74" t="str">
        <f t="shared" ca="1" si="48"/>
        <v/>
      </c>
      <c r="AB66" s="75" t="str">
        <f t="shared" ca="1" si="48"/>
        <v/>
      </c>
      <c r="AC66" s="75" t="str">
        <f t="shared" ca="1" si="48"/>
        <v/>
      </c>
      <c r="AD66" s="75" t="str">
        <f t="shared" ca="1" si="48"/>
        <v/>
      </c>
      <c r="AE66" s="75" t="str">
        <f t="shared" ca="1" si="48"/>
        <v/>
      </c>
      <c r="AF66" s="75" t="str">
        <f t="shared" ca="1" si="48"/>
        <v/>
      </c>
      <c r="AG66" s="75" t="str">
        <f t="shared" ca="1" si="48"/>
        <v/>
      </c>
      <c r="AH66" s="75" t="str">
        <f t="shared" ca="1" si="48"/>
        <v/>
      </c>
      <c r="AI66" s="75" t="str">
        <f t="shared" ca="1" si="48"/>
        <v/>
      </c>
      <c r="AJ66" s="75" t="str">
        <f t="shared" ca="1" si="50"/>
        <v/>
      </c>
      <c r="AK66" s="75" t="str">
        <f t="shared" ca="1" si="50"/>
        <v/>
      </c>
      <c r="AL66" s="75" t="str">
        <f t="shared" ca="1" si="50"/>
        <v/>
      </c>
      <c r="AM66" s="75" t="str">
        <f t="shared" ca="1" si="50"/>
        <v/>
      </c>
      <c r="AN66" s="75" t="str">
        <f t="shared" ca="1" si="50"/>
        <v/>
      </c>
      <c r="AO66" s="75" t="str">
        <f t="shared" ca="1" si="50"/>
        <v/>
      </c>
      <c r="AP66" s="75" t="str">
        <f t="shared" ca="1" si="50"/>
        <v/>
      </c>
      <c r="AQ66" s="75" t="str">
        <f t="shared" ca="1" si="50"/>
        <v/>
      </c>
      <c r="AR66" s="75" t="str">
        <f t="shared" ca="1" si="50"/>
        <v/>
      </c>
      <c r="AS66" s="75" t="str">
        <f t="shared" ca="1" si="50"/>
        <v/>
      </c>
      <c r="AT66" s="75" t="str">
        <f t="shared" ca="1" si="50"/>
        <v/>
      </c>
      <c r="AU66" s="74" t="str">
        <f t="shared" ca="1" si="50"/>
        <v/>
      </c>
      <c r="AV66" s="74" t="str">
        <f t="shared" ca="1" si="50"/>
        <v/>
      </c>
      <c r="AW66" s="74" t="str">
        <f t="shared" ca="1" si="50"/>
        <v/>
      </c>
      <c r="AX66" s="74" t="str">
        <f t="shared" ca="1" si="50"/>
        <v/>
      </c>
      <c r="AY66" s="74" t="str">
        <f t="shared" ca="1" si="50"/>
        <v/>
      </c>
      <c r="AZ66" s="74" t="str">
        <f t="shared" ca="1" si="51"/>
        <v/>
      </c>
      <c r="BA66" s="74" t="str">
        <f t="shared" ca="1" si="51"/>
        <v/>
      </c>
      <c r="BB66" s="74" t="str">
        <f t="shared" ca="1" si="51"/>
        <v/>
      </c>
      <c r="BC66" s="74" t="str">
        <f t="shared" ca="1" si="51"/>
        <v/>
      </c>
      <c r="BD66" s="74" t="str">
        <f t="shared" ca="1" si="51"/>
        <v/>
      </c>
      <c r="BE66" s="74" t="str">
        <f t="shared" ca="1" si="51"/>
        <v/>
      </c>
      <c r="BF66" s="74" t="str">
        <f t="shared" ca="1" si="51"/>
        <v/>
      </c>
      <c r="BG66" s="74" t="str">
        <f t="shared" ca="1" si="51"/>
        <v/>
      </c>
      <c r="BH66" s="74" t="str">
        <f t="shared" ca="1" si="51"/>
        <v/>
      </c>
      <c r="BI66" s="74" t="str">
        <f t="shared" ca="1" si="51"/>
        <v/>
      </c>
      <c r="BJ66" s="74" t="str">
        <f t="shared" ca="1" si="51"/>
        <v/>
      </c>
      <c r="BK66" s="74" t="str">
        <f t="shared" ca="1" si="51"/>
        <v/>
      </c>
      <c r="BL66" s="74" t="str">
        <f t="shared" ca="1" si="51"/>
        <v/>
      </c>
      <c r="BM66" s="74" t="str">
        <f t="shared" ca="1" si="51"/>
        <v/>
      </c>
      <c r="BN66" s="75" t="str">
        <f t="shared" ca="1" si="51"/>
        <v/>
      </c>
      <c r="BO66" s="75" t="str">
        <f t="shared" ca="1" si="51"/>
        <v/>
      </c>
      <c r="BP66" s="75" t="str">
        <f t="shared" ca="1" si="52"/>
        <v/>
      </c>
      <c r="BQ66" s="75" t="str">
        <f t="shared" ca="1" si="52"/>
        <v/>
      </c>
      <c r="BR66" s="75" t="str">
        <f t="shared" ca="1" si="52"/>
        <v/>
      </c>
      <c r="BS66" s="75" t="str">
        <f t="shared" ca="1" si="52"/>
        <v/>
      </c>
      <c r="BT66" s="75" t="str">
        <f t="shared" ca="1" si="52"/>
        <v/>
      </c>
      <c r="BU66" s="75" t="str">
        <f t="shared" ca="1" si="52"/>
        <v/>
      </c>
      <c r="BV66" s="75" t="str">
        <f t="shared" ca="1" si="52"/>
        <v/>
      </c>
      <c r="BW66" s="75" t="str">
        <f t="shared" ca="1" si="52"/>
        <v/>
      </c>
      <c r="BX66" s="75" t="str">
        <f t="shared" ca="1" si="52"/>
        <v/>
      </c>
      <c r="BY66" s="75" t="str">
        <f t="shared" ca="1" si="52"/>
        <v/>
      </c>
      <c r="BZ66" s="75" t="str">
        <f t="shared" ca="1" si="52"/>
        <v/>
      </c>
      <c r="CA66" s="75" t="str">
        <f t="shared" ca="1" si="52"/>
        <v/>
      </c>
      <c r="CB66" s="75" t="str">
        <f t="shared" ca="1" si="52"/>
        <v/>
      </c>
      <c r="CC66" s="75" t="str">
        <f t="shared" ca="1" si="52"/>
        <v/>
      </c>
      <c r="CD66" s="75" t="str">
        <f t="shared" ca="1" si="52"/>
        <v/>
      </c>
      <c r="CE66" s="75" t="str">
        <f t="shared" ca="1" si="52"/>
        <v/>
      </c>
      <c r="CF66" s="75" t="str">
        <f t="shared" ca="1" si="53"/>
        <v/>
      </c>
      <c r="CG66" s="74" t="str">
        <f t="shared" ca="1" si="53"/>
        <v/>
      </c>
      <c r="CH66" s="74" t="str">
        <f t="shared" ca="1" si="53"/>
        <v/>
      </c>
      <c r="CI66" s="74" t="str">
        <f t="shared" ca="1" si="53"/>
        <v/>
      </c>
      <c r="CJ66" s="74" t="str">
        <f t="shared" ca="1" si="53"/>
        <v/>
      </c>
      <c r="CK66" s="74" t="str">
        <f t="shared" ca="1" si="53"/>
        <v/>
      </c>
      <c r="CL66" s="74" t="str">
        <f t="shared" ca="1" si="53"/>
        <v/>
      </c>
      <c r="CM66" s="74" t="str">
        <f t="shared" ca="1" si="53"/>
        <v/>
      </c>
      <c r="CN66" s="74" t="str">
        <f t="shared" ca="1" si="53"/>
        <v/>
      </c>
      <c r="CO66" s="74" t="str">
        <f t="shared" ca="1" si="53"/>
        <v/>
      </c>
      <c r="CP66" s="74" t="str">
        <f t="shared" ca="1" si="53"/>
        <v/>
      </c>
      <c r="CQ66" s="74" t="str">
        <f t="shared" ca="1" si="53"/>
        <v/>
      </c>
      <c r="CR66" s="74" t="str">
        <f t="shared" ca="1" si="53"/>
        <v/>
      </c>
      <c r="CS66" s="74" t="str">
        <f t="shared" ca="1" si="53"/>
        <v/>
      </c>
      <c r="CT66" s="74" t="str">
        <f t="shared" ca="1" si="53"/>
        <v/>
      </c>
      <c r="CU66" s="74" t="str">
        <f t="shared" ca="1" si="53"/>
        <v/>
      </c>
      <c r="CV66" s="74" t="str">
        <f t="shared" ca="1" si="54"/>
        <v/>
      </c>
      <c r="CW66" s="74" t="str">
        <f t="shared" ca="1" si="54"/>
        <v/>
      </c>
      <c r="CX66" s="74" t="str">
        <f t="shared" ca="1" si="54"/>
        <v/>
      </c>
      <c r="CY66" s="74" t="str">
        <f t="shared" ca="1" si="54"/>
        <v/>
      </c>
      <c r="CZ66" s="75" t="str">
        <f t="shared" ca="1" si="54"/>
        <v/>
      </c>
      <c r="DA66" s="75" t="str">
        <f t="shared" ca="1" si="54"/>
        <v/>
      </c>
      <c r="DB66" s="75" t="str">
        <f t="shared" ca="1" si="54"/>
        <v/>
      </c>
      <c r="DC66" s="75" t="str">
        <f t="shared" ca="1" si="54"/>
        <v/>
      </c>
      <c r="DD66" s="75" t="str">
        <f t="shared" ca="1" si="54"/>
        <v/>
      </c>
      <c r="DE66" s="75" t="str">
        <f t="shared" ca="1" si="54"/>
        <v/>
      </c>
      <c r="DF66" s="75" t="str">
        <f t="shared" ca="1" si="54"/>
        <v/>
      </c>
      <c r="DG66" s="75" t="str">
        <f t="shared" ca="1" si="54"/>
        <v/>
      </c>
      <c r="DH66" s="75" t="str">
        <f t="shared" ca="1" si="54"/>
        <v/>
      </c>
      <c r="DI66" s="75" t="str">
        <f t="shared" ca="1" si="54"/>
        <v/>
      </c>
      <c r="DJ66" s="75" t="str">
        <f t="shared" ca="1" si="54"/>
        <v/>
      </c>
      <c r="DK66" s="75" t="str">
        <f t="shared" ca="1" si="54"/>
        <v/>
      </c>
      <c r="DL66" s="75" t="str">
        <f t="shared" ca="1" si="55"/>
        <v/>
      </c>
      <c r="DM66" s="75" t="str">
        <f t="shared" ca="1" si="55"/>
        <v/>
      </c>
      <c r="DN66" s="75" t="str">
        <f t="shared" ca="1" si="55"/>
        <v/>
      </c>
      <c r="DO66" s="75" t="str">
        <f t="shared" ca="1" si="55"/>
        <v/>
      </c>
      <c r="DP66" s="75" t="str">
        <f t="shared" ca="1" si="55"/>
        <v/>
      </c>
      <c r="DQ66" s="75" t="str">
        <f t="shared" ca="1" si="55"/>
        <v/>
      </c>
      <c r="DR66" s="75" t="str">
        <f t="shared" ca="1" si="55"/>
        <v/>
      </c>
      <c r="DS66" s="74" t="str">
        <f t="shared" ca="1" si="55"/>
        <v/>
      </c>
      <c r="DT66" s="74" t="str">
        <f t="shared" ca="1" si="55"/>
        <v/>
      </c>
      <c r="DU66" s="74" t="str">
        <f t="shared" ca="1" si="55"/>
        <v/>
      </c>
      <c r="DV66" s="74" t="str">
        <f t="shared" ca="1" si="55"/>
        <v/>
      </c>
      <c r="DW66" s="74" t="str">
        <f t="shared" ca="1" si="55"/>
        <v/>
      </c>
      <c r="DX66" s="74" t="str">
        <f t="shared" ca="1" si="55"/>
        <v/>
      </c>
      <c r="DY66" s="74" t="str">
        <f t="shared" ca="1" si="55"/>
        <v/>
      </c>
      <c r="DZ66" s="74" t="str">
        <f t="shared" ca="1" si="55"/>
        <v/>
      </c>
      <c r="EA66" s="74" t="str">
        <f t="shared" ca="1" si="55"/>
        <v/>
      </c>
      <c r="EB66" s="74" t="str">
        <f t="shared" ca="1" si="56"/>
        <v/>
      </c>
      <c r="EC66" s="74" t="str">
        <f t="shared" ca="1" si="56"/>
        <v/>
      </c>
      <c r="ED66" s="74" t="str">
        <f t="shared" ca="1" si="56"/>
        <v/>
      </c>
      <c r="EE66" s="74" t="str">
        <f t="shared" ca="1" si="56"/>
        <v/>
      </c>
      <c r="EF66" s="74" t="str">
        <f t="shared" ca="1" si="56"/>
        <v/>
      </c>
      <c r="EG66" s="74" t="str">
        <f t="shared" ca="1" si="56"/>
        <v/>
      </c>
      <c r="EH66" s="74" t="str">
        <f t="shared" ca="1" si="56"/>
        <v/>
      </c>
      <c r="EI66" s="74" t="str">
        <f t="shared" ca="1" si="56"/>
        <v/>
      </c>
      <c r="EJ66" s="74" t="str">
        <f t="shared" ca="1" si="56"/>
        <v/>
      </c>
      <c r="EK66" s="75" t="str">
        <f t="shared" ca="1" si="56"/>
        <v/>
      </c>
      <c r="EL66" s="75" t="str">
        <f t="shared" ca="1" si="56"/>
        <v/>
      </c>
      <c r="EM66" s="75" t="str">
        <f t="shared" ca="1" si="56"/>
        <v/>
      </c>
      <c r="EN66" s="75" t="str">
        <f t="shared" ca="1" si="56"/>
        <v/>
      </c>
      <c r="EO66" s="75" t="str">
        <f t="shared" ca="1" si="56"/>
        <v/>
      </c>
      <c r="EP66" s="75" t="str">
        <f t="shared" ca="1" si="56"/>
        <v/>
      </c>
      <c r="EQ66" s="75" t="str">
        <f t="shared" ca="1" si="56"/>
        <v/>
      </c>
      <c r="ER66" s="75" t="str">
        <f t="shared" ca="1" si="57"/>
        <v/>
      </c>
      <c r="ES66" s="75" t="str">
        <f t="shared" ca="1" si="57"/>
        <v/>
      </c>
      <c r="ET66" s="75" t="str">
        <f t="shared" ca="1" si="57"/>
        <v/>
      </c>
      <c r="EU66" s="75" t="str">
        <f t="shared" ca="1" si="57"/>
        <v/>
      </c>
      <c r="EV66" s="75" t="str">
        <f t="shared" ca="1" si="57"/>
        <v/>
      </c>
      <c r="EW66" s="75" t="str">
        <f t="shared" ca="1" si="57"/>
        <v/>
      </c>
      <c r="EX66" s="75" t="str">
        <f t="shared" ca="1" si="57"/>
        <v/>
      </c>
      <c r="EY66" s="75" t="str">
        <f t="shared" ca="1" si="57"/>
        <v/>
      </c>
      <c r="EZ66" s="75" t="str">
        <f t="shared" ca="1" si="57"/>
        <v/>
      </c>
      <c r="FA66" s="75" t="str">
        <f t="shared" ca="1" si="57"/>
        <v/>
      </c>
      <c r="FB66" s="75" t="str">
        <f t="shared" ca="1" si="57"/>
        <v/>
      </c>
      <c r="FC66" s="76" t="str">
        <f t="shared" ca="1" si="57"/>
        <v/>
      </c>
      <c r="FD66" s="74" t="str">
        <f t="shared" ca="1" si="57"/>
        <v/>
      </c>
      <c r="FE66" s="74" t="str">
        <f t="shared" ca="1" si="57"/>
        <v/>
      </c>
      <c r="FF66" s="74" t="str">
        <f t="shared" ca="1" si="57"/>
        <v/>
      </c>
      <c r="FG66" s="74" t="str">
        <f t="shared" ca="1" si="58"/>
        <v/>
      </c>
      <c r="FH66" s="74" t="str">
        <f t="shared" ca="1" si="58"/>
        <v/>
      </c>
      <c r="FI66" s="74" t="str">
        <f t="shared" ca="1" si="58"/>
        <v/>
      </c>
      <c r="FJ66" s="74" t="str">
        <f t="shared" ca="1" si="58"/>
        <v/>
      </c>
      <c r="FK66" s="74" t="str">
        <f t="shared" ca="1" si="58"/>
        <v/>
      </c>
      <c r="FL66" s="74" t="str">
        <f t="shared" ca="1" si="58"/>
        <v/>
      </c>
      <c r="FM66" s="74" t="str">
        <f t="shared" ca="1" si="58"/>
        <v/>
      </c>
      <c r="FN66" s="74" t="str">
        <f t="shared" ca="1" si="58"/>
        <v/>
      </c>
      <c r="FO66" s="74" t="str">
        <f t="shared" ca="1" si="58"/>
        <v/>
      </c>
      <c r="FP66" s="74" t="str">
        <f t="shared" ca="1" si="58"/>
        <v/>
      </c>
      <c r="FQ66" s="74" t="str">
        <f t="shared" ca="1" si="58"/>
        <v/>
      </c>
      <c r="FR66" s="74" t="str">
        <f t="shared" ca="1" si="58"/>
        <v/>
      </c>
      <c r="FS66" s="74" t="str">
        <f t="shared" ca="1" si="58"/>
        <v/>
      </c>
      <c r="FT66" s="74" t="str">
        <f t="shared" ca="1" si="58"/>
        <v/>
      </c>
    </row>
    <row r="67" spans="1:176" x14ac:dyDescent="0.35">
      <c r="A67" s="74"/>
      <c r="B67" s="74" t="str">
        <f t="shared" ca="1" si="49"/>
        <v/>
      </c>
      <c r="C67" s="74" t="str">
        <f t="shared" ca="1" si="49"/>
        <v/>
      </c>
      <c r="D67" s="74" t="str">
        <f t="shared" ca="1" si="49"/>
        <v/>
      </c>
      <c r="E67" s="74" t="str">
        <f t="shared" ca="1" si="49"/>
        <v/>
      </c>
      <c r="F67" t="str">
        <f t="shared" ca="1" si="13"/>
        <v/>
      </c>
      <c r="G67" t="str">
        <f t="shared" ca="1" si="13"/>
        <v/>
      </c>
      <c r="H67" t="str">
        <f t="shared" ca="1" si="13"/>
        <v/>
      </c>
      <c r="I67" s="74" t="str">
        <f t="shared" ca="1" si="49"/>
        <v/>
      </c>
      <c r="J67" s="74" t="str">
        <f t="shared" ca="1" si="49"/>
        <v/>
      </c>
      <c r="K67" s="74" t="str">
        <f t="shared" ca="1" si="49"/>
        <v/>
      </c>
      <c r="L67" s="74" t="str">
        <f t="shared" ca="1" si="49"/>
        <v/>
      </c>
      <c r="M67" s="74" t="str">
        <f t="shared" ca="1" si="49"/>
        <v/>
      </c>
      <c r="N67" s="74" t="str">
        <f t="shared" ca="1" si="49"/>
        <v/>
      </c>
      <c r="O67" s="74" t="str">
        <f t="shared" ca="1" si="49"/>
        <v/>
      </c>
      <c r="P67" s="74" t="str">
        <f t="shared" ca="1" si="49"/>
        <v/>
      </c>
      <c r="Q67" s="74" t="str">
        <f t="shared" ca="1" si="49"/>
        <v/>
      </c>
      <c r="R67" s="74" t="str">
        <f t="shared" ca="1" si="49"/>
        <v/>
      </c>
      <c r="S67" s="74" t="str">
        <f t="shared" ref="S67:AH83" ca="1" si="59">IF($A67="", "", IF(INDIRECT($A67&amp; "!"&amp; S$2)="", "", INDIRECT($A67&amp; "!"&amp; S$2)))</f>
        <v/>
      </c>
      <c r="T67" s="74" t="str">
        <f t="shared" ca="1" si="59"/>
        <v/>
      </c>
      <c r="U67" s="74" t="str">
        <f t="shared" ca="1" si="59"/>
        <v/>
      </c>
      <c r="V67" s="74" t="str">
        <f t="shared" ca="1" si="59"/>
        <v/>
      </c>
      <c r="W67" s="74" t="str">
        <f t="shared" ca="1" si="59"/>
        <v/>
      </c>
      <c r="X67" s="74" t="str">
        <f t="shared" ca="1" si="59"/>
        <v/>
      </c>
      <c r="Y67" s="74" t="str">
        <f t="shared" ca="1" si="59"/>
        <v/>
      </c>
      <c r="Z67" s="74" t="str">
        <f t="shared" ca="1" si="59"/>
        <v/>
      </c>
      <c r="AA67" s="74" t="str">
        <f t="shared" ca="1" si="59"/>
        <v/>
      </c>
      <c r="AB67" s="75" t="str">
        <f t="shared" ca="1" si="59"/>
        <v/>
      </c>
      <c r="AC67" s="75" t="str">
        <f t="shared" ca="1" si="59"/>
        <v/>
      </c>
      <c r="AD67" s="75" t="str">
        <f t="shared" ca="1" si="59"/>
        <v/>
      </c>
      <c r="AE67" s="75" t="str">
        <f t="shared" ca="1" si="59"/>
        <v/>
      </c>
      <c r="AF67" s="75" t="str">
        <f t="shared" ca="1" si="59"/>
        <v/>
      </c>
      <c r="AG67" s="75" t="str">
        <f t="shared" ca="1" si="59"/>
        <v/>
      </c>
      <c r="AH67" s="75" t="str">
        <f t="shared" ca="1" si="59"/>
        <v/>
      </c>
      <c r="AI67" s="75" t="str">
        <f t="shared" ref="AI67:AX82" ca="1" si="60">IF($A67="", "", IF(INDIRECT($A67&amp; "!"&amp; AI$2)="", "", INDIRECT($A67&amp; "!"&amp; AI$2)))</f>
        <v/>
      </c>
      <c r="AJ67" s="75" t="str">
        <f t="shared" ca="1" si="60"/>
        <v/>
      </c>
      <c r="AK67" s="75" t="str">
        <f t="shared" ca="1" si="60"/>
        <v/>
      </c>
      <c r="AL67" s="75" t="str">
        <f t="shared" ca="1" si="60"/>
        <v/>
      </c>
      <c r="AM67" s="75" t="str">
        <f t="shared" ca="1" si="60"/>
        <v/>
      </c>
      <c r="AN67" s="75" t="str">
        <f t="shared" ca="1" si="60"/>
        <v/>
      </c>
      <c r="AO67" s="75" t="str">
        <f t="shared" ca="1" si="60"/>
        <v/>
      </c>
      <c r="AP67" s="75" t="str">
        <f t="shared" ca="1" si="60"/>
        <v/>
      </c>
      <c r="AQ67" s="75" t="str">
        <f t="shared" ca="1" si="60"/>
        <v/>
      </c>
      <c r="AR67" s="75" t="str">
        <f t="shared" ca="1" si="60"/>
        <v/>
      </c>
      <c r="AS67" s="75" t="str">
        <f t="shared" ca="1" si="60"/>
        <v/>
      </c>
      <c r="AT67" s="75" t="str">
        <f t="shared" ca="1" si="60"/>
        <v/>
      </c>
      <c r="AU67" s="74" t="str">
        <f t="shared" ca="1" si="60"/>
        <v/>
      </c>
      <c r="AV67" s="74" t="str">
        <f t="shared" ca="1" si="60"/>
        <v/>
      </c>
      <c r="AW67" s="74" t="str">
        <f t="shared" ca="1" si="60"/>
        <v/>
      </c>
      <c r="AX67" s="74" t="str">
        <f t="shared" ca="1" si="60"/>
        <v/>
      </c>
      <c r="AY67" s="74" t="str">
        <f t="shared" ref="AY67:AY81" ca="1" si="61">IF($A67="", "", IF(INDIRECT($A67&amp; "!"&amp; AY$2)="", "", INDIRECT($A67&amp; "!"&amp; AY$2)))</f>
        <v/>
      </c>
      <c r="AZ67" s="74" t="str">
        <f t="shared" ca="1" si="51"/>
        <v/>
      </c>
      <c r="BA67" s="74" t="str">
        <f t="shared" ca="1" si="51"/>
        <v/>
      </c>
      <c r="BB67" s="74" t="str">
        <f t="shared" ca="1" si="51"/>
        <v/>
      </c>
      <c r="BC67" s="74" t="str">
        <f t="shared" ca="1" si="51"/>
        <v/>
      </c>
      <c r="BD67" s="74" t="str">
        <f t="shared" ca="1" si="51"/>
        <v/>
      </c>
      <c r="BE67" s="74" t="str">
        <f t="shared" ca="1" si="51"/>
        <v/>
      </c>
      <c r="BF67" s="74" t="str">
        <f t="shared" ca="1" si="51"/>
        <v/>
      </c>
      <c r="BG67" s="74" t="str">
        <f t="shared" ca="1" si="51"/>
        <v/>
      </c>
      <c r="BH67" s="74" t="str">
        <f t="shared" ca="1" si="51"/>
        <v/>
      </c>
      <c r="BI67" s="74" t="str">
        <f t="shared" ca="1" si="51"/>
        <v/>
      </c>
      <c r="BJ67" s="74" t="str">
        <f t="shared" ca="1" si="51"/>
        <v/>
      </c>
      <c r="BK67" s="74" t="str">
        <f t="shared" ca="1" si="51"/>
        <v/>
      </c>
      <c r="BL67" s="74" t="str">
        <f t="shared" ca="1" si="51"/>
        <v/>
      </c>
      <c r="BM67" s="74" t="str">
        <f t="shared" ca="1" si="51"/>
        <v/>
      </c>
      <c r="BN67" s="75" t="str">
        <f t="shared" ca="1" si="51"/>
        <v/>
      </c>
      <c r="BO67" s="75" t="str">
        <f t="shared" ca="1" si="51"/>
        <v/>
      </c>
      <c r="BP67" s="75" t="str">
        <f t="shared" ca="1" si="52"/>
        <v/>
      </c>
      <c r="BQ67" s="75" t="str">
        <f t="shared" ca="1" si="52"/>
        <v/>
      </c>
      <c r="BR67" s="75" t="str">
        <f t="shared" ca="1" si="52"/>
        <v/>
      </c>
      <c r="BS67" s="75" t="str">
        <f t="shared" ca="1" si="52"/>
        <v/>
      </c>
      <c r="BT67" s="75" t="str">
        <f t="shared" ca="1" si="52"/>
        <v/>
      </c>
      <c r="BU67" s="75" t="str">
        <f t="shared" ca="1" si="52"/>
        <v/>
      </c>
      <c r="BV67" s="75" t="str">
        <f t="shared" ca="1" si="52"/>
        <v/>
      </c>
      <c r="BW67" s="75" t="str">
        <f t="shared" ca="1" si="52"/>
        <v/>
      </c>
      <c r="BX67" s="75" t="str">
        <f t="shared" ca="1" si="52"/>
        <v/>
      </c>
      <c r="BY67" s="75" t="str">
        <f t="shared" ca="1" si="52"/>
        <v/>
      </c>
      <c r="BZ67" s="75" t="str">
        <f t="shared" ca="1" si="52"/>
        <v/>
      </c>
      <c r="CA67" s="75" t="str">
        <f t="shared" ca="1" si="52"/>
        <v/>
      </c>
      <c r="CB67" s="75" t="str">
        <f t="shared" ca="1" si="52"/>
        <v/>
      </c>
      <c r="CC67" s="75" t="str">
        <f t="shared" ca="1" si="52"/>
        <v/>
      </c>
      <c r="CD67" s="75" t="str">
        <f t="shared" ca="1" si="52"/>
        <v/>
      </c>
      <c r="CE67" s="75" t="str">
        <f t="shared" ca="1" si="52"/>
        <v/>
      </c>
      <c r="CF67" s="75" t="str">
        <f t="shared" ca="1" si="53"/>
        <v/>
      </c>
      <c r="CG67" s="74" t="str">
        <f t="shared" ca="1" si="53"/>
        <v/>
      </c>
      <c r="CH67" s="74" t="str">
        <f t="shared" ca="1" si="53"/>
        <v/>
      </c>
      <c r="CI67" s="74" t="str">
        <f t="shared" ca="1" si="53"/>
        <v/>
      </c>
      <c r="CJ67" s="74" t="str">
        <f t="shared" ca="1" si="53"/>
        <v/>
      </c>
      <c r="CK67" s="74" t="str">
        <f t="shared" ca="1" si="53"/>
        <v/>
      </c>
      <c r="CL67" s="74" t="str">
        <f t="shared" ca="1" si="53"/>
        <v/>
      </c>
      <c r="CM67" s="74" t="str">
        <f t="shared" ca="1" si="53"/>
        <v/>
      </c>
      <c r="CN67" s="74" t="str">
        <f t="shared" ca="1" si="53"/>
        <v/>
      </c>
      <c r="CO67" s="74" t="str">
        <f t="shared" ca="1" si="53"/>
        <v/>
      </c>
      <c r="CP67" s="74" t="str">
        <f t="shared" ca="1" si="53"/>
        <v/>
      </c>
      <c r="CQ67" s="74" t="str">
        <f t="shared" ca="1" si="53"/>
        <v/>
      </c>
      <c r="CR67" s="74" t="str">
        <f t="shared" ca="1" si="53"/>
        <v/>
      </c>
      <c r="CS67" s="74" t="str">
        <f t="shared" ca="1" si="53"/>
        <v/>
      </c>
      <c r="CT67" s="74" t="str">
        <f t="shared" ca="1" si="53"/>
        <v/>
      </c>
      <c r="CU67" s="74" t="str">
        <f t="shared" ca="1" si="53"/>
        <v/>
      </c>
      <c r="CV67" s="74" t="str">
        <f t="shared" ca="1" si="54"/>
        <v/>
      </c>
      <c r="CW67" s="74" t="str">
        <f t="shared" ca="1" si="54"/>
        <v/>
      </c>
      <c r="CX67" s="74" t="str">
        <f t="shared" ca="1" si="54"/>
        <v/>
      </c>
      <c r="CY67" s="74" t="str">
        <f t="shared" ca="1" si="54"/>
        <v/>
      </c>
      <c r="CZ67" s="75" t="str">
        <f t="shared" ca="1" si="54"/>
        <v/>
      </c>
      <c r="DA67" s="75" t="str">
        <f t="shared" ca="1" si="54"/>
        <v/>
      </c>
      <c r="DB67" s="75" t="str">
        <f t="shared" ca="1" si="54"/>
        <v/>
      </c>
      <c r="DC67" s="75" t="str">
        <f t="shared" ca="1" si="54"/>
        <v/>
      </c>
      <c r="DD67" s="75" t="str">
        <f t="shared" ca="1" si="54"/>
        <v/>
      </c>
      <c r="DE67" s="75" t="str">
        <f t="shared" ca="1" si="54"/>
        <v/>
      </c>
      <c r="DF67" s="75" t="str">
        <f t="shared" ca="1" si="54"/>
        <v/>
      </c>
      <c r="DG67" s="75" t="str">
        <f t="shared" ca="1" si="54"/>
        <v/>
      </c>
      <c r="DH67" s="75" t="str">
        <f t="shared" ca="1" si="54"/>
        <v/>
      </c>
      <c r="DI67" s="75" t="str">
        <f t="shared" ca="1" si="54"/>
        <v/>
      </c>
      <c r="DJ67" s="75" t="str">
        <f t="shared" ca="1" si="54"/>
        <v/>
      </c>
      <c r="DK67" s="75" t="str">
        <f t="shared" ca="1" si="54"/>
        <v/>
      </c>
      <c r="DL67" s="75" t="str">
        <f t="shared" ca="1" si="55"/>
        <v/>
      </c>
      <c r="DM67" s="75" t="str">
        <f t="shared" ca="1" si="55"/>
        <v/>
      </c>
      <c r="DN67" s="75" t="str">
        <f t="shared" ca="1" si="55"/>
        <v/>
      </c>
      <c r="DO67" s="75" t="str">
        <f t="shared" ca="1" si="55"/>
        <v/>
      </c>
      <c r="DP67" s="75" t="str">
        <f t="shared" ca="1" si="55"/>
        <v/>
      </c>
      <c r="DQ67" s="75" t="str">
        <f t="shared" ca="1" si="55"/>
        <v/>
      </c>
      <c r="DR67" s="75" t="str">
        <f t="shared" ca="1" si="55"/>
        <v/>
      </c>
      <c r="DS67" s="74" t="str">
        <f t="shared" ca="1" si="55"/>
        <v/>
      </c>
      <c r="DT67" s="74" t="str">
        <f t="shared" ca="1" si="55"/>
        <v/>
      </c>
      <c r="DU67" s="74" t="str">
        <f t="shared" ca="1" si="55"/>
        <v/>
      </c>
      <c r="DV67" s="74" t="str">
        <f t="shared" ca="1" si="55"/>
        <v/>
      </c>
      <c r="DW67" s="74" t="str">
        <f t="shared" ca="1" si="55"/>
        <v/>
      </c>
      <c r="DX67" s="74" t="str">
        <f t="shared" ca="1" si="55"/>
        <v/>
      </c>
      <c r="DY67" s="74" t="str">
        <f t="shared" ca="1" si="55"/>
        <v/>
      </c>
      <c r="DZ67" s="74" t="str">
        <f t="shared" ca="1" si="55"/>
        <v/>
      </c>
      <c r="EA67" s="74" t="str">
        <f t="shared" ca="1" si="55"/>
        <v/>
      </c>
      <c r="EB67" s="74" t="str">
        <f t="shared" ca="1" si="56"/>
        <v/>
      </c>
      <c r="EC67" s="74" t="str">
        <f t="shared" ca="1" si="56"/>
        <v/>
      </c>
      <c r="ED67" s="74" t="str">
        <f t="shared" ca="1" si="56"/>
        <v/>
      </c>
      <c r="EE67" s="74" t="str">
        <f t="shared" ca="1" si="56"/>
        <v/>
      </c>
      <c r="EF67" s="74" t="str">
        <f t="shared" ca="1" si="56"/>
        <v/>
      </c>
      <c r="EG67" s="74" t="str">
        <f t="shared" ca="1" si="56"/>
        <v/>
      </c>
      <c r="EH67" s="74" t="str">
        <f t="shared" ca="1" si="56"/>
        <v/>
      </c>
      <c r="EI67" s="74" t="str">
        <f t="shared" ca="1" si="56"/>
        <v/>
      </c>
      <c r="EJ67" s="74" t="str">
        <f t="shared" ca="1" si="56"/>
        <v/>
      </c>
      <c r="EK67" s="75" t="str">
        <f t="shared" ca="1" si="56"/>
        <v/>
      </c>
      <c r="EL67" s="75" t="str">
        <f t="shared" ca="1" si="56"/>
        <v/>
      </c>
      <c r="EM67" s="75" t="str">
        <f t="shared" ca="1" si="56"/>
        <v/>
      </c>
      <c r="EN67" s="75" t="str">
        <f t="shared" ca="1" si="56"/>
        <v/>
      </c>
      <c r="EO67" s="75" t="str">
        <f t="shared" ca="1" si="56"/>
        <v/>
      </c>
      <c r="EP67" s="75" t="str">
        <f t="shared" ca="1" si="56"/>
        <v/>
      </c>
      <c r="EQ67" s="75" t="str">
        <f t="shared" ca="1" si="56"/>
        <v/>
      </c>
      <c r="ER67" s="75" t="str">
        <f t="shared" ca="1" si="57"/>
        <v/>
      </c>
      <c r="ES67" s="75" t="str">
        <f t="shared" ca="1" si="57"/>
        <v/>
      </c>
      <c r="ET67" s="75" t="str">
        <f t="shared" ca="1" si="57"/>
        <v/>
      </c>
      <c r="EU67" s="75" t="str">
        <f t="shared" ca="1" si="57"/>
        <v/>
      </c>
      <c r="EV67" s="75" t="str">
        <f t="shared" ca="1" si="57"/>
        <v/>
      </c>
      <c r="EW67" s="75" t="str">
        <f t="shared" ca="1" si="57"/>
        <v/>
      </c>
      <c r="EX67" s="75" t="str">
        <f t="shared" ca="1" si="57"/>
        <v/>
      </c>
      <c r="EY67" s="75" t="str">
        <f t="shared" ca="1" si="57"/>
        <v/>
      </c>
      <c r="EZ67" s="75" t="str">
        <f t="shared" ca="1" si="57"/>
        <v/>
      </c>
      <c r="FA67" s="75" t="str">
        <f t="shared" ca="1" si="57"/>
        <v/>
      </c>
      <c r="FB67" s="75" t="str">
        <f t="shared" ca="1" si="57"/>
        <v/>
      </c>
      <c r="FC67" s="76" t="str">
        <f t="shared" ca="1" si="57"/>
        <v/>
      </c>
      <c r="FD67" s="74" t="str">
        <f t="shared" ca="1" si="57"/>
        <v/>
      </c>
      <c r="FE67" s="74" t="str">
        <f t="shared" ca="1" si="57"/>
        <v/>
      </c>
      <c r="FF67" s="74" t="str">
        <f t="shared" ca="1" si="57"/>
        <v/>
      </c>
      <c r="FG67" s="74" t="str">
        <f t="shared" ca="1" si="58"/>
        <v/>
      </c>
      <c r="FH67" s="74" t="str">
        <f t="shared" ca="1" si="58"/>
        <v/>
      </c>
      <c r="FI67" s="74" t="str">
        <f t="shared" ca="1" si="58"/>
        <v/>
      </c>
      <c r="FJ67" s="74" t="str">
        <f t="shared" ca="1" si="58"/>
        <v/>
      </c>
      <c r="FK67" s="74" t="str">
        <f t="shared" ca="1" si="58"/>
        <v/>
      </c>
      <c r="FL67" s="74" t="str">
        <f t="shared" ca="1" si="58"/>
        <v/>
      </c>
      <c r="FM67" s="74" t="str">
        <f t="shared" ca="1" si="58"/>
        <v/>
      </c>
      <c r="FN67" s="74" t="str">
        <f t="shared" ca="1" si="58"/>
        <v/>
      </c>
      <c r="FO67" s="74" t="str">
        <f t="shared" ca="1" si="58"/>
        <v/>
      </c>
      <c r="FP67" s="74" t="str">
        <f t="shared" ca="1" si="58"/>
        <v/>
      </c>
      <c r="FQ67" s="74" t="str">
        <f t="shared" ca="1" si="58"/>
        <v/>
      </c>
      <c r="FR67" s="74" t="str">
        <f t="shared" ca="1" si="58"/>
        <v/>
      </c>
      <c r="FS67" s="74" t="str">
        <f t="shared" ca="1" si="58"/>
        <v/>
      </c>
      <c r="FT67" s="74" t="str">
        <f t="shared" ca="1" si="58"/>
        <v/>
      </c>
    </row>
    <row r="68" spans="1:176" x14ac:dyDescent="0.35">
      <c r="A68" s="74"/>
      <c r="B68" s="74" t="str">
        <f t="shared" ref="B68:S83" ca="1" si="62">IF($A68="", "", IF(INDIRECT($A68&amp; "!"&amp; B$2)="", "", INDIRECT($A68&amp; "!"&amp; B$2)))</f>
        <v/>
      </c>
      <c r="C68" s="74" t="str">
        <f t="shared" ca="1" si="62"/>
        <v/>
      </c>
      <c r="D68" s="74" t="str">
        <f t="shared" ca="1" si="62"/>
        <v/>
      </c>
      <c r="E68" s="74" t="str">
        <f t="shared" ca="1" si="62"/>
        <v/>
      </c>
      <c r="F68" t="str">
        <f t="shared" ref="F68:H99" ca="1" si="63">IF($A68="", "", IF(INDIRECT($A68&amp; "!"&amp; F$2)="", "", INDIRECT($A68&amp; "!"&amp; F$2)))</f>
        <v/>
      </c>
      <c r="G68" t="str">
        <f t="shared" ca="1" si="63"/>
        <v/>
      </c>
      <c r="H68" t="str">
        <f t="shared" ca="1" si="63"/>
        <v/>
      </c>
      <c r="I68" s="74" t="str">
        <f t="shared" ca="1" si="62"/>
        <v/>
      </c>
      <c r="J68" s="74" t="str">
        <f t="shared" ca="1" si="62"/>
        <v/>
      </c>
      <c r="K68" s="74" t="str">
        <f t="shared" ca="1" si="62"/>
        <v/>
      </c>
      <c r="L68" s="74" t="str">
        <f t="shared" ca="1" si="62"/>
        <v/>
      </c>
      <c r="M68" s="74" t="str">
        <f t="shared" ca="1" si="62"/>
        <v/>
      </c>
      <c r="N68" s="74" t="str">
        <f t="shared" ca="1" si="62"/>
        <v/>
      </c>
      <c r="O68" s="74" t="str">
        <f t="shared" ca="1" si="62"/>
        <v/>
      </c>
      <c r="P68" s="74" t="str">
        <f t="shared" ca="1" si="62"/>
        <v/>
      </c>
      <c r="Q68" s="74" t="str">
        <f t="shared" ca="1" si="62"/>
        <v/>
      </c>
      <c r="R68" s="74" t="str">
        <f t="shared" ca="1" si="62"/>
        <v/>
      </c>
      <c r="S68" s="74" t="str">
        <f t="shared" ca="1" si="62"/>
        <v/>
      </c>
      <c r="T68" s="74" t="str">
        <f t="shared" ca="1" si="59"/>
        <v/>
      </c>
      <c r="U68" s="74" t="str">
        <f t="shared" ca="1" si="59"/>
        <v/>
      </c>
      <c r="V68" s="74" t="str">
        <f t="shared" ca="1" si="59"/>
        <v/>
      </c>
      <c r="W68" s="74" t="str">
        <f t="shared" ca="1" si="59"/>
        <v/>
      </c>
      <c r="X68" s="74" t="str">
        <f t="shared" ca="1" si="59"/>
        <v/>
      </c>
      <c r="Y68" s="74" t="str">
        <f t="shared" ca="1" si="59"/>
        <v/>
      </c>
      <c r="Z68" s="74" t="str">
        <f t="shared" ca="1" si="59"/>
        <v/>
      </c>
      <c r="AA68" s="74" t="str">
        <f t="shared" ca="1" si="59"/>
        <v/>
      </c>
      <c r="AB68" s="75" t="str">
        <f t="shared" ca="1" si="59"/>
        <v/>
      </c>
      <c r="AC68" s="75" t="str">
        <f t="shared" ca="1" si="59"/>
        <v/>
      </c>
      <c r="AD68" s="75" t="str">
        <f t="shared" ca="1" si="59"/>
        <v/>
      </c>
      <c r="AE68" s="75" t="str">
        <f t="shared" ca="1" si="59"/>
        <v/>
      </c>
      <c r="AF68" s="75" t="str">
        <f t="shared" ca="1" si="59"/>
        <v/>
      </c>
      <c r="AG68" s="75" t="str">
        <f t="shared" ca="1" si="59"/>
        <v/>
      </c>
      <c r="AH68" s="75" t="str">
        <f t="shared" ca="1" si="59"/>
        <v/>
      </c>
      <c r="AI68" s="75" t="str">
        <f t="shared" ca="1" si="60"/>
        <v/>
      </c>
      <c r="AJ68" s="75" t="str">
        <f t="shared" ca="1" si="60"/>
        <v/>
      </c>
      <c r="AK68" s="75" t="str">
        <f t="shared" ca="1" si="60"/>
        <v/>
      </c>
      <c r="AL68" s="75" t="str">
        <f t="shared" ca="1" si="60"/>
        <v/>
      </c>
      <c r="AM68" s="75" t="str">
        <f t="shared" ca="1" si="60"/>
        <v/>
      </c>
      <c r="AN68" s="75" t="str">
        <f t="shared" ca="1" si="60"/>
        <v/>
      </c>
      <c r="AO68" s="75" t="str">
        <f t="shared" ca="1" si="60"/>
        <v/>
      </c>
      <c r="AP68" s="75" t="str">
        <f t="shared" ca="1" si="60"/>
        <v/>
      </c>
      <c r="AQ68" s="75" t="str">
        <f t="shared" ca="1" si="60"/>
        <v/>
      </c>
      <c r="AR68" s="75" t="str">
        <f t="shared" ca="1" si="60"/>
        <v/>
      </c>
      <c r="AS68" s="75" t="str">
        <f t="shared" ca="1" si="60"/>
        <v/>
      </c>
      <c r="AT68" s="75" t="str">
        <f t="shared" ca="1" si="60"/>
        <v/>
      </c>
      <c r="AU68" s="74" t="str">
        <f t="shared" ca="1" si="60"/>
        <v/>
      </c>
      <c r="AV68" s="74" t="str">
        <f t="shared" ca="1" si="60"/>
        <v/>
      </c>
      <c r="AW68" s="74" t="str">
        <f t="shared" ca="1" si="60"/>
        <v/>
      </c>
      <c r="AX68" s="74" t="str">
        <f t="shared" ca="1" si="60"/>
        <v/>
      </c>
      <c r="AY68" s="74" t="str">
        <f t="shared" ca="1" si="61"/>
        <v/>
      </c>
      <c r="AZ68" s="74" t="str">
        <f t="shared" ca="1" si="51"/>
        <v/>
      </c>
      <c r="BA68" s="74" t="str">
        <f t="shared" ca="1" si="51"/>
        <v/>
      </c>
      <c r="BB68" s="74" t="str">
        <f t="shared" ca="1" si="51"/>
        <v/>
      </c>
      <c r="BC68" s="74" t="str">
        <f t="shared" ca="1" si="51"/>
        <v/>
      </c>
      <c r="BD68" s="74" t="str">
        <f t="shared" ca="1" si="51"/>
        <v/>
      </c>
      <c r="BE68" s="74" t="str">
        <f t="shared" ca="1" si="51"/>
        <v/>
      </c>
      <c r="BF68" s="74" t="str">
        <f t="shared" ca="1" si="51"/>
        <v/>
      </c>
      <c r="BG68" s="74" t="str">
        <f t="shared" ca="1" si="51"/>
        <v/>
      </c>
      <c r="BH68" s="74" t="str">
        <f t="shared" ca="1" si="51"/>
        <v/>
      </c>
      <c r="BI68" s="74" t="str">
        <f t="shared" ca="1" si="51"/>
        <v/>
      </c>
      <c r="BJ68" s="74" t="str">
        <f t="shared" ca="1" si="51"/>
        <v/>
      </c>
      <c r="BK68" s="74" t="str">
        <f t="shared" ca="1" si="51"/>
        <v/>
      </c>
      <c r="BL68" s="74" t="str">
        <f t="shared" ca="1" si="51"/>
        <v/>
      </c>
      <c r="BM68" s="74" t="str">
        <f t="shared" ca="1" si="51"/>
        <v/>
      </c>
      <c r="BN68" s="75" t="str">
        <f t="shared" ca="1" si="51"/>
        <v/>
      </c>
      <c r="BO68" s="75" t="str">
        <f t="shared" ca="1" si="51"/>
        <v/>
      </c>
      <c r="BP68" s="75" t="str">
        <f t="shared" ca="1" si="52"/>
        <v/>
      </c>
      <c r="BQ68" s="75" t="str">
        <f t="shared" ca="1" si="52"/>
        <v/>
      </c>
      <c r="BR68" s="75" t="str">
        <f t="shared" ca="1" si="52"/>
        <v/>
      </c>
      <c r="BS68" s="75" t="str">
        <f t="shared" ca="1" si="52"/>
        <v/>
      </c>
      <c r="BT68" s="75" t="str">
        <f t="shared" ca="1" si="52"/>
        <v/>
      </c>
      <c r="BU68" s="75" t="str">
        <f t="shared" ca="1" si="52"/>
        <v/>
      </c>
      <c r="BV68" s="75" t="str">
        <f t="shared" ca="1" si="52"/>
        <v/>
      </c>
      <c r="BW68" s="75" t="str">
        <f t="shared" ca="1" si="52"/>
        <v/>
      </c>
      <c r="BX68" s="75" t="str">
        <f t="shared" ca="1" si="52"/>
        <v/>
      </c>
      <c r="BY68" s="75" t="str">
        <f t="shared" ca="1" si="52"/>
        <v/>
      </c>
      <c r="BZ68" s="75" t="str">
        <f t="shared" ca="1" si="52"/>
        <v/>
      </c>
      <c r="CA68" s="75" t="str">
        <f t="shared" ca="1" si="52"/>
        <v/>
      </c>
      <c r="CB68" s="75" t="str">
        <f t="shared" ca="1" si="52"/>
        <v/>
      </c>
      <c r="CC68" s="75" t="str">
        <f t="shared" ca="1" si="52"/>
        <v/>
      </c>
      <c r="CD68" s="75" t="str">
        <f t="shared" ca="1" si="52"/>
        <v/>
      </c>
      <c r="CE68" s="75" t="str">
        <f t="shared" ca="1" si="52"/>
        <v/>
      </c>
      <c r="CF68" s="75" t="str">
        <f t="shared" ca="1" si="53"/>
        <v/>
      </c>
      <c r="CG68" s="74" t="str">
        <f t="shared" ca="1" si="53"/>
        <v/>
      </c>
      <c r="CH68" s="74" t="str">
        <f t="shared" ca="1" si="53"/>
        <v/>
      </c>
      <c r="CI68" s="74" t="str">
        <f t="shared" ca="1" si="53"/>
        <v/>
      </c>
      <c r="CJ68" s="74" t="str">
        <f t="shared" ca="1" si="53"/>
        <v/>
      </c>
      <c r="CK68" s="74" t="str">
        <f t="shared" ca="1" si="53"/>
        <v/>
      </c>
      <c r="CL68" s="74" t="str">
        <f t="shared" ca="1" si="53"/>
        <v/>
      </c>
      <c r="CM68" s="74" t="str">
        <f t="shared" ca="1" si="53"/>
        <v/>
      </c>
      <c r="CN68" s="74" t="str">
        <f t="shared" ca="1" si="53"/>
        <v/>
      </c>
      <c r="CO68" s="74" t="str">
        <f t="shared" ca="1" si="53"/>
        <v/>
      </c>
      <c r="CP68" s="74" t="str">
        <f t="shared" ca="1" si="53"/>
        <v/>
      </c>
      <c r="CQ68" s="74" t="str">
        <f t="shared" ca="1" si="53"/>
        <v/>
      </c>
      <c r="CR68" s="74" t="str">
        <f t="shared" ca="1" si="53"/>
        <v/>
      </c>
      <c r="CS68" s="74" t="str">
        <f t="shared" ca="1" si="53"/>
        <v/>
      </c>
      <c r="CT68" s="74" t="str">
        <f t="shared" ca="1" si="53"/>
        <v/>
      </c>
      <c r="CU68" s="74" t="str">
        <f t="shared" ca="1" si="53"/>
        <v/>
      </c>
      <c r="CV68" s="74" t="str">
        <f t="shared" ca="1" si="54"/>
        <v/>
      </c>
      <c r="CW68" s="74" t="str">
        <f t="shared" ca="1" si="54"/>
        <v/>
      </c>
      <c r="CX68" s="74" t="str">
        <f t="shared" ca="1" si="54"/>
        <v/>
      </c>
      <c r="CY68" s="74" t="str">
        <f t="shared" ca="1" si="54"/>
        <v/>
      </c>
      <c r="CZ68" s="75" t="str">
        <f t="shared" ca="1" si="54"/>
        <v/>
      </c>
      <c r="DA68" s="75" t="str">
        <f t="shared" ca="1" si="54"/>
        <v/>
      </c>
      <c r="DB68" s="75" t="str">
        <f t="shared" ca="1" si="54"/>
        <v/>
      </c>
      <c r="DC68" s="75" t="str">
        <f t="shared" ca="1" si="54"/>
        <v/>
      </c>
      <c r="DD68" s="75" t="str">
        <f t="shared" ca="1" si="54"/>
        <v/>
      </c>
      <c r="DE68" s="75" t="str">
        <f t="shared" ca="1" si="54"/>
        <v/>
      </c>
      <c r="DF68" s="75" t="str">
        <f t="shared" ca="1" si="54"/>
        <v/>
      </c>
      <c r="DG68" s="75" t="str">
        <f t="shared" ca="1" si="54"/>
        <v/>
      </c>
      <c r="DH68" s="75" t="str">
        <f t="shared" ca="1" si="54"/>
        <v/>
      </c>
      <c r="DI68" s="75" t="str">
        <f t="shared" ca="1" si="54"/>
        <v/>
      </c>
      <c r="DJ68" s="75" t="str">
        <f t="shared" ca="1" si="54"/>
        <v/>
      </c>
      <c r="DK68" s="75" t="str">
        <f t="shared" ca="1" si="54"/>
        <v/>
      </c>
      <c r="DL68" s="75" t="str">
        <f t="shared" ca="1" si="55"/>
        <v/>
      </c>
      <c r="DM68" s="75" t="str">
        <f t="shared" ca="1" si="55"/>
        <v/>
      </c>
      <c r="DN68" s="75" t="str">
        <f t="shared" ca="1" si="55"/>
        <v/>
      </c>
      <c r="DO68" s="75" t="str">
        <f t="shared" ca="1" si="55"/>
        <v/>
      </c>
      <c r="DP68" s="75" t="str">
        <f t="shared" ca="1" si="55"/>
        <v/>
      </c>
      <c r="DQ68" s="75" t="str">
        <f t="shared" ca="1" si="55"/>
        <v/>
      </c>
      <c r="DR68" s="75" t="str">
        <f t="shared" ca="1" si="55"/>
        <v/>
      </c>
      <c r="DS68" s="74" t="str">
        <f t="shared" ca="1" si="55"/>
        <v/>
      </c>
      <c r="DT68" s="74" t="str">
        <f t="shared" ca="1" si="55"/>
        <v/>
      </c>
      <c r="DU68" s="74" t="str">
        <f t="shared" ca="1" si="55"/>
        <v/>
      </c>
      <c r="DV68" s="74" t="str">
        <f t="shared" ca="1" si="55"/>
        <v/>
      </c>
      <c r="DW68" s="74" t="str">
        <f t="shared" ca="1" si="55"/>
        <v/>
      </c>
      <c r="DX68" s="74" t="str">
        <f t="shared" ca="1" si="55"/>
        <v/>
      </c>
      <c r="DY68" s="74" t="str">
        <f t="shared" ca="1" si="55"/>
        <v/>
      </c>
      <c r="DZ68" s="74" t="str">
        <f t="shared" ca="1" si="55"/>
        <v/>
      </c>
      <c r="EA68" s="74" t="str">
        <f t="shared" ca="1" si="55"/>
        <v/>
      </c>
      <c r="EB68" s="74" t="str">
        <f t="shared" ca="1" si="56"/>
        <v/>
      </c>
      <c r="EC68" s="74" t="str">
        <f t="shared" ca="1" si="56"/>
        <v/>
      </c>
      <c r="ED68" s="74" t="str">
        <f t="shared" ca="1" si="56"/>
        <v/>
      </c>
      <c r="EE68" s="74" t="str">
        <f t="shared" ca="1" si="56"/>
        <v/>
      </c>
      <c r="EF68" s="74" t="str">
        <f t="shared" ca="1" si="56"/>
        <v/>
      </c>
      <c r="EG68" s="74" t="str">
        <f t="shared" ca="1" si="56"/>
        <v/>
      </c>
      <c r="EH68" s="74" t="str">
        <f t="shared" ca="1" si="56"/>
        <v/>
      </c>
      <c r="EI68" s="74" t="str">
        <f t="shared" ca="1" si="56"/>
        <v/>
      </c>
      <c r="EJ68" s="74" t="str">
        <f t="shared" ca="1" si="56"/>
        <v/>
      </c>
      <c r="EK68" s="75" t="str">
        <f t="shared" ca="1" si="56"/>
        <v/>
      </c>
      <c r="EL68" s="75" t="str">
        <f t="shared" ca="1" si="56"/>
        <v/>
      </c>
      <c r="EM68" s="75" t="str">
        <f t="shared" ca="1" si="56"/>
        <v/>
      </c>
      <c r="EN68" s="75" t="str">
        <f t="shared" ca="1" si="56"/>
        <v/>
      </c>
      <c r="EO68" s="75" t="str">
        <f t="shared" ca="1" si="56"/>
        <v/>
      </c>
      <c r="EP68" s="75" t="str">
        <f t="shared" ca="1" si="56"/>
        <v/>
      </c>
      <c r="EQ68" s="75" t="str">
        <f t="shared" ca="1" si="56"/>
        <v/>
      </c>
      <c r="ER68" s="75" t="str">
        <f t="shared" ca="1" si="57"/>
        <v/>
      </c>
      <c r="ES68" s="75" t="str">
        <f t="shared" ca="1" si="57"/>
        <v/>
      </c>
      <c r="ET68" s="75" t="str">
        <f t="shared" ca="1" si="57"/>
        <v/>
      </c>
      <c r="EU68" s="75" t="str">
        <f t="shared" ca="1" si="57"/>
        <v/>
      </c>
      <c r="EV68" s="75" t="str">
        <f t="shared" ca="1" si="57"/>
        <v/>
      </c>
      <c r="EW68" s="75" t="str">
        <f t="shared" ca="1" si="57"/>
        <v/>
      </c>
      <c r="EX68" s="75" t="str">
        <f t="shared" ca="1" si="57"/>
        <v/>
      </c>
      <c r="EY68" s="75" t="str">
        <f t="shared" ca="1" si="57"/>
        <v/>
      </c>
      <c r="EZ68" s="75" t="str">
        <f t="shared" ca="1" si="57"/>
        <v/>
      </c>
      <c r="FA68" s="75" t="str">
        <f t="shared" ca="1" si="57"/>
        <v/>
      </c>
      <c r="FB68" s="75" t="str">
        <f t="shared" ca="1" si="57"/>
        <v/>
      </c>
      <c r="FC68" s="76" t="str">
        <f t="shared" ca="1" si="57"/>
        <v/>
      </c>
      <c r="FD68" s="74" t="str">
        <f t="shared" ca="1" si="57"/>
        <v/>
      </c>
      <c r="FE68" s="74" t="str">
        <f t="shared" ca="1" si="57"/>
        <v/>
      </c>
      <c r="FF68" s="74" t="str">
        <f t="shared" ca="1" si="57"/>
        <v/>
      </c>
      <c r="FG68" s="74" t="str">
        <f t="shared" ca="1" si="58"/>
        <v/>
      </c>
      <c r="FH68" s="74" t="str">
        <f t="shared" ca="1" si="58"/>
        <v/>
      </c>
      <c r="FI68" s="74" t="str">
        <f t="shared" ca="1" si="58"/>
        <v/>
      </c>
      <c r="FJ68" s="74" t="str">
        <f t="shared" ca="1" si="58"/>
        <v/>
      </c>
      <c r="FK68" s="74" t="str">
        <f t="shared" ca="1" si="58"/>
        <v/>
      </c>
      <c r="FL68" s="74" t="str">
        <f t="shared" ca="1" si="58"/>
        <v/>
      </c>
      <c r="FM68" s="74" t="str">
        <f t="shared" ca="1" si="58"/>
        <v/>
      </c>
      <c r="FN68" s="74" t="str">
        <f t="shared" ca="1" si="58"/>
        <v/>
      </c>
      <c r="FO68" s="74" t="str">
        <f t="shared" ca="1" si="58"/>
        <v/>
      </c>
      <c r="FP68" s="74" t="str">
        <f t="shared" ca="1" si="58"/>
        <v/>
      </c>
      <c r="FQ68" s="74" t="str">
        <f t="shared" ca="1" si="58"/>
        <v/>
      </c>
      <c r="FR68" s="74" t="str">
        <f t="shared" ca="1" si="58"/>
        <v/>
      </c>
      <c r="FS68" s="74" t="str">
        <f t="shared" ca="1" si="58"/>
        <v/>
      </c>
      <c r="FT68" s="74" t="str">
        <f t="shared" ca="1" si="58"/>
        <v/>
      </c>
    </row>
    <row r="69" spans="1:176" x14ac:dyDescent="0.35">
      <c r="A69" s="74"/>
      <c r="B69" s="74" t="str">
        <f t="shared" ca="1" si="62"/>
        <v/>
      </c>
      <c r="C69" s="74" t="str">
        <f t="shared" ca="1" si="62"/>
        <v/>
      </c>
      <c r="D69" s="74" t="str">
        <f t="shared" ca="1" si="62"/>
        <v/>
      </c>
      <c r="E69" s="74" t="str">
        <f t="shared" ca="1" si="62"/>
        <v/>
      </c>
      <c r="F69" t="str">
        <f t="shared" ca="1" si="63"/>
        <v/>
      </c>
      <c r="G69" t="str">
        <f t="shared" ca="1" si="63"/>
        <v/>
      </c>
      <c r="H69" t="str">
        <f t="shared" ca="1" si="63"/>
        <v/>
      </c>
      <c r="I69" s="74" t="str">
        <f t="shared" ca="1" si="62"/>
        <v/>
      </c>
      <c r="J69" s="74" t="str">
        <f t="shared" ca="1" si="62"/>
        <v/>
      </c>
      <c r="K69" s="74" t="str">
        <f t="shared" ca="1" si="62"/>
        <v/>
      </c>
      <c r="L69" s="74" t="str">
        <f t="shared" ca="1" si="62"/>
        <v/>
      </c>
      <c r="M69" s="74" t="str">
        <f t="shared" ca="1" si="62"/>
        <v/>
      </c>
      <c r="N69" s="74" t="str">
        <f t="shared" ca="1" si="62"/>
        <v/>
      </c>
      <c r="O69" s="74" t="str">
        <f t="shared" ca="1" si="62"/>
        <v/>
      </c>
      <c r="P69" s="74" t="str">
        <f t="shared" ca="1" si="62"/>
        <v/>
      </c>
      <c r="Q69" s="74" t="str">
        <f t="shared" ca="1" si="62"/>
        <v/>
      </c>
      <c r="R69" s="74" t="str">
        <f t="shared" ca="1" si="62"/>
        <v/>
      </c>
      <c r="S69" s="74" t="str">
        <f t="shared" ca="1" si="62"/>
        <v/>
      </c>
      <c r="T69" s="74" t="str">
        <f t="shared" ca="1" si="59"/>
        <v/>
      </c>
      <c r="U69" s="74" t="str">
        <f t="shared" ca="1" si="59"/>
        <v/>
      </c>
      <c r="V69" s="74" t="str">
        <f t="shared" ca="1" si="59"/>
        <v/>
      </c>
      <c r="W69" s="74" t="str">
        <f t="shared" ca="1" si="59"/>
        <v/>
      </c>
      <c r="X69" s="74" t="str">
        <f t="shared" ca="1" si="59"/>
        <v/>
      </c>
      <c r="Y69" s="74" t="str">
        <f t="shared" ca="1" si="59"/>
        <v/>
      </c>
      <c r="Z69" s="74" t="str">
        <f t="shared" ca="1" si="59"/>
        <v/>
      </c>
      <c r="AA69" s="74" t="str">
        <f t="shared" ca="1" si="59"/>
        <v/>
      </c>
      <c r="AB69" s="75" t="str">
        <f t="shared" ca="1" si="59"/>
        <v/>
      </c>
      <c r="AC69" s="75" t="str">
        <f t="shared" ca="1" si="59"/>
        <v/>
      </c>
      <c r="AD69" s="75" t="str">
        <f t="shared" ca="1" si="59"/>
        <v/>
      </c>
      <c r="AE69" s="75" t="str">
        <f t="shared" ca="1" si="59"/>
        <v/>
      </c>
      <c r="AF69" s="75" t="str">
        <f t="shared" ca="1" si="59"/>
        <v/>
      </c>
      <c r="AG69" s="75" t="str">
        <f t="shared" ca="1" si="59"/>
        <v/>
      </c>
      <c r="AH69" s="75" t="str">
        <f t="shared" ca="1" si="59"/>
        <v/>
      </c>
      <c r="AI69" s="75" t="str">
        <f t="shared" ca="1" si="60"/>
        <v/>
      </c>
      <c r="AJ69" s="75" t="str">
        <f t="shared" ca="1" si="60"/>
        <v/>
      </c>
      <c r="AK69" s="75" t="str">
        <f t="shared" ca="1" si="60"/>
        <v/>
      </c>
      <c r="AL69" s="75" t="str">
        <f t="shared" ca="1" si="60"/>
        <v/>
      </c>
      <c r="AM69" s="75" t="str">
        <f t="shared" ca="1" si="60"/>
        <v/>
      </c>
      <c r="AN69" s="75" t="str">
        <f t="shared" ca="1" si="60"/>
        <v/>
      </c>
      <c r="AO69" s="75" t="str">
        <f t="shared" ca="1" si="60"/>
        <v/>
      </c>
      <c r="AP69" s="75" t="str">
        <f t="shared" ca="1" si="60"/>
        <v/>
      </c>
      <c r="AQ69" s="75" t="str">
        <f t="shared" ca="1" si="60"/>
        <v/>
      </c>
      <c r="AR69" s="75" t="str">
        <f t="shared" ca="1" si="60"/>
        <v/>
      </c>
      <c r="AS69" s="75" t="str">
        <f t="shared" ca="1" si="60"/>
        <v/>
      </c>
      <c r="AT69" s="75" t="str">
        <f t="shared" ca="1" si="60"/>
        <v/>
      </c>
      <c r="AU69" s="74" t="str">
        <f t="shared" ca="1" si="60"/>
        <v/>
      </c>
      <c r="AV69" s="74" t="str">
        <f t="shared" ca="1" si="60"/>
        <v/>
      </c>
      <c r="AW69" s="74" t="str">
        <f t="shared" ca="1" si="60"/>
        <v/>
      </c>
      <c r="AX69" s="74" t="str">
        <f t="shared" ca="1" si="60"/>
        <v/>
      </c>
      <c r="AY69" s="74" t="str">
        <f t="shared" ca="1" si="61"/>
        <v/>
      </c>
      <c r="AZ69" s="74" t="str">
        <f t="shared" ca="1" si="51"/>
        <v/>
      </c>
      <c r="BA69" s="74" t="str">
        <f t="shared" ca="1" si="51"/>
        <v/>
      </c>
      <c r="BB69" s="74" t="str">
        <f t="shared" ca="1" si="51"/>
        <v/>
      </c>
      <c r="BC69" s="74" t="str">
        <f t="shared" ca="1" si="51"/>
        <v/>
      </c>
      <c r="BD69" s="74" t="str">
        <f t="shared" ca="1" si="51"/>
        <v/>
      </c>
      <c r="BE69" s="74" t="str">
        <f t="shared" ca="1" si="51"/>
        <v/>
      </c>
      <c r="BF69" s="74" t="str">
        <f t="shared" ca="1" si="51"/>
        <v/>
      </c>
      <c r="BG69" s="74" t="str">
        <f t="shared" ca="1" si="51"/>
        <v/>
      </c>
      <c r="BH69" s="74" t="str">
        <f t="shared" ca="1" si="51"/>
        <v/>
      </c>
      <c r="BI69" s="74" t="str">
        <f t="shared" ca="1" si="51"/>
        <v/>
      </c>
      <c r="BJ69" s="74" t="str">
        <f t="shared" ca="1" si="51"/>
        <v/>
      </c>
      <c r="BK69" s="74" t="str">
        <f t="shared" ca="1" si="51"/>
        <v/>
      </c>
      <c r="BL69" s="74" t="str">
        <f t="shared" ca="1" si="51"/>
        <v/>
      </c>
      <c r="BM69" s="74" t="str">
        <f t="shared" ca="1" si="51"/>
        <v/>
      </c>
      <c r="BN69" s="75" t="str">
        <f t="shared" ca="1" si="51"/>
        <v/>
      </c>
      <c r="BO69" s="75" t="str">
        <f t="shared" ca="1" si="51"/>
        <v/>
      </c>
      <c r="BP69" s="75" t="str">
        <f t="shared" ca="1" si="52"/>
        <v/>
      </c>
      <c r="BQ69" s="75" t="str">
        <f t="shared" ca="1" si="52"/>
        <v/>
      </c>
      <c r="BR69" s="75" t="str">
        <f t="shared" ca="1" si="52"/>
        <v/>
      </c>
      <c r="BS69" s="75" t="str">
        <f t="shared" ca="1" si="52"/>
        <v/>
      </c>
      <c r="BT69" s="75" t="str">
        <f t="shared" ca="1" si="52"/>
        <v/>
      </c>
      <c r="BU69" s="75" t="str">
        <f t="shared" ca="1" si="52"/>
        <v/>
      </c>
      <c r="BV69" s="75" t="str">
        <f t="shared" ca="1" si="52"/>
        <v/>
      </c>
      <c r="BW69" s="75" t="str">
        <f t="shared" ca="1" si="52"/>
        <v/>
      </c>
      <c r="BX69" s="75" t="str">
        <f t="shared" ca="1" si="52"/>
        <v/>
      </c>
      <c r="BY69" s="75" t="str">
        <f t="shared" ca="1" si="52"/>
        <v/>
      </c>
      <c r="BZ69" s="75" t="str">
        <f t="shared" ca="1" si="52"/>
        <v/>
      </c>
      <c r="CA69" s="75" t="str">
        <f t="shared" ca="1" si="52"/>
        <v/>
      </c>
      <c r="CB69" s="75" t="str">
        <f t="shared" ca="1" si="52"/>
        <v/>
      </c>
      <c r="CC69" s="75" t="str">
        <f t="shared" ca="1" si="52"/>
        <v/>
      </c>
      <c r="CD69" s="75" t="str">
        <f t="shared" ca="1" si="52"/>
        <v/>
      </c>
      <c r="CE69" s="75" t="str">
        <f t="shared" ca="1" si="52"/>
        <v/>
      </c>
      <c r="CF69" s="75" t="str">
        <f t="shared" ca="1" si="53"/>
        <v/>
      </c>
      <c r="CG69" s="74" t="str">
        <f t="shared" ca="1" si="53"/>
        <v/>
      </c>
      <c r="CH69" s="74" t="str">
        <f t="shared" ca="1" si="53"/>
        <v/>
      </c>
      <c r="CI69" s="74" t="str">
        <f t="shared" ca="1" si="53"/>
        <v/>
      </c>
      <c r="CJ69" s="74" t="str">
        <f t="shared" ca="1" si="53"/>
        <v/>
      </c>
      <c r="CK69" s="74" t="str">
        <f t="shared" ca="1" si="53"/>
        <v/>
      </c>
      <c r="CL69" s="74" t="str">
        <f t="shared" ca="1" si="53"/>
        <v/>
      </c>
      <c r="CM69" s="74" t="str">
        <f t="shared" ca="1" si="53"/>
        <v/>
      </c>
      <c r="CN69" s="74" t="str">
        <f t="shared" ca="1" si="53"/>
        <v/>
      </c>
      <c r="CO69" s="74" t="str">
        <f t="shared" ca="1" si="53"/>
        <v/>
      </c>
      <c r="CP69" s="74" t="str">
        <f t="shared" ca="1" si="53"/>
        <v/>
      </c>
      <c r="CQ69" s="74" t="str">
        <f t="shared" ca="1" si="53"/>
        <v/>
      </c>
      <c r="CR69" s="74" t="str">
        <f t="shared" ca="1" si="53"/>
        <v/>
      </c>
      <c r="CS69" s="74" t="str">
        <f t="shared" ca="1" si="53"/>
        <v/>
      </c>
      <c r="CT69" s="74" t="str">
        <f t="shared" ca="1" si="53"/>
        <v/>
      </c>
      <c r="CU69" s="74" t="str">
        <f t="shared" ca="1" si="53"/>
        <v/>
      </c>
      <c r="CV69" s="74" t="str">
        <f t="shared" ca="1" si="54"/>
        <v/>
      </c>
      <c r="CW69" s="74" t="str">
        <f t="shared" ca="1" si="54"/>
        <v/>
      </c>
      <c r="CX69" s="74" t="str">
        <f t="shared" ca="1" si="54"/>
        <v/>
      </c>
      <c r="CY69" s="74" t="str">
        <f t="shared" ca="1" si="54"/>
        <v/>
      </c>
      <c r="CZ69" s="75" t="str">
        <f t="shared" ca="1" si="54"/>
        <v/>
      </c>
      <c r="DA69" s="75" t="str">
        <f t="shared" ca="1" si="54"/>
        <v/>
      </c>
      <c r="DB69" s="75" t="str">
        <f t="shared" ca="1" si="54"/>
        <v/>
      </c>
      <c r="DC69" s="75" t="str">
        <f t="shared" ca="1" si="54"/>
        <v/>
      </c>
      <c r="DD69" s="75" t="str">
        <f t="shared" ca="1" si="54"/>
        <v/>
      </c>
      <c r="DE69" s="75" t="str">
        <f t="shared" ca="1" si="54"/>
        <v/>
      </c>
      <c r="DF69" s="75" t="str">
        <f t="shared" ca="1" si="54"/>
        <v/>
      </c>
      <c r="DG69" s="75" t="str">
        <f t="shared" ca="1" si="54"/>
        <v/>
      </c>
      <c r="DH69" s="75" t="str">
        <f t="shared" ca="1" si="54"/>
        <v/>
      </c>
      <c r="DI69" s="75" t="str">
        <f t="shared" ca="1" si="54"/>
        <v/>
      </c>
      <c r="DJ69" s="75" t="str">
        <f t="shared" ca="1" si="54"/>
        <v/>
      </c>
      <c r="DK69" s="75" t="str">
        <f t="shared" ca="1" si="54"/>
        <v/>
      </c>
      <c r="DL69" s="75" t="str">
        <f t="shared" ca="1" si="55"/>
        <v/>
      </c>
      <c r="DM69" s="75" t="str">
        <f t="shared" ca="1" si="55"/>
        <v/>
      </c>
      <c r="DN69" s="75" t="str">
        <f t="shared" ca="1" si="55"/>
        <v/>
      </c>
      <c r="DO69" s="75" t="str">
        <f t="shared" ca="1" si="55"/>
        <v/>
      </c>
      <c r="DP69" s="75" t="str">
        <f t="shared" ca="1" si="55"/>
        <v/>
      </c>
      <c r="DQ69" s="75" t="str">
        <f t="shared" ca="1" si="55"/>
        <v/>
      </c>
      <c r="DR69" s="75" t="str">
        <f t="shared" ca="1" si="55"/>
        <v/>
      </c>
      <c r="DS69" s="74" t="str">
        <f t="shared" ca="1" si="55"/>
        <v/>
      </c>
      <c r="DT69" s="74" t="str">
        <f t="shared" ca="1" si="55"/>
        <v/>
      </c>
      <c r="DU69" s="74" t="str">
        <f t="shared" ca="1" si="55"/>
        <v/>
      </c>
      <c r="DV69" s="74" t="str">
        <f t="shared" ca="1" si="55"/>
        <v/>
      </c>
      <c r="DW69" s="74" t="str">
        <f t="shared" ca="1" si="55"/>
        <v/>
      </c>
      <c r="DX69" s="74" t="str">
        <f t="shared" ca="1" si="55"/>
        <v/>
      </c>
      <c r="DY69" s="74" t="str">
        <f t="shared" ca="1" si="55"/>
        <v/>
      </c>
      <c r="DZ69" s="74" t="str">
        <f t="shared" ca="1" si="55"/>
        <v/>
      </c>
      <c r="EA69" s="74" t="str">
        <f t="shared" ca="1" si="55"/>
        <v/>
      </c>
      <c r="EB69" s="74" t="str">
        <f t="shared" ca="1" si="56"/>
        <v/>
      </c>
      <c r="EC69" s="74" t="str">
        <f t="shared" ca="1" si="56"/>
        <v/>
      </c>
      <c r="ED69" s="74" t="str">
        <f t="shared" ca="1" si="56"/>
        <v/>
      </c>
      <c r="EE69" s="74" t="str">
        <f t="shared" ca="1" si="56"/>
        <v/>
      </c>
      <c r="EF69" s="74" t="str">
        <f t="shared" ca="1" si="56"/>
        <v/>
      </c>
      <c r="EG69" s="74" t="str">
        <f t="shared" ca="1" si="56"/>
        <v/>
      </c>
      <c r="EH69" s="74" t="str">
        <f t="shared" ca="1" si="56"/>
        <v/>
      </c>
      <c r="EI69" s="74" t="str">
        <f t="shared" ca="1" si="56"/>
        <v/>
      </c>
      <c r="EJ69" s="74" t="str">
        <f t="shared" ca="1" si="56"/>
        <v/>
      </c>
      <c r="EK69" s="75" t="str">
        <f t="shared" ca="1" si="56"/>
        <v/>
      </c>
      <c r="EL69" s="75" t="str">
        <f t="shared" ca="1" si="56"/>
        <v/>
      </c>
      <c r="EM69" s="75" t="str">
        <f t="shared" ca="1" si="56"/>
        <v/>
      </c>
      <c r="EN69" s="75" t="str">
        <f t="shared" ca="1" si="56"/>
        <v/>
      </c>
      <c r="EO69" s="75" t="str">
        <f t="shared" ca="1" si="56"/>
        <v/>
      </c>
      <c r="EP69" s="75" t="str">
        <f t="shared" ca="1" si="56"/>
        <v/>
      </c>
      <c r="EQ69" s="75" t="str">
        <f t="shared" ca="1" si="56"/>
        <v/>
      </c>
      <c r="ER69" s="75" t="str">
        <f t="shared" ca="1" si="57"/>
        <v/>
      </c>
      <c r="ES69" s="75" t="str">
        <f t="shared" ca="1" si="57"/>
        <v/>
      </c>
      <c r="ET69" s="75" t="str">
        <f t="shared" ca="1" si="57"/>
        <v/>
      </c>
      <c r="EU69" s="75" t="str">
        <f t="shared" ca="1" si="57"/>
        <v/>
      </c>
      <c r="EV69" s="75" t="str">
        <f t="shared" ca="1" si="57"/>
        <v/>
      </c>
      <c r="EW69" s="75" t="str">
        <f t="shared" ca="1" si="57"/>
        <v/>
      </c>
      <c r="EX69" s="75" t="str">
        <f t="shared" ca="1" si="57"/>
        <v/>
      </c>
      <c r="EY69" s="75" t="str">
        <f t="shared" ca="1" si="57"/>
        <v/>
      </c>
      <c r="EZ69" s="75" t="str">
        <f t="shared" ca="1" si="57"/>
        <v/>
      </c>
      <c r="FA69" s="75" t="str">
        <f t="shared" ca="1" si="57"/>
        <v/>
      </c>
      <c r="FB69" s="75" t="str">
        <f t="shared" ca="1" si="57"/>
        <v/>
      </c>
      <c r="FC69" s="76" t="str">
        <f t="shared" ca="1" si="57"/>
        <v/>
      </c>
      <c r="FD69" s="74" t="str">
        <f t="shared" ca="1" si="57"/>
        <v/>
      </c>
      <c r="FE69" s="74" t="str">
        <f t="shared" ca="1" si="57"/>
        <v/>
      </c>
      <c r="FF69" s="74" t="str">
        <f t="shared" ca="1" si="57"/>
        <v/>
      </c>
      <c r="FG69" s="74" t="str">
        <f t="shared" ca="1" si="58"/>
        <v/>
      </c>
      <c r="FH69" s="74" t="str">
        <f t="shared" ca="1" si="58"/>
        <v/>
      </c>
      <c r="FI69" s="74" t="str">
        <f t="shared" ca="1" si="58"/>
        <v/>
      </c>
      <c r="FJ69" s="74" t="str">
        <f t="shared" ca="1" si="58"/>
        <v/>
      </c>
      <c r="FK69" s="74" t="str">
        <f t="shared" ca="1" si="58"/>
        <v/>
      </c>
      <c r="FL69" s="74" t="str">
        <f t="shared" ca="1" si="58"/>
        <v/>
      </c>
      <c r="FM69" s="74" t="str">
        <f t="shared" ca="1" si="58"/>
        <v/>
      </c>
      <c r="FN69" s="74" t="str">
        <f t="shared" ca="1" si="58"/>
        <v/>
      </c>
      <c r="FO69" s="74" t="str">
        <f t="shared" ca="1" si="58"/>
        <v/>
      </c>
      <c r="FP69" s="74" t="str">
        <f t="shared" ca="1" si="58"/>
        <v/>
      </c>
      <c r="FQ69" s="74" t="str">
        <f t="shared" ca="1" si="58"/>
        <v/>
      </c>
      <c r="FR69" s="74" t="str">
        <f t="shared" ca="1" si="58"/>
        <v/>
      </c>
      <c r="FS69" s="74" t="str">
        <f t="shared" ca="1" si="58"/>
        <v/>
      </c>
      <c r="FT69" s="74" t="str">
        <f t="shared" ca="1" si="58"/>
        <v/>
      </c>
    </row>
    <row r="70" spans="1:176" x14ac:dyDescent="0.35">
      <c r="A70" s="74"/>
      <c r="B70" s="74" t="str">
        <f t="shared" ca="1" si="62"/>
        <v/>
      </c>
      <c r="C70" s="74" t="str">
        <f t="shared" ca="1" si="62"/>
        <v/>
      </c>
      <c r="D70" s="74" t="str">
        <f t="shared" ca="1" si="62"/>
        <v/>
      </c>
      <c r="E70" s="74" t="str">
        <f t="shared" ca="1" si="62"/>
        <v/>
      </c>
      <c r="F70" t="str">
        <f t="shared" ca="1" si="63"/>
        <v/>
      </c>
      <c r="G70" t="str">
        <f t="shared" ca="1" si="63"/>
        <v/>
      </c>
      <c r="H70" t="str">
        <f t="shared" ca="1" si="63"/>
        <v/>
      </c>
      <c r="I70" s="74" t="str">
        <f t="shared" ca="1" si="62"/>
        <v/>
      </c>
      <c r="J70" s="74" t="str">
        <f t="shared" ca="1" si="62"/>
        <v/>
      </c>
      <c r="K70" s="74" t="str">
        <f t="shared" ca="1" si="62"/>
        <v/>
      </c>
      <c r="L70" s="74" t="str">
        <f t="shared" ca="1" si="62"/>
        <v/>
      </c>
      <c r="M70" s="74" t="str">
        <f t="shared" ca="1" si="62"/>
        <v/>
      </c>
      <c r="N70" s="74" t="str">
        <f t="shared" ca="1" si="62"/>
        <v/>
      </c>
      <c r="O70" s="74" t="str">
        <f t="shared" ca="1" si="62"/>
        <v/>
      </c>
      <c r="P70" s="74" t="str">
        <f t="shared" ca="1" si="62"/>
        <v/>
      </c>
      <c r="Q70" s="74" t="str">
        <f t="shared" ca="1" si="62"/>
        <v/>
      </c>
      <c r="R70" s="74" t="str">
        <f t="shared" ca="1" si="62"/>
        <v/>
      </c>
      <c r="S70" s="74" t="str">
        <f t="shared" ca="1" si="62"/>
        <v/>
      </c>
      <c r="T70" s="74" t="str">
        <f t="shared" ca="1" si="59"/>
        <v/>
      </c>
      <c r="U70" s="74" t="str">
        <f t="shared" ca="1" si="59"/>
        <v/>
      </c>
      <c r="V70" s="74" t="str">
        <f t="shared" ca="1" si="59"/>
        <v/>
      </c>
      <c r="W70" s="74" t="str">
        <f t="shared" ca="1" si="59"/>
        <v/>
      </c>
      <c r="X70" s="74" t="str">
        <f t="shared" ca="1" si="59"/>
        <v/>
      </c>
      <c r="Y70" s="74" t="str">
        <f t="shared" ca="1" si="59"/>
        <v/>
      </c>
      <c r="Z70" s="74" t="str">
        <f t="shared" ca="1" si="59"/>
        <v/>
      </c>
      <c r="AA70" s="74" t="str">
        <f t="shared" ca="1" si="59"/>
        <v/>
      </c>
      <c r="AB70" s="75" t="str">
        <f t="shared" ca="1" si="59"/>
        <v/>
      </c>
      <c r="AC70" s="75" t="str">
        <f t="shared" ca="1" si="59"/>
        <v/>
      </c>
      <c r="AD70" s="75" t="str">
        <f t="shared" ca="1" si="59"/>
        <v/>
      </c>
      <c r="AE70" s="75" t="str">
        <f t="shared" ca="1" si="59"/>
        <v/>
      </c>
      <c r="AF70" s="75" t="str">
        <f t="shared" ca="1" si="59"/>
        <v/>
      </c>
      <c r="AG70" s="75" t="str">
        <f t="shared" ca="1" si="59"/>
        <v/>
      </c>
      <c r="AH70" s="75" t="str">
        <f t="shared" ca="1" si="59"/>
        <v/>
      </c>
      <c r="AI70" s="75" t="str">
        <f t="shared" ca="1" si="60"/>
        <v/>
      </c>
      <c r="AJ70" s="75" t="str">
        <f t="shared" ca="1" si="60"/>
        <v/>
      </c>
      <c r="AK70" s="75" t="str">
        <f t="shared" ca="1" si="60"/>
        <v/>
      </c>
      <c r="AL70" s="75" t="str">
        <f t="shared" ca="1" si="60"/>
        <v/>
      </c>
      <c r="AM70" s="75" t="str">
        <f t="shared" ca="1" si="60"/>
        <v/>
      </c>
      <c r="AN70" s="75" t="str">
        <f t="shared" ca="1" si="60"/>
        <v/>
      </c>
      <c r="AO70" s="75" t="str">
        <f t="shared" ca="1" si="60"/>
        <v/>
      </c>
      <c r="AP70" s="75" t="str">
        <f t="shared" ca="1" si="60"/>
        <v/>
      </c>
      <c r="AQ70" s="75" t="str">
        <f t="shared" ca="1" si="60"/>
        <v/>
      </c>
      <c r="AR70" s="75" t="str">
        <f t="shared" ca="1" si="60"/>
        <v/>
      </c>
      <c r="AS70" s="75" t="str">
        <f t="shared" ca="1" si="60"/>
        <v/>
      </c>
      <c r="AT70" s="75" t="str">
        <f t="shared" ca="1" si="60"/>
        <v/>
      </c>
      <c r="AU70" s="74" t="str">
        <f t="shared" ca="1" si="60"/>
        <v/>
      </c>
      <c r="AV70" s="74" t="str">
        <f t="shared" ca="1" si="60"/>
        <v/>
      </c>
      <c r="AW70" s="74" t="str">
        <f t="shared" ca="1" si="60"/>
        <v/>
      </c>
      <c r="AX70" s="74" t="str">
        <f t="shared" ca="1" si="60"/>
        <v/>
      </c>
      <c r="AY70" s="74" t="str">
        <f t="shared" ca="1" si="61"/>
        <v/>
      </c>
      <c r="AZ70" s="74" t="str">
        <f t="shared" ca="1" si="51"/>
        <v/>
      </c>
      <c r="BA70" s="74" t="str">
        <f t="shared" ca="1" si="51"/>
        <v/>
      </c>
      <c r="BB70" s="74" t="str">
        <f t="shared" ca="1" si="51"/>
        <v/>
      </c>
      <c r="BC70" s="74" t="str">
        <f t="shared" ca="1" si="51"/>
        <v/>
      </c>
      <c r="BD70" s="74" t="str">
        <f t="shared" ca="1" si="51"/>
        <v/>
      </c>
      <c r="BE70" s="74" t="str">
        <f t="shared" ca="1" si="51"/>
        <v/>
      </c>
      <c r="BF70" s="74" t="str">
        <f t="shared" ca="1" si="51"/>
        <v/>
      </c>
      <c r="BG70" s="74" t="str">
        <f t="shared" ca="1" si="51"/>
        <v/>
      </c>
      <c r="BH70" s="74" t="str">
        <f t="shared" ca="1" si="51"/>
        <v/>
      </c>
      <c r="BI70" s="74" t="str">
        <f t="shared" ca="1" si="51"/>
        <v/>
      </c>
      <c r="BJ70" s="74" t="str">
        <f t="shared" ca="1" si="51"/>
        <v/>
      </c>
      <c r="BK70" s="74" t="str">
        <f t="shared" ca="1" si="51"/>
        <v/>
      </c>
      <c r="BL70" s="74" t="str">
        <f t="shared" ca="1" si="51"/>
        <v/>
      </c>
      <c r="BM70" s="74" t="str">
        <f t="shared" ca="1" si="51"/>
        <v/>
      </c>
      <c r="BN70" s="75" t="str">
        <f t="shared" ca="1" si="51"/>
        <v/>
      </c>
      <c r="BO70" s="75" t="str">
        <f t="shared" ca="1" si="51"/>
        <v/>
      </c>
      <c r="BP70" s="75" t="str">
        <f t="shared" ca="1" si="52"/>
        <v/>
      </c>
      <c r="BQ70" s="75" t="str">
        <f t="shared" ca="1" si="52"/>
        <v/>
      </c>
      <c r="BR70" s="75" t="str">
        <f t="shared" ca="1" si="52"/>
        <v/>
      </c>
      <c r="BS70" s="75" t="str">
        <f t="shared" ca="1" si="52"/>
        <v/>
      </c>
      <c r="BT70" s="75" t="str">
        <f t="shared" ca="1" si="52"/>
        <v/>
      </c>
      <c r="BU70" s="75" t="str">
        <f t="shared" ca="1" si="52"/>
        <v/>
      </c>
      <c r="BV70" s="75" t="str">
        <f t="shared" ca="1" si="52"/>
        <v/>
      </c>
      <c r="BW70" s="75" t="str">
        <f t="shared" ca="1" si="52"/>
        <v/>
      </c>
      <c r="BX70" s="75" t="str">
        <f t="shared" ca="1" si="52"/>
        <v/>
      </c>
      <c r="BY70" s="75" t="str">
        <f t="shared" ca="1" si="52"/>
        <v/>
      </c>
      <c r="BZ70" s="75" t="str">
        <f t="shared" ca="1" si="52"/>
        <v/>
      </c>
      <c r="CA70" s="75" t="str">
        <f t="shared" ca="1" si="52"/>
        <v/>
      </c>
      <c r="CB70" s="75" t="str">
        <f t="shared" ca="1" si="52"/>
        <v/>
      </c>
      <c r="CC70" s="75" t="str">
        <f t="shared" ca="1" si="52"/>
        <v/>
      </c>
      <c r="CD70" s="75" t="str">
        <f t="shared" ca="1" si="52"/>
        <v/>
      </c>
      <c r="CE70" s="75" t="str">
        <f t="shared" ca="1" si="52"/>
        <v/>
      </c>
      <c r="CF70" s="75" t="str">
        <f t="shared" ca="1" si="53"/>
        <v/>
      </c>
      <c r="CG70" s="74" t="str">
        <f t="shared" ca="1" si="53"/>
        <v/>
      </c>
      <c r="CH70" s="74" t="str">
        <f t="shared" ca="1" si="53"/>
        <v/>
      </c>
      <c r="CI70" s="74" t="str">
        <f t="shared" ca="1" si="53"/>
        <v/>
      </c>
      <c r="CJ70" s="74" t="str">
        <f t="shared" ca="1" si="53"/>
        <v/>
      </c>
      <c r="CK70" s="74" t="str">
        <f t="shared" ca="1" si="53"/>
        <v/>
      </c>
      <c r="CL70" s="74" t="str">
        <f t="shared" ca="1" si="53"/>
        <v/>
      </c>
      <c r="CM70" s="74" t="str">
        <f t="shared" ca="1" si="53"/>
        <v/>
      </c>
      <c r="CN70" s="74" t="str">
        <f t="shared" ca="1" si="53"/>
        <v/>
      </c>
      <c r="CO70" s="74" t="str">
        <f t="shared" ca="1" si="53"/>
        <v/>
      </c>
      <c r="CP70" s="74" t="str">
        <f t="shared" ca="1" si="53"/>
        <v/>
      </c>
      <c r="CQ70" s="74" t="str">
        <f t="shared" ca="1" si="53"/>
        <v/>
      </c>
      <c r="CR70" s="74" t="str">
        <f t="shared" ca="1" si="53"/>
        <v/>
      </c>
      <c r="CS70" s="74" t="str">
        <f t="shared" ca="1" si="53"/>
        <v/>
      </c>
      <c r="CT70" s="74" t="str">
        <f t="shared" ca="1" si="53"/>
        <v/>
      </c>
      <c r="CU70" s="74" t="str">
        <f t="shared" ca="1" si="53"/>
        <v/>
      </c>
      <c r="CV70" s="74" t="str">
        <f t="shared" ca="1" si="54"/>
        <v/>
      </c>
      <c r="CW70" s="74" t="str">
        <f t="shared" ca="1" si="54"/>
        <v/>
      </c>
      <c r="CX70" s="74" t="str">
        <f t="shared" ca="1" si="54"/>
        <v/>
      </c>
      <c r="CY70" s="74" t="str">
        <f t="shared" ca="1" si="54"/>
        <v/>
      </c>
      <c r="CZ70" s="75" t="str">
        <f t="shared" ca="1" si="54"/>
        <v/>
      </c>
      <c r="DA70" s="75" t="str">
        <f t="shared" ca="1" si="54"/>
        <v/>
      </c>
      <c r="DB70" s="75" t="str">
        <f t="shared" ca="1" si="54"/>
        <v/>
      </c>
      <c r="DC70" s="75" t="str">
        <f t="shared" ca="1" si="54"/>
        <v/>
      </c>
      <c r="DD70" s="75" t="str">
        <f t="shared" ca="1" si="54"/>
        <v/>
      </c>
      <c r="DE70" s="75" t="str">
        <f t="shared" ca="1" si="54"/>
        <v/>
      </c>
      <c r="DF70" s="75" t="str">
        <f t="shared" ca="1" si="54"/>
        <v/>
      </c>
      <c r="DG70" s="75" t="str">
        <f t="shared" ca="1" si="54"/>
        <v/>
      </c>
      <c r="DH70" s="75" t="str">
        <f t="shared" ca="1" si="54"/>
        <v/>
      </c>
      <c r="DI70" s="75" t="str">
        <f t="shared" ca="1" si="54"/>
        <v/>
      </c>
      <c r="DJ70" s="75" t="str">
        <f t="shared" ca="1" si="54"/>
        <v/>
      </c>
      <c r="DK70" s="75" t="str">
        <f t="shared" ca="1" si="54"/>
        <v/>
      </c>
      <c r="DL70" s="75" t="str">
        <f t="shared" ca="1" si="55"/>
        <v/>
      </c>
      <c r="DM70" s="75" t="str">
        <f t="shared" ca="1" si="55"/>
        <v/>
      </c>
      <c r="DN70" s="75" t="str">
        <f t="shared" ca="1" si="55"/>
        <v/>
      </c>
      <c r="DO70" s="75" t="str">
        <f t="shared" ca="1" si="55"/>
        <v/>
      </c>
      <c r="DP70" s="75" t="str">
        <f t="shared" ca="1" si="55"/>
        <v/>
      </c>
      <c r="DQ70" s="75" t="str">
        <f t="shared" ca="1" si="55"/>
        <v/>
      </c>
      <c r="DR70" s="75" t="str">
        <f t="shared" ca="1" si="55"/>
        <v/>
      </c>
      <c r="DS70" s="74" t="str">
        <f t="shared" ca="1" si="55"/>
        <v/>
      </c>
      <c r="DT70" s="74" t="str">
        <f t="shared" ca="1" si="55"/>
        <v/>
      </c>
      <c r="DU70" s="74" t="str">
        <f t="shared" ca="1" si="55"/>
        <v/>
      </c>
      <c r="DV70" s="74" t="str">
        <f t="shared" ca="1" si="55"/>
        <v/>
      </c>
      <c r="DW70" s="74" t="str">
        <f t="shared" ca="1" si="55"/>
        <v/>
      </c>
      <c r="DX70" s="74" t="str">
        <f t="shared" ca="1" si="55"/>
        <v/>
      </c>
      <c r="DY70" s="74" t="str">
        <f t="shared" ca="1" si="55"/>
        <v/>
      </c>
      <c r="DZ70" s="74" t="str">
        <f t="shared" ca="1" si="55"/>
        <v/>
      </c>
      <c r="EA70" s="74" t="str">
        <f t="shared" ca="1" si="55"/>
        <v/>
      </c>
      <c r="EB70" s="74" t="str">
        <f t="shared" ca="1" si="56"/>
        <v/>
      </c>
      <c r="EC70" s="74" t="str">
        <f t="shared" ca="1" si="56"/>
        <v/>
      </c>
      <c r="ED70" s="74" t="str">
        <f t="shared" ca="1" si="56"/>
        <v/>
      </c>
      <c r="EE70" s="74" t="str">
        <f t="shared" ca="1" si="56"/>
        <v/>
      </c>
      <c r="EF70" s="74" t="str">
        <f t="shared" ca="1" si="56"/>
        <v/>
      </c>
      <c r="EG70" s="74" t="str">
        <f t="shared" ca="1" si="56"/>
        <v/>
      </c>
      <c r="EH70" s="74" t="str">
        <f t="shared" ca="1" si="56"/>
        <v/>
      </c>
      <c r="EI70" s="74" t="str">
        <f t="shared" ca="1" si="56"/>
        <v/>
      </c>
      <c r="EJ70" s="74" t="str">
        <f t="shared" ca="1" si="56"/>
        <v/>
      </c>
      <c r="EK70" s="75" t="str">
        <f t="shared" ca="1" si="56"/>
        <v/>
      </c>
      <c r="EL70" s="75" t="str">
        <f t="shared" ca="1" si="56"/>
        <v/>
      </c>
      <c r="EM70" s="75" t="str">
        <f t="shared" ca="1" si="56"/>
        <v/>
      </c>
      <c r="EN70" s="75" t="str">
        <f t="shared" ca="1" si="56"/>
        <v/>
      </c>
      <c r="EO70" s="75" t="str">
        <f t="shared" ca="1" si="56"/>
        <v/>
      </c>
      <c r="EP70" s="75" t="str">
        <f t="shared" ca="1" si="56"/>
        <v/>
      </c>
      <c r="EQ70" s="75" t="str">
        <f t="shared" ca="1" si="56"/>
        <v/>
      </c>
      <c r="ER70" s="75" t="str">
        <f t="shared" ca="1" si="57"/>
        <v/>
      </c>
      <c r="ES70" s="75" t="str">
        <f t="shared" ca="1" si="57"/>
        <v/>
      </c>
      <c r="ET70" s="75" t="str">
        <f t="shared" ca="1" si="57"/>
        <v/>
      </c>
      <c r="EU70" s="75" t="str">
        <f t="shared" ca="1" si="57"/>
        <v/>
      </c>
      <c r="EV70" s="75" t="str">
        <f t="shared" ca="1" si="57"/>
        <v/>
      </c>
      <c r="EW70" s="75" t="str">
        <f t="shared" ca="1" si="57"/>
        <v/>
      </c>
      <c r="EX70" s="75" t="str">
        <f t="shared" ca="1" si="57"/>
        <v/>
      </c>
      <c r="EY70" s="75" t="str">
        <f t="shared" ca="1" si="57"/>
        <v/>
      </c>
      <c r="EZ70" s="75" t="str">
        <f t="shared" ca="1" si="57"/>
        <v/>
      </c>
      <c r="FA70" s="75" t="str">
        <f t="shared" ca="1" si="57"/>
        <v/>
      </c>
      <c r="FB70" s="75" t="str">
        <f t="shared" ca="1" si="57"/>
        <v/>
      </c>
      <c r="FC70" s="76" t="str">
        <f t="shared" ca="1" si="57"/>
        <v/>
      </c>
      <c r="FD70" s="74" t="str">
        <f t="shared" ca="1" si="57"/>
        <v/>
      </c>
      <c r="FE70" s="74" t="str">
        <f t="shared" ca="1" si="57"/>
        <v/>
      </c>
      <c r="FF70" s="74" t="str">
        <f t="shared" ca="1" si="57"/>
        <v/>
      </c>
      <c r="FG70" s="74" t="str">
        <f t="shared" ca="1" si="58"/>
        <v/>
      </c>
      <c r="FH70" s="74" t="str">
        <f t="shared" ca="1" si="58"/>
        <v/>
      </c>
      <c r="FI70" s="74" t="str">
        <f t="shared" ca="1" si="58"/>
        <v/>
      </c>
      <c r="FJ70" s="74" t="str">
        <f t="shared" ca="1" si="58"/>
        <v/>
      </c>
      <c r="FK70" s="74" t="str">
        <f t="shared" ca="1" si="58"/>
        <v/>
      </c>
      <c r="FL70" s="74" t="str">
        <f t="shared" ca="1" si="58"/>
        <v/>
      </c>
      <c r="FM70" s="74" t="str">
        <f t="shared" ca="1" si="58"/>
        <v/>
      </c>
      <c r="FN70" s="74" t="str">
        <f t="shared" ca="1" si="58"/>
        <v/>
      </c>
      <c r="FO70" s="74" t="str">
        <f t="shared" ca="1" si="58"/>
        <v/>
      </c>
      <c r="FP70" s="74" t="str">
        <f t="shared" ca="1" si="58"/>
        <v/>
      </c>
      <c r="FQ70" s="74" t="str">
        <f t="shared" ca="1" si="58"/>
        <v/>
      </c>
      <c r="FR70" s="74" t="str">
        <f t="shared" ca="1" si="58"/>
        <v/>
      </c>
      <c r="FS70" s="74" t="str">
        <f t="shared" ca="1" si="58"/>
        <v/>
      </c>
      <c r="FT70" s="74" t="str">
        <f t="shared" ca="1" si="58"/>
        <v/>
      </c>
    </row>
    <row r="71" spans="1:176" x14ac:dyDescent="0.35">
      <c r="A71" s="74"/>
      <c r="B71" s="74" t="str">
        <f t="shared" ca="1" si="62"/>
        <v/>
      </c>
      <c r="C71" s="74" t="str">
        <f t="shared" ca="1" si="62"/>
        <v/>
      </c>
      <c r="D71" s="74" t="str">
        <f t="shared" ca="1" si="62"/>
        <v/>
      </c>
      <c r="E71" s="74" t="str">
        <f t="shared" ca="1" si="62"/>
        <v/>
      </c>
      <c r="F71" t="str">
        <f t="shared" ca="1" si="63"/>
        <v/>
      </c>
      <c r="G71" t="str">
        <f t="shared" ca="1" si="63"/>
        <v/>
      </c>
      <c r="H71" t="str">
        <f t="shared" ca="1" si="63"/>
        <v/>
      </c>
      <c r="I71" s="74" t="str">
        <f t="shared" ca="1" si="62"/>
        <v/>
      </c>
      <c r="J71" s="74" t="str">
        <f t="shared" ca="1" si="62"/>
        <v/>
      </c>
      <c r="K71" s="74" t="str">
        <f t="shared" ca="1" si="62"/>
        <v/>
      </c>
      <c r="L71" s="74" t="str">
        <f t="shared" ca="1" si="62"/>
        <v/>
      </c>
      <c r="M71" s="74" t="str">
        <f t="shared" ca="1" si="62"/>
        <v/>
      </c>
      <c r="N71" s="74" t="str">
        <f t="shared" ca="1" si="62"/>
        <v/>
      </c>
      <c r="O71" s="74" t="str">
        <f t="shared" ca="1" si="62"/>
        <v/>
      </c>
      <c r="P71" s="74" t="str">
        <f t="shared" ca="1" si="62"/>
        <v/>
      </c>
      <c r="Q71" s="74" t="str">
        <f t="shared" ca="1" si="62"/>
        <v/>
      </c>
      <c r="R71" s="74" t="str">
        <f t="shared" ca="1" si="62"/>
        <v/>
      </c>
      <c r="S71" s="74" t="str">
        <f t="shared" ca="1" si="62"/>
        <v/>
      </c>
      <c r="T71" s="74" t="str">
        <f t="shared" ca="1" si="59"/>
        <v/>
      </c>
      <c r="U71" s="74" t="str">
        <f t="shared" ca="1" si="59"/>
        <v/>
      </c>
      <c r="V71" s="74" t="str">
        <f t="shared" ca="1" si="59"/>
        <v/>
      </c>
      <c r="W71" s="74" t="str">
        <f t="shared" ca="1" si="59"/>
        <v/>
      </c>
      <c r="X71" s="74" t="str">
        <f t="shared" ca="1" si="59"/>
        <v/>
      </c>
      <c r="Y71" s="74" t="str">
        <f t="shared" ca="1" si="59"/>
        <v/>
      </c>
      <c r="Z71" s="74" t="str">
        <f t="shared" ca="1" si="59"/>
        <v/>
      </c>
      <c r="AA71" s="74" t="str">
        <f t="shared" ca="1" si="59"/>
        <v/>
      </c>
      <c r="AB71" s="75" t="str">
        <f t="shared" ca="1" si="59"/>
        <v/>
      </c>
      <c r="AC71" s="75" t="str">
        <f t="shared" ca="1" si="59"/>
        <v/>
      </c>
      <c r="AD71" s="75" t="str">
        <f t="shared" ca="1" si="59"/>
        <v/>
      </c>
      <c r="AE71" s="75" t="str">
        <f t="shared" ca="1" si="59"/>
        <v/>
      </c>
      <c r="AF71" s="75" t="str">
        <f t="shared" ca="1" si="59"/>
        <v/>
      </c>
      <c r="AG71" s="75" t="str">
        <f t="shared" ca="1" si="59"/>
        <v/>
      </c>
      <c r="AH71" s="75" t="str">
        <f t="shared" ca="1" si="59"/>
        <v/>
      </c>
      <c r="AI71" s="75" t="str">
        <f t="shared" ca="1" si="60"/>
        <v/>
      </c>
      <c r="AJ71" s="75" t="str">
        <f t="shared" ca="1" si="60"/>
        <v/>
      </c>
      <c r="AK71" s="75" t="str">
        <f t="shared" ca="1" si="60"/>
        <v/>
      </c>
      <c r="AL71" s="75" t="str">
        <f t="shared" ca="1" si="60"/>
        <v/>
      </c>
      <c r="AM71" s="75" t="str">
        <f t="shared" ca="1" si="60"/>
        <v/>
      </c>
      <c r="AN71" s="75" t="str">
        <f t="shared" ca="1" si="60"/>
        <v/>
      </c>
      <c r="AO71" s="75" t="str">
        <f t="shared" ca="1" si="60"/>
        <v/>
      </c>
      <c r="AP71" s="75" t="str">
        <f t="shared" ca="1" si="60"/>
        <v/>
      </c>
      <c r="AQ71" s="75" t="str">
        <f t="shared" ca="1" si="60"/>
        <v/>
      </c>
      <c r="AR71" s="75" t="str">
        <f t="shared" ca="1" si="60"/>
        <v/>
      </c>
      <c r="AS71" s="75" t="str">
        <f t="shared" ca="1" si="60"/>
        <v/>
      </c>
      <c r="AT71" s="75" t="str">
        <f t="shared" ca="1" si="60"/>
        <v/>
      </c>
      <c r="AU71" s="74" t="str">
        <f t="shared" ca="1" si="60"/>
        <v/>
      </c>
      <c r="AV71" s="74" t="str">
        <f t="shared" ca="1" si="60"/>
        <v/>
      </c>
      <c r="AW71" s="74" t="str">
        <f t="shared" ca="1" si="60"/>
        <v/>
      </c>
      <c r="AX71" s="74" t="str">
        <f t="shared" ca="1" si="60"/>
        <v/>
      </c>
      <c r="AY71" s="74" t="str">
        <f t="shared" ca="1" si="61"/>
        <v/>
      </c>
      <c r="AZ71" s="74" t="str">
        <f t="shared" ca="1" si="51"/>
        <v/>
      </c>
      <c r="BA71" s="74" t="str">
        <f t="shared" ca="1" si="51"/>
        <v/>
      </c>
      <c r="BB71" s="74" t="str">
        <f t="shared" ca="1" si="51"/>
        <v/>
      </c>
      <c r="BC71" s="74" t="str">
        <f t="shared" ca="1" si="51"/>
        <v/>
      </c>
      <c r="BD71" s="74" t="str">
        <f t="shared" ca="1" si="51"/>
        <v/>
      </c>
      <c r="BE71" s="74" t="str">
        <f t="shared" ca="1" si="51"/>
        <v/>
      </c>
      <c r="BF71" s="74" t="str">
        <f t="shared" ca="1" si="51"/>
        <v/>
      </c>
      <c r="BG71" s="74" t="str">
        <f t="shared" ca="1" si="51"/>
        <v/>
      </c>
      <c r="BH71" s="74" t="str">
        <f t="shared" ca="1" si="51"/>
        <v/>
      </c>
      <c r="BI71" s="74" t="str">
        <f t="shared" ca="1" si="51"/>
        <v/>
      </c>
      <c r="BJ71" s="74" t="str">
        <f t="shared" ca="1" si="51"/>
        <v/>
      </c>
      <c r="BK71" s="74" t="str">
        <f t="shared" ca="1" si="51"/>
        <v/>
      </c>
      <c r="BL71" s="74" t="str">
        <f t="shared" ca="1" si="51"/>
        <v/>
      </c>
      <c r="BM71" s="74" t="str">
        <f t="shared" ca="1" si="51"/>
        <v/>
      </c>
      <c r="BN71" s="75" t="str">
        <f t="shared" ca="1" si="51"/>
        <v/>
      </c>
      <c r="BO71" s="75" t="str">
        <f t="shared" ca="1" si="51"/>
        <v/>
      </c>
      <c r="BP71" s="75" t="str">
        <f t="shared" ca="1" si="52"/>
        <v/>
      </c>
      <c r="BQ71" s="75" t="str">
        <f t="shared" ca="1" si="52"/>
        <v/>
      </c>
      <c r="BR71" s="75" t="str">
        <f t="shared" ca="1" si="52"/>
        <v/>
      </c>
      <c r="BS71" s="75" t="str">
        <f t="shared" ca="1" si="52"/>
        <v/>
      </c>
      <c r="BT71" s="75" t="str">
        <f t="shared" ca="1" si="52"/>
        <v/>
      </c>
      <c r="BU71" s="75" t="str">
        <f t="shared" ca="1" si="52"/>
        <v/>
      </c>
      <c r="BV71" s="75" t="str">
        <f t="shared" ca="1" si="52"/>
        <v/>
      </c>
      <c r="BW71" s="75" t="str">
        <f t="shared" ca="1" si="52"/>
        <v/>
      </c>
      <c r="BX71" s="75" t="str">
        <f t="shared" ca="1" si="52"/>
        <v/>
      </c>
      <c r="BY71" s="75" t="str">
        <f t="shared" ca="1" si="52"/>
        <v/>
      </c>
      <c r="BZ71" s="75" t="str">
        <f t="shared" ca="1" si="52"/>
        <v/>
      </c>
      <c r="CA71" s="75" t="str">
        <f t="shared" ca="1" si="52"/>
        <v/>
      </c>
      <c r="CB71" s="75" t="str">
        <f t="shared" ca="1" si="52"/>
        <v/>
      </c>
      <c r="CC71" s="75" t="str">
        <f t="shared" ca="1" si="52"/>
        <v/>
      </c>
      <c r="CD71" s="75" t="str">
        <f t="shared" ca="1" si="52"/>
        <v/>
      </c>
      <c r="CE71" s="75" t="str">
        <f t="shared" ca="1" si="52"/>
        <v/>
      </c>
      <c r="CF71" s="75" t="str">
        <f t="shared" ca="1" si="53"/>
        <v/>
      </c>
      <c r="CG71" s="74" t="str">
        <f t="shared" ca="1" si="53"/>
        <v/>
      </c>
      <c r="CH71" s="74" t="str">
        <f t="shared" ca="1" si="53"/>
        <v/>
      </c>
      <c r="CI71" s="74" t="str">
        <f t="shared" ca="1" si="53"/>
        <v/>
      </c>
      <c r="CJ71" s="74" t="str">
        <f t="shared" ca="1" si="53"/>
        <v/>
      </c>
      <c r="CK71" s="74" t="str">
        <f t="shared" ca="1" si="53"/>
        <v/>
      </c>
      <c r="CL71" s="74" t="str">
        <f t="shared" ca="1" si="53"/>
        <v/>
      </c>
      <c r="CM71" s="74" t="str">
        <f t="shared" ca="1" si="53"/>
        <v/>
      </c>
      <c r="CN71" s="74" t="str">
        <f t="shared" ca="1" si="53"/>
        <v/>
      </c>
      <c r="CO71" s="74" t="str">
        <f t="shared" ca="1" si="53"/>
        <v/>
      </c>
      <c r="CP71" s="74" t="str">
        <f t="shared" ca="1" si="53"/>
        <v/>
      </c>
      <c r="CQ71" s="74" t="str">
        <f t="shared" ca="1" si="53"/>
        <v/>
      </c>
      <c r="CR71" s="74" t="str">
        <f t="shared" ca="1" si="53"/>
        <v/>
      </c>
      <c r="CS71" s="74" t="str">
        <f t="shared" ca="1" si="53"/>
        <v/>
      </c>
      <c r="CT71" s="74" t="str">
        <f t="shared" ca="1" si="53"/>
        <v/>
      </c>
      <c r="CU71" s="74" t="str">
        <f t="shared" ca="1" si="53"/>
        <v/>
      </c>
      <c r="CV71" s="74" t="str">
        <f t="shared" ca="1" si="54"/>
        <v/>
      </c>
      <c r="CW71" s="74" t="str">
        <f t="shared" ca="1" si="54"/>
        <v/>
      </c>
      <c r="CX71" s="74" t="str">
        <f t="shared" ca="1" si="54"/>
        <v/>
      </c>
      <c r="CY71" s="74" t="str">
        <f t="shared" ca="1" si="54"/>
        <v/>
      </c>
      <c r="CZ71" s="75" t="str">
        <f t="shared" ca="1" si="54"/>
        <v/>
      </c>
      <c r="DA71" s="75" t="str">
        <f t="shared" ca="1" si="54"/>
        <v/>
      </c>
      <c r="DB71" s="75" t="str">
        <f t="shared" ca="1" si="54"/>
        <v/>
      </c>
      <c r="DC71" s="75" t="str">
        <f t="shared" ca="1" si="54"/>
        <v/>
      </c>
      <c r="DD71" s="75" t="str">
        <f t="shared" ca="1" si="54"/>
        <v/>
      </c>
      <c r="DE71" s="75" t="str">
        <f t="shared" ca="1" si="54"/>
        <v/>
      </c>
      <c r="DF71" s="75" t="str">
        <f t="shared" ca="1" si="54"/>
        <v/>
      </c>
      <c r="DG71" s="75" t="str">
        <f t="shared" ca="1" si="54"/>
        <v/>
      </c>
      <c r="DH71" s="75" t="str">
        <f t="shared" ca="1" si="54"/>
        <v/>
      </c>
      <c r="DI71" s="75" t="str">
        <f t="shared" ca="1" si="54"/>
        <v/>
      </c>
      <c r="DJ71" s="75" t="str">
        <f t="shared" ca="1" si="54"/>
        <v/>
      </c>
      <c r="DK71" s="75" t="str">
        <f t="shared" ca="1" si="54"/>
        <v/>
      </c>
      <c r="DL71" s="75" t="str">
        <f t="shared" ca="1" si="55"/>
        <v/>
      </c>
      <c r="DM71" s="75" t="str">
        <f t="shared" ca="1" si="55"/>
        <v/>
      </c>
      <c r="DN71" s="75" t="str">
        <f t="shared" ca="1" si="55"/>
        <v/>
      </c>
      <c r="DO71" s="75" t="str">
        <f t="shared" ca="1" si="55"/>
        <v/>
      </c>
      <c r="DP71" s="75" t="str">
        <f t="shared" ca="1" si="55"/>
        <v/>
      </c>
      <c r="DQ71" s="75" t="str">
        <f t="shared" ca="1" si="55"/>
        <v/>
      </c>
      <c r="DR71" s="75" t="str">
        <f t="shared" ca="1" si="55"/>
        <v/>
      </c>
      <c r="DS71" s="74" t="str">
        <f t="shared" ca="1" si="55"/>
        <v/>
      </c>
      <c r="DT71" s="74" t="str">
        <f t="shared" ca="1" si="55"/>
        <v/>
      </c>
      <c r="DU71" s="74" t="str">
        <f t="shared" ca="1" si="55"/>
        <v/>
      </c>
      <c r="DV71" s="74" t="str">
        <f t="shared" ca="1" si="55"/>
        <v/>
      </c>
      <c r="DW71" s="74" t="str">
        <f t="shared" ca="1" si="55"/>
        <v/>
      </c>
      <c r="DX71" s="74" t="str">
        <f t="shared" ca="1" si="55"/>
        <v/>
      </c>
      <c r="DY71" s="74" t="str">
        <f t="shared" ca="1" si="55"/>
        <v/>
      </c>
      <c r="DZ71" s="74" t="str">
        <f t="shared" ca="1" si="55"/>
        <v/>
      </c>
      <c r="EA71" s="74" t="str">
        <f t="shared" ca="1" si="55"/>
        <v/>
      </c>
      <c r="EB71" s="74" t="str">
        <f t="shared" ca="1" si="56"/>
        <v/>
      </c>
      <c r="EC71" s="74" t="str">
        <f t="shared" ca="1" si="56"/>
        <v/>
      </c>
      <c r="ED71" s="74" t="str">
        <f t="shared" ca="1" si="56"/>
        <v/>
      </c>
      <c r="EE71" s="74" t="str">
        <f t="shared" ca="1" si="56"/>
        <v/>
      </c>
      <c r="EF71" s="74" t="str">
        <f t="shared" ca="1" si="56"/>
        <v/>
      </c>
      <c r="EG71" s="74" t="str">
        <f t="shared" ca="1" si="56"/>
        <v/>
      </c>
      <c r="EH71" s="74" t="str">
        <f t="shared" ca="1" si="56"/>
        <v/>
      </c>
      <c r="EI71" s="74" t="str">
        <f t="shared" ca="1" si="56"/>
        <v/>
      </c>
      <c r="EJ71" s="74" t="str">
        <f t="shared" ca="1" si="56"/>
        <v/>
      </c>
      <c r="EK71" s="75" t="str">
        <f t="shared" ca="1" si="56"/>
        <v/>
      </c>
      <c r="EL71" s="75" t="str">
        <f t="shared" ca="1" si="56"/>
        <v/>
      </c>
      <c r="EM71" s="75" t="str">
        <f t="shared" ca="1" si="56"/>
        <v/>
      </c>
      <c r="EN71" s="75" t="str">
        <f t="shared" ca="1" si="56"/>
        <v/>
      </c>
      <c r="EO71" s="75" t="str">
        <f t="shared" ca="1" si="56"/>
        <v/>
      </c>
      <c r="EP71" s="75" t="str">
        <f t="shared" ca="1" si="56"/>
        <v/>
      </c>
      <c r="EQ71" s="75" t="str">
        <f t="shared" ca="1" si="56"/>
        <v/>
      </c>
      <c r="ER71" s="75" t="str">
        <f t="shared" ca="1" si="57"/>
        <v/>
      </c>
      <c r="ES71" s="75" t="str">
        <f t="shared" ca="1" si="57"/>
        <v/>
      </c>
      <c r="ET71" s="75" t="str">
        <f t="shared" ca="1" si="57"/>
        <v/>
      </c>
      <c r="EU71" s="75" t="str">
        <f t="shared" ca="1" si="57"/>
        <v/>
      </c>
      <c r="EV71" s="75" t="str">
        <f t="shared" ca="1" si="57"/>
        <v/>
      </c>
      <c r="EW71" s="75" t="str">
        <f t="shared" ca="1" si="57"/>
        <v/>
      </c>
      <c r="EX71" s="75" t="str">
        <f t="shared" ca="1" si="57"/>
        <v/>
      </c>
      <c r="EY71" s="75" t="str">
        <f t="shared" ca="1" si="57"/>
        <v/>
      </c>
      <c r="EZ71" s="75" t="str">
        <f t="shared" ca="1" si="57"/>
        <v/>
      </c>
      <c r="FA71" s="75" t="str">
        <f t="shared" ca="1" si="57"/>
        <v/>
      </c>
      <c r="FB71" s="75" t="str">
        <f t="shared" ca="1" si="57"/>
        <v/>
      </c>
      <c r="FC71" s="76" t="str">
        <f t="shared" ca="1" si="57"/>
        <v/>
      </c>
      <c r="FD71" s="74" t="str">
        <f t="shared" ca="1" si="57"/>
        <v/>
      </c>
      <c r="FE71" s="74" t="str">
        <f t="shared" ca="1" si="57"/>
        <v/>
      </c>
      <c r="FF71" s="74" t="str">
        <f t="shared" ca="1" si="57"/>
        <v/>
      </c>
      <c r="FG71" s="74" t="str">
        <f t="shared" ca="1" si="58"/>
        <v/>
      </c>
      <c r="FH71" s="74" t="str">
        <f t="shared" ca="1" si="58"/>
        <v/>
      </c>
      <c r="FI71" s="74" t="str">
        <f t="shared" ca="1" si="58"/>
        <v/>
      </c>
      <c r="FJ71" s="74" t="str">
        <f t="shared" ca="1" si="58"/>
        <v/>
      </c>
      <c r="FK71" s="74" t="str">
        <f t="shared" ca="1" si="58"/>
        <v/>
      </c>
      <c r="FL71" s="74" t="str">
        <f t="shared" ca="1" si="58"/>
        <v/>
      </c>
      <c r="FM71" s="74" t="str">
        <f t="shared" ca="1" si="58"/>
        <v/>
      </c>
      <c r="FN71" s="74" t="str">
        <f t="shared" ca="1" si="58"/>
        <v/>
      </c>
      <c r="FO71" s="74" t="str">
        <f t="shared" ca="1" si="58"/>
        <v/>
      </c>
      <c r="FP71" s="74" t="str">
        <f t="shared" ca="1" si="58"/>
        <v/>
      </c>
      <c r="FQ71" s="74" t="str">
        <f t="shared" ca="1" si="58"/>
        <v/>
      </c>
      <c r="FR71" s="74" t="str">
        <f t="shared" ca="1" si="58"/>
        <v/>
      </c>
      <c r="FS71" s="74" t="str">
        <f t="shared" ca="1" si="58"/>
        <v/>
      </c>
      <c r="FT71" s="74" t="str">
        <f t="shared" ca="1" si="58"/>
        <v/>
      </c>
    </row>
    <row r="72" spans="1:176" x14ac:dyDescent="0.35">
      <c r="A72" s="74"/>
      <c r="B72" s="74" t="str">
        <f t="shared" ca="1" si="62"/>
        <v/>
      </c>
      <c r="C72" s="74" t="str">
        <f t="shared" ca="1" si="62"/>
        <v/>
      </c>
      <c r="D72" s="74" t="str">
        <f t="shared" ca="1" si="62"/>
        <v/>
      </c>
      <c r="E72" s="74" t="str">
        <f t="shared" ca="1" si="62"/>
        <v/>
      </c>
      <c r="F72" t="str">
        <f t="shared" ca="1" si="63"/>
        <v/>
      </c>
      <c r="G72" t="str">
        <f t="shared" ca="1" si="63"/>
        <v/>
      </c>
      <c r="H72" t="str">
        <f t="shared" ca="1" si="63"/>
        <v/>
      </c>
      <c r="I72" s="74" t="str">
        <f t="shared" ca="1" si="62"/>
        <v/>
      </c>
      <c r="J72" s="74" t="str">
        <f t="shared" ca="1" si="62"/>
        <v/>
      </c>
      <c r="K72" s="74" t="str">
        <f t="shared" ca="1" si="62"/>
        <v/>
      </c>
      <c r="L72" s="74" t="str">
        <f t="shared" ca="1" si="62"/>
        <v/>
      </c>
      <c r="M72" s="74" t="str">
        <f t="shared" ca="1" si="62"/>
        <v/>
      </c>
      <c r="N72" s="74" t="str">
        <f t="shared" ca="1" si="62"/>
        <v/>
      </c>
      <c r="O72" s="74" t="str">
        <f t="shared" ca="1" si="62"/>
        <v/>
      </c>
      <c r="P72" s="74" t="str">
        <f t="shared" ca="1" si="62"/>
        <v/>
      </c>
      <c r="Q72" s="74" t="str">
        <f t="shared" ca="1" si="62"/>
        <v/>
      </c>
      <c r="R72" s="74" t="str">
        <f t="shared" ca="1" si="62"/>
        <v/>
      </c>
      <c r="S72" s="74" t="str">
        <f t="shared" ca="1" si="62"/>
        <v/>
      </c>
      <c r="T72" s="74" t="str">
        <f t="shared" ca="1" si="59"/>
        <v/>
      </c>
      <c r="U72" s="74" t="str">
        <f t="shared" ca="1" si="59"/>
        <v/>
      </c>
      <c r="V72" s="74" t="str">
        <f t="shared" ca="1" si="59"/>
        <v/>
      </c>
      <c r="W72" s="74" t="str">
        <f t="shared" ca="1" si="59"/>
        <v/>
      </c>
      <c r="X72" s="74" t="str">
        <f t="shared" ca="1" si="59"/>
        <v/>
      </c>
      <c r="Y72" s="74" t="str">
        <f t="shared" ca="1" si="59"/>
        <v/>
      </c>
      <c r="Z72" s="74" t="str">
        <f t="shared" ca="1" si="59"/>
        <v/>
      </c>
      <c r="AA72" s="74" t="str">
        <f t="shared" ca="1" si="59"/>
        <v/>
      </c>
      <c r="AB72" s="75" t="str">
        <f t="shared" ca="1" si="59"/>
        <v/>
      </c>
      <c r="AC72" s="75" t="str">
        <f t="shared" ca="1" si="59"/>
        <v/>
      </c>
      <c r="AD72" s="75" t="str">
        <f t="shared" ca="1" si="59"/>
        <v/>
      </c>
      <c r="AE72" s="75" t="str">
        <f t="shared" ca="1" si="59"/>
        <v/>
      </c>
      <c r="AF72" s="75" t="str">
        <f t="shared" ca="1" si="59"/>
        <v/>
      </c>
      <c r="AG72" s="75" t="str">
        <f t="shared" ca="1" si="59"/>
        <v/>
      </c>
      <c r="AH72" s="75" t="str">
        <f t="shared" ca="1" si="59"/>
        <v/>
      </c>
      <c r="AI72" s="75" t="str">
        <f t="shared" ca="1" si="60"/>
        <v/>
      </c>
      <c r="AJ72" s="75" t="str">
        <f t="shared" ca="1" si="60"/>
        <v/>
      </c>
      <c r="AK72" s="75" t="str">
        <f t="shared" ca="1" si="60"/>
        <v/>
      </c>
      <c r="AL72" s="75" t="str">
        <f t="shared" ca="1" si="60"/>
        <v/>
      </c>
      <c r="AM72" s="75" t="str">
        <f t="shared" ca="1" si="60"/>
        <v/>
      </c>
      <c r="AN72" s="75" t="str">
        <f t="shared" ca="1" si="60"/>
        <v/>
      </c>
      <c r="AO72" s="75" t="str">
        <f t="shared" ca="1" si="60"/>
        <v/>
      </c>
      <c r="AP72" s="75" t="str">
        <f t="shared" ca="1" si="60"/>
        <v/>
      </c>
      <c r="AQ72" s="75" t="str">
        <f t="shared" ca="1" si="60"/>
        <v/>
      </c>
      <c r="AR72" s="75" t="str">
        <f t="shared" ca="1" si="60"/>
        <v/>
      </c>
      <c r="AS72" s="75" t="str">
        <f t="shared" ca="1" si="60"/>
        <v/>
      </c>
      <c r="AT72" s="75" t="str">
        <f t="shared" ca="1" si="60"/>
        <v/>
      </c>
      <c r="AU72" s="74" t="str">
        <f t="shared" ca="1" si="60"/>
        <v/>
      </c>
      <c r="AV72" s="74" t="str">
        <f t="shared" ca="1" si="60"/>
        <v/>
      </c>
      <c r="AW72" s="74" t="str">
        <f t="shared" ca="1" si="60"/>
        <v/>
      </c>
      <c r="AX72" s="74" t="str">
        <f t="shared" ca="1" si="60"/>
        <v/>
      </c>
      <c r="AY72" s="74" t="str">
        <f t="shared" ca="1" si="61"/>
        <v/>
      </c>
      <c r="AZ72" s="74" t="str">
        <f t="shared" ca="1" si="51"/>
        <v/>
      </c>
      <c r="BA72" s="74" t="str">
        <f t="shared" ca="1" si="51"/>
        <v/>
      </c>
      <c r="BB72" s="74" t="str">
        <f t="shared" ca="1" si="51"/>
        <v/>
      </c>
      <c r="BC72" s="74" t="str">
        <f t="shared" ca="1" si="51"/>
        <v/>
      </c>
      <c r="BD72" s="74" t="str">
        <f t="shared" ca="1" si="51"/>
        <v/>
      </c>
      <c r="BE72" s="74" t="str">
        <f t="shared" ca="1" si="51"/>
        <v/>
      </c>
      <c r="BF72" s="74" t="str">
        <f t="shared" ca="1" si="51"/>
        <v/>
      </c>
      <c r="BG72" s="74" t="str">
        <f t="shared" ca="1" si="51"/>
        <v/>
      </c>
      <c r="BH72" s="74" t="str">
        <f t="shared" ca="1" si="51"/>
        <v/>
      </c>
      <c r="BI72" s="74" t="str">
        <f t="shared" ca="1" si="51"/>
        <v/>
      </c>
      <c r="BJ72" s="74" t="str">
        <f t="shared" ca="1" si="51"/>
        <v/>
      </c>
      <c r="BK72" s="74" t="str">
        <f t="shared" ca="1" si="51"/>
        <v/>
      </c>
      <c r="BL72" s="74" t="str">
        <f t="shared" ca="1" si="51"/>
        <v/>
      </c>
      <c r="BM72" s="74" t="str">
        <f t="shared" ca="1" si="51"/>
        <v/>
      </c>
      <c r="BN72" s="75" t="str">
        <f t="shared" ca="1" si="51"/>
        <v/>
      </c>
      <c r="BO72" s="75" t="str">
        <f t="shared" ca="1" si="51"/>
        <v/>
      </c>
      <c r="BP72" s="75" t="str">
        <f t="shared" ca="1" si="52"/>
        <v/>
      </c>
      <c r="BQ72" s="75" t="str">
        <f t="shared" ca="1" si="52"/>
        <v/>
      </c>
      <c r="BR72" s="75" t="str">
        <f t="shared" ca="1" si="52"/>
        <v/>
      </c>
      <c r="BS72" s="75" t="str">
        <f t="shared" ca="1" si="52"/>
        <v/>
      </c>
      <c r="BT72" s="75" t="str">
        <f t="shared" ca="1" si="52"/>
        <v/>
      </c>
      <c r="BU72" s="75" t="str">
        <f t="shared" ca="1" si="52"/>
        <v/>
      </c>
      <c r="BV72" s="75" t="str">
        <f t="shared" ca="1" si="52"/>
        <v/>
      </c>
      <c r="BW72" s="75" t="str">
        <f t="shared" ca="1" si="52"/>
        <v/>
      </c>
      <c r="BX72" s="75" t="str">
        <f t="shared" ca="1" si="52"/>
        <v/>
      </c>
      <c r="BY72" s="75" t="str">
        <f t="shared" ca="1" si="52"/>
        <v/>
      </c>
      <c r="BZ72" s="75" t="str">
        <f t="shared" ca="1" si="52"/>
        <v/>
      </c>
      <c r="CA72" s="75" t="str">
        <f t="shared" ca="1" si="52"/>
        <v/>
      </c>
      <c r="CB72" s="75" t="str">
        <f t="shared" ca="1" si="52"/>
        <v/>
      </c>
      <c r="CC72" s="75" t="str">
        <f t="shared" ca="1" si="52"/>
        <v/>
      </c>
      <c r="CD72" s="75" t="str">
        <f t="shared" ca="1" si="52"/>
        <v/>
      </c>
      <c r="CE72" s="75" t="str">
        <f t="shared" ca="1" si="52"/>
        <v/>
      </c>
      <c r="CF72" s="75" t="str">
        <f t="shared" ca="1" si="53"/>
        <v/>
      </c>
      <c r="CG72" s="74" t="str">
        <f t="shared" ca="1" si="53"/>
        <v/>
      </c>
      <c r="CH72" s="74" t="str">
        <f t="shared" ca="1" si="53"/>
        <v/>
      </c>
      <c r="CI72" s="74" t="str">
        <f t="shared" ca="1" si="53"/>
        <v/>
      </c>
      <c r="CJ72" s="74" t="str">
        <f t="shared" ca="1" si="53"/>
        <v/>
      </c>
      <c r="CK72" s="74" t="str">
        <f t="shared" ca="1" si="53"/>
        <v/>
      </c>
      <c r="CL72" s="74" t="str">
        <f t="shared" ca="1" si="53"/>
        <v/>
      </c>
      <c r="CM72" s="74" t="str">
        <f t="shared" ca="1" si="53"/>
        <v/>
      </c>
      <c r="CN72" s="74" t="str">
        <f t="shared" ca="1" si="53"/>
        <v/>
      </c>
      <c r="CO72" s="74" t="str">
        <f t="shared" ca="1" si="53"/>
        <v/>
      </c>
      <c r="CP72" s="74" t="str">
        <f t="shared" ca="1" si="53"/>
        <v/>
      </c>
      <c r="CQ72" s="74" t="str">
        <f t="shared" ca="1" si="53"/>
        <v/>
      </c>
      <c r="CR72" s="74" t="str">
        <f t="shared" ca="1" si="53"/>
        <v/>
      </c>
      <c r="CS72" s="74" t="str">
        <f t="shared" ca="1" si="53"/>
        <v/>
      </c>
      <c r="CT72" s="74" t="str">
        <f t="shared" ca="1" si="53"/>
        <v/>
      </c>
      <c r="CU72" s="74" t="str">
        <f t="shared" ca="1" si="53"/>
        <v/>
      </c>
      <c r="CV72" s="74" t="str">
        <f t="shared" ca="1" si="54"/>
        <v/>
      </c>
      <c r="CW72" s="74" t="str">
        <f t="shared" ca="1" si="54"/>
        <v/>
      </c>
      <c r="CX72" s="74" t="str">
        <f t="shared" ca="1" si="54"/>
        <v/>
      </c>
      <c r="CY72" s="74" t="str">
        <f t="shared" ca="1" si="54"/>
        <v/>
      </c>
      <c r="CZ72" s="75" t="str">
        <f t="shared" ca="1" si="54"/>
        <v/>
      </c>
      <c r="DA72" s="75" t="str">
        <f t="shared" ca="1" si="54"/>
        <v/>
      </c>
      <c r="DB72" s="75" t="str">
        <f t="shared" ca="1" si="54"/>
        <v/>
      </c>
      <c r="DC72" s="75" t="str">
        <f t="shared" ca="1" si="54"/>
        <v/>
      </c>
      <c r="DD72" s="75" t="str">
        <f t="shared" ca="1" si="54"/>
        <v/>
      </c>
      <c r="DE72" s="75" t="str">
        <f t="shared" ca="1" si="54"/>
        <v/>
      </c>
      <c r="DF72" s="75" t="str">
        <f t="shared" ca="1" si="54"/>
        <v/>
      </c>
      <c r="DG72" s="75" t="str">
        <f t="shared" ca="1" si="54"/>
        <v/>
      </c>
      <c r="DH72" s="75" t="str">
        <f t="shared" ca="1" si="54"/>
        <v/>
      </c>
      <c r="DI72" s="75" t="str">
        <f t="shared" ca="1" si="54"/>
        <v/>
      </c>
      <c r="DJ72" s="75" t="str">
        <f t="shared" ca="1" si="54"/>
        <v/>
      </c>
      <c r="DK72" s="75" t="str">
        <f t="shared" ca="1" si="54"/>
        <v/>
      </c>
      <c r="DL72" s="75" t="str">
        <f t="shared" ca="1" si="55"/>
        <v/>
      </c>
      <c r="DM72" s="75" t="str">
        <f t="shared" ca="1" si="55"/>
        <v/>
      </c>
      <c r="DN72" s="75" t="str">
        <f t="shared" ca="1" si="55"/>
        <v/>
      </c>
      <c r="DO72" s="75" t="str">
        <f t="shared" ca="1" si="55"/>
        <v/>
      </c>
      <c r="DP72" s="75" t="str">
        <f t="shared" ca="1" si="55"/>
        <v/>
      </c>
      <c r="DQ72" s="75" t="str">
        <f t="shared" ca="1" si="55"/>
        <v/>
      </c>
      <c r="DR72" s="75" t="str">
        <f t="shared" ca="1" si="55"/>
        <v/>
      </c>
      <c r="DS72" s="74" t="str">
        <f t="shared" ca="1" si="55"/>
        <v/>
      </c>
      <c r="DT72" s="74" t="str">
        <f t="shared" ca="1" si="55"/>
        <v/>
      </c>
      <c r="DU72" s="74" t="str">
        <f t="shared" ca="1" si="55"/>
        <v/>
      </c>
      <c r="DV72" s="74" t="str">
        <f t="shared" ca="1" si="55"/>
        <v/>
      </c>
      <c r="DW72" s="74" t="str">
        <f t="shared" ca="1" si="55"/>
        <v/>
      </c>
      <c r="DX72" s="74" t="str">
        <f t="shared" ca="1" si="55"/>
        <v/>
      </c>
      <c r="DY72" s="74" t="str">
        <f t="shared" ca="1" si="55"/>
        <v/>
      </c>
      <c r="DZ72" s="74" t="str">
        <f t="shared" ca="1" si="55"/>
        <v/>
      </c>
      <c r="EA72" s="74" t="str">
        <f t="shared" ca="1" si="55"/>
        <v/>
      </c>
      <c r="EB72" s="74" t="str">
        <f t="shared" ca="1" si="56"/>
        <v/>
      </c>
      <c r="EC72" s="74" t="str">
        <f t="shared" ca="1" si="56"/>
        <v/>
      </c>
      <c r="ED72" s="74" t="str">
        <f t="shared" ca="1" si="56"/>
        <v/>
      </c>
      <c r="EE72" s="74" t="str">
        <f t="shared" ca="1" si="56"/>
        <v/>
      </c>
      <c r="EF72" s="74" t="str">
        <f t="shared" ca="1" si="56"/>
        <v/>
      </c>
      <c r="EG72" s="74" t="str">
        <f t="shared" ca="1" si="56"/>
        <v/>
      </c>
      <c r="EH72" s="74" t="str">
        <f t="shared" ca="1" si="56"/>
        <v/>
      </c>
      <c r="EI72" s="74" t="str">
        <f t="shared" ca="1" si="56"/>
        <v/>
      </c>
      <c r="EJ72" s="74" t="str">
        <f t="shared" ca="1" si="56"/>
        <v/>
      </c>
      <c r="EK72" s="75" t="str">
        <f t="shared" ca="1" si="56"/>
        <v/>
      </c>
      <c r="EL72" s="75" t="str">
        <f t="shared" ca="1" si="56"/>
        <v/>
      </c>
      <c r="EM72" s="75" t="str">
        <f t="shared" ca="1" si="56"/>
        <v/>
      </c>
      <c r="EN72" s="75" t="str">
        <f t="shared" ca="1" si="56"/>
        <v/>
      </c>
      <c r="EO72" s="75" t="str">
        <f t="shared" ca="1" si="56"/>
        <v/>
      </c>
      <c r="EP72" s="75" t="str">
        <f t="shared" ca="1" si="56"/>
        <v/>
      </c>
      <c r="EQ72" s="75" t="str">
        <f t="shared" ca="1" si="56"/>
        <v/>
      </c>
      <c r="ER72" s="75" t="str">
        <f t="shared" ca="1" si="57"/>
        <v/>
      </c>
      <c r="ES72" s="75" t="str">
        <f t="shared" ca="1" si="57"/>
        <v/>
      </c>
      <c r="ET72" s="75" t="str">
        <f t="shared" ca="1" si="57"/>
        <v/>
      </c>
      <c r="EU72" s="75" t="str">
        <f t="shared" ca="1" si="57"/>
        <v/>
      </c>
      <c r="EV72" s="75" t="str">
        <f t="shared" ca="1" si="57"/>
        <v/>
      </c>
      <c r="EW72" s="75" t="str">
        <f t="shared" ca="1" si="57"/>
        <v/>
      </c>
      <c r="EX72" s="75" t="str">
        <f t="shared" ca="1" si="57"/>
        <v/>
      </c>
      <c r="EY72" s="75" t="str">
        <f t="shared" ca="1" si="57"/>
        <v/>
      </c>
      <c r="EZ72" s="75" t="str">
        <f t="shared" ca="1" si="57"/>
        <v/>
      </c>
      <c r="FA72" s="75" t="str">
        <f t="shared" ca="1" si="57"/>
        <v/>
      </c>
      <c r="FB72" s="75" t="str">
        <f t="shared" ca="1" si="57"/>
        <v/>
      </c>
      <c r="FC72" s="76" t="str">
        <f t="shared" ca="1" si="57"/>
        <v/>
      </c>
      <c r="FD72" s="74" t="str">
        <f t="shared" ca="1" si="57"/>
        <v/>
      </c>
      <c r="FE72" s="74" t="str">
        <f t="shared" ca="1" si="57"/>
        <v/>
      </c>
      <c r="FF72" s="74" t="str">
        <f t="shared" ca="1" si="57"/>
        <v/>
      </c>
      <c r="FG72" s="74" t="str">
        <f t="shared" ca="1" si="58"/>
        <v/>
      </c>
      <c r="FH72" s="74" t="str">
        <f t="shared" ca="1" si="58"/>
        <v/>
      </c>
      <c r="FI72" s="74" t="str">
        <f t="shared" ca="1" si="58"/>
        <v/>
      </c>
      <c r="FJ72" s="74" t="str">
        <f t="shared" ca="1" si="58"/>
        <v/>
      </c>
      <c r="FK72" s="74" t="str">
        <f t="shared" ca="1" si="58"/>
        <v/>
      </c>
      <c r="FL72" s="74" t="str">
        <f t="shared" ca="1" si="58"/>
        <v/>
      </c>
      <c r="FM72" s="74" t="str">
        <f t="shared" ca="1" si="58"/>
        <v/>
      </c>
      <c r="FN72" s="74" t="str">
        <f t="shared" ca="1" si="58"/>
        <v/>
      </c>
      <c r="FO72" s="74" t="str">
        <f t="shared" ca="1" si="58"/>
        <v/>
      </c>
      <c r="FP72" s="74" t="str">
        <f t="shared" ca="1" si="58"/>
        <v/>
      </c>
      <c r="FQ72" s="74" t="str">
        <f t="shared" ca="1" si="58"/>
        <v/>
      </c>
      <c r="FR72" s="74" t="str">
        <f t="shared" ca="1" si="58"/>
        <v/>
      </c>
      <c r="FS72" s="74" t="str">
        <f t="shared" ca="1" si="58"/>
        <v/>
      </c>
      <c r="FT72" s="74" t="str">
        <f t="shared" ca="1" si="58"/>
        <v/>
      </c>
    </row>
    <row r="73" spans="1:176" x14ac:dyDescent="0.35">
      <c r="A73" s="74"/>
      <c r="B73" s="74" t="str">
        <f t="shared" ca="1" si="62"/>
        <v/>
      </c>
      <c r="C73" s="74" t="str">
        <f t="shared" ca="1" si="62"/>
        <v/>
      </c>
      <c r="D73" s="74" t="str">
        <f t="shared" ca="1" si="62"/>
        <v/>
      </c>
      <c r="E73" s="74" t="str">
        <f t="shared" ca="1" si="62"/>
        <v/>
      </c>
      <c r="F73" t="str">
        <f t="shared" ca="1" si="63"/>
        <v/>
      </c>
      <c r="G73" t="str">
        <f t="shared" ca="1" si="63"/>
        <v/>
      </c>
      <c r="H73" t="str">
        <f t="shared" ca="1" si="63"/>
        <v/>
      </c>
      <c r="I73" s="74" t="str">
        <f t="shared" ca="1" si="62"/>
        <v/>
      </c>
      <c r="J73" s="74" t="str">
        <f t="shared" ca="1" si="62"/>
        <v/>
      </c>
      <c r="K73" s="74" t="str">
        <f t="shared" ca="1" si="62"/>
        <v/>
      </c>
      <c r="L73" s="74" t="str">
        <f t="shared" ca="1" si="62"/>
        <v/>
      </c>
      <c r="M73" s="74" t="str">
        <f t="shared" ca="1" si="62"/>
        <v/>
      </c>
      <c r="N73" s="74" t="str">
        <f t="shared" ca="1" si="62"/>
        <v/>
      </c>
      <c r="O73" s="74" t="str">
        <f t="shared" ca="1" si="62"/>
        <v/>
      </c>
      <c r="P73" s="74" t="str">
        <f t="shared" ca="1" si="62"/>
        <v/>
      </c>
      <c r="Q73" s="74" t="str">
        <f t="shared" ca="1" si="62"/>
        <v/>
      </c>
      <c r="R73" s="74" t="str">
        <f t="shared" ca="1" si="62"/>
        <v/>
      </c>
      <c r="S73" s="74" t="str">
        <f t="shared" ca="1" si="62"/>
        <v/>
      </c>
      <c r="T73" s="74" t="str">
        <f t="shared" ca="1" si="59"/>
        <v/>
      </c>
      <c r="U73" s="74" t="str">
        <f t="shared" ca="1" si="59"/>
        <v/>
      </c>
      <c r="V73" s="74" t="str">
        <f t="shared" ca="1" si="59"/>
        <v/>
      </c>
      <c r="W73" s="74" t="str">
        <f t="shared" ca="1" si="59"/>
        <v/>
      </c>
      <c r="X73" s="74" t="str">
        <f t="shared" ca="1" si="59"/>
        <v/>
      </c>
      <c r="Y73" s="74" t="str">
        <f t="shared" ca="1" si="59"/>
        <v/>
      </c>
      <c r="Z73" s="74" t="str">
        <f t="shared" ca="1" si="59"/>
        <v/>
      </c>
      <c r="AA73" s="74" t="str">
        <f t="shared" ca="1" si="59"/>
        <v/>
      </c>
      <c r="AB73" s="75" t="str">
        <f t="shared" ca="1" si="59"/>
        <v/>
      </c>
      <c r="AC73" s="75" t="str">
        <f t="shared" ca="1" si="59"/>
        <v/>
      </c>
      <c r="AD73" s="75" t="str">
        <f t="shared" ca="1" si="59"/>
        <v/>
      </c>
      <c r="AE73" s="75" t="str">
        <f t="shared" ca="1" si="59"/>
        <v/>
      </c>
      <c r="AF73" s="75" t="str">
        <f t="shared" ca="1" si="59"/>
        <v/>
      </c>
      <c r="AG73" s="75" t="str">
        <f t="shared" ca="1" si="59"/>
        <v/>
      </c>
      <c r="AH73" s="75" t="str">
        <f t="shared" ca="1" si="59"/>
        <v/>
      </c>
      <c r="AI73" s="75" t="str">
        <f t="shared" ca="1" si="60"/>
        <v/>
      </c>
      <c r="AJ73" s="75" t="str">
        <f t="shared" ca="1" si="60"/>
        <v/>
      </c>
      <c r="AK73" s="75" t="str">
        <f t="shared" ca="1" si="60"/>
        <v/>
      </c>
      <c r="AL73" s="75" t="str">
        <f t="shared" ca="1" si="60"/>
        <v/>
      </c>
      <c r="AM73" s="75" t="str">
        <f t="shared" ca="1" si="60"/>
        <v/>
      </c>
      <c r="AN73" s="75" t="str">
        <f t="shared" ca="1" si="60"/>
        <v/>
      </c>
      <c r="AO73" s="75" t="str">
        <f t="shared" ca="1" si="60"/>
        <v/>
      </c>
      <c r="AP73" s="75" t="str">
        <f t="shared" ca="1" si="60"/>
        <v/>
      </c>
      <c r="AQ73" s="75" t="str">
        <f t="shared" ca="1" si="60"/>
        <v/>
      </c>
      <c r="AR73" s="75" t="str">
        <f t="shared" ca="1" si="60"/>
        <v/>
      </c>
      <c r="AS73" s="75" t="str">
        <f t="shared" ca="1" si="60"/>
        <v/>
      </c>
      <c r="AT73" s="75" t="str">
        <f t="shared" ca="1" si="60"/>
        <v/>
      </c>
      <c r="AU73" s="74" t="str">
        <f t="shared" ca="1" si="60"/>
        <v/>
      </c>
      <c r="AV73" s="74" t="str">
        <f t="shared" ca="1" si="60"/>
        <v/>
      </c>
      <c r="AW73" s="74" t="str">
        <f t="shared" ca="1" si="60"/>
        <v/>
      </c>
      <c r="AX73" s="74" t="str">
        <f t="shared" ca="1" si="60"/>
        <v/>
      </c>
      <c r="AY73" s="74" t="str">
        <f t="shared" ca="1" si="61"/>
        <v/>
      </c>
      <c r="AZ73" s="74" t="str">
        <f t="shared" ca="1" si="51"/>
        <v/>
      </c>
      <c r="BA73" s="74" t="str">
        <f t="shared" ca="1" si="51"/>
        <v/>
      </c>
      <c r="BB73" s="74" t="str">
        <f t="shared" ca="1" si="51"/>
        <v/>
      </c>
      <c r="BC73" s="74" t="str">
        <f t="shared" ca="1" si="51"/>
        <v/>
      </c>
      <c r="BD73" s="74" t="str">
        <f t="shared" ca="1" si="51"/>
        <v/>
      </c>
      <c r="BE73" s="74" t="str">
        <f t="shared" ca="1" si="51"/>
        <v/>
      </c>
      <c r="BF73" s="74" t="str">
        <f t="shared" ca="1" si="51"/>
        <v/>
      </c>
      <c r="BG73" s="74" t="str">
        <f t="shared" ca="1" si="51"/>
        <v/>
      </c>
      <c r="BH73" s="74" t="str">
        <f t="shared" ca="1" si="51"/>
        <v/>
      </c>
      <c r="BI73" s="74" t="str">
        <f t="shared" ca="1" si="51"/>
        <v/>
      </c>
      <c r="BJ73" s="74" t="str">
        <f t="shared" ca="1" si="51"/>
        <v/>
      </c>
      <c r="BK73" s="74" t="str">
        <f t="shared" ca="1" si="51"/>
        <v/>
      </c>
      <c r="BL73" s="74" t="str">
        <f t="shared" ca="1" si="51"/>
        <v/>
      </c>
      <c r="BM73" s="74" t="str">
        <f t="shared" ca="1" si="51"/>
        <v/>
      </c>
      <c r="BN73" s="75" t="str">
        <f t="shared" ca="1" si="51"/>
        <v/>
      </c>
      <c r="BO73" s="75" t="str">
        <f t="shared" ca="1" si="51"/>
        <v/>
      </c>
      <c r="BP73" s="75" t="str">
        <f t="shared" ca="1" si="52"/>
        <v/>
      </c>
      <c r="BQ73" s="75" t="str">
        <f t="shared" ca="1" si="52"/>
        <v/>
      </c>
      <c r="BR73" s="75" t="str">
        <f t="shared" ca="1" si="52"/>
        <v/>
      </c>
      <c r="BS73" s="75" t="str">
        <f t="shared" ca="1" si="52"/>
        <v/>
      </c>
      <c r="BT73" s="75" t="str">
        <f t="shared" ca="1" si="52"/>
        <v/>
      </c>
      <c r="BU73" s="75" t="str">
        <f t="shared" ca="1" si="52"/>
        <v/>
      </c>
      <c r="BV73" s="75" t="str">
        <f t="shared" ca="1" si="52"/>
        <v/>
      </c>
      <c r="BW73" s="75" t="str">
        <f t="shared" ca="1" si="52"/>
        <v/>
      </c>
      <c r="BX73" s="75" t="str">
        <f t="shared" ca="1" si="52"/>
        <v/>
      </c>
      <c r="BY73" s="75" t="str">
        <f t="shared" ca="1" si="52"/>
        <v/>
      </c>
      <c r="BZ73" s="75" t="str">
        <f t="shared" ca="1" si="52"/>
        <v/>
      </c>
      <c r="CA73" s="75" t="str">
        <f t="shared" ca="1" si="52"/>
        <v/>
      </c>
      <c r="CB73" s="75" t="str">
        <f t="shared" ca="1" si="52"/>
        <v/>
      </c>
      <c r="CC73" s="75" t="str">
        <f t="shared" ca="1" si="52"/>
        <v/>
      </c>
      <c r="CD73" s="75" t="str">
        <f t="shared" ca="1" si="52"/>
        <v/>
      </c>
      <c r="CE73" s="75" t="str">
        <f t="shared" ca="1" si="52"/>
        <v/>
      </c>
      <c r="CF73" s="75" t="str">
        <f t="shared" ca="1" si="53"/>
        <v/>
      </c>
      <c r="CG73" s="74" t="str">
        <f t="shared" ca="1" si="53"/>
        <v/>
      </c>
      <c r="CH73" s="74" t="str">
        <f t="shared" ca="1" si="53"/>
        <v/>
      </c>
      <c r="CI73" s="74" t="str">
        <f t="shared" ca="1" si="53"/>
        <v/>
      </c>
      <c r="CJ73" s="74" t="str">
        <f t="shared" ca="1" si="53"/>
        <v/>
      </c>
      <c r="CK73" s="74" t="str">
        <f t="shared" ca="1" si="53"/>
        <v/>
      </c>
      <c r="CL73" s="74" t="str">
        <f t="shared" ca="1" si="53"/>
        <v/>
      </c>
      <c r="CM73" s="74" t="str">
        <f t="shared" ca="1" si="53"/>
        <v/>
      </c>
      <c r="CN73" s="74" t="str">
        <f t="shared" ca="1" si="53"/>
        <v/>
      </c>
      <c r="CO73" s="74" t="str">
        <f t="shared" ca="1" si="53"/>
        <v/>
      </c>
      <c r="CP73" s="74" t="str">
        <f t="shared" ca="1" si="53"/>
        <v/>
      </c>
      <c r="CQ73" s="74" t="str">
        <f t="shared" ca="1" si="53"/>
        <v/>
      </c>
      <c r="CR73" s="74" t="str">
        <f t="shared" ca="1" si="53"/>
        <v/>
      </c>
      <c r="CS73" s="74" t="str">
        <f t="shared" ca="1" si="53"/>
        <v/>
      </c>
      <c r="CT73" s="74" t="str">
        <f t="shared" ca="1" si="53"/>
        <v/>
      </c>
      <c r="CU73" s="74" t="str">
        <f t="shared" ca="1" si="53"/>
        <v/>
      </c>
      <c r="CV73" s="74" t="str">
        <f t="shared" ca="1" si="54"/>
        <v/>
      </c>
      <c r="CW73" s="74" t="str">
        <f t="shared" ca="1" si="54"/>
        <v/>
      </c>
      <c r="CX73" s="74" t="str">
        <f t="shared" ca="1" si="54"/>
        <v/>
      </c>
      <c r="CY73" s="74" t="str">
        <f t="shared" ca="1" si="54"/>
        <v/>
      </c>
      <c r="CZ73" s="75" t="str">
        <f t="shared" ca="1" si="54"/>
        <v/>
      </c>
      <c r="DA73" s="75" t="str">
        <f t="shared" ca="1" si="54"/>
        <v/>
      </c>
      <c r="DB73" s="75" t="str">
        <f t="shared" ca="1" si="54"/>
        <v/>
      </c>
      <c r="DC73" s="75" t="str">
        <f t="shared" ca="1" si="54"/>
        <v/>
      </c>
      <c r="DD73" s="75" t="str">
        <f t="shared" ca="1" si="54"/>
        <v/>
      </c>
      <c r="DE73" s="75" t="str">
        <f t="shared" ca="1" si="54"/>
        <v/>
      </c>
      <c r="DF73" s="75" t="str">
        <f t="shared" ca="1" si="54"/>
        <v/>
      </c>
      <c r="DG73" s="75" t="str">
        <f t="shared" ca="1" si="54"/>
        <v/>
      </c>
      <c r="DH73" s="75" t="str">
        <f t="shared" ca="1" si="54"/>
        <v/>
      </c>
      <c r="DI73" s="75" t="str">
        <f t="shared" ca="1" si="54"/>
        <v/>
      </c>
      <c r="DJ73" s="75" t="str">
        <f t="shared" ca="1" si="54"/>
        <v/>
      </c>
      <c r="DK73" s="75" t="str">
        <f t="shared" ca="1" si="54"/>
        <v/>
      </c>
      <c r="DL73" s="75" t="str">
        <f t="shared" ca="1" si="55"/>
        <v/>
      </c>
      <c r="DM73" s="75" t="str">
        <f t="shared" ca="1" si="55"/>
        <v/>
      </c>
      <c r="DN73" s="75" t="str">
        <f t="shared" ca="1" si="55"/>
        <v/>
      </c>
      <c r="DO73" s="75" t="str">
        <f t="shared" ca="1" si="55"/>
        <v/>
      </c>
      <c r="DP73" s="75" t="str">
        <f t="shared" ca="1" si="55"/>
        <v/>
      </c>
      <c r="DQ73" s="75" t="str">
        <f t="shared" ca="1" si="55"/>
        <v/>
      </c>
      <c r="DR73" s="75" t="str">
        <f t="shared" ca="1" si="55"/>
        <v/>
      </c>
      <c r="DS73" s="74" t="str">
        <f t="shared" ca="1" si="55"/>
        <v/>
      </c>
      <c r="DT73" s="74" t="str">
        <f t="shared" ca="1" si="55"/>
        <v/>
      </c>
      <c r="DU73" s="74" t="str">
        <f t="shared" ca="1" si="55"/>
        <v/>
      </c>
      <c r="DV73" s="74" t="str">
        <f t="shared" ca="1" si="55"/>
        <v/>
      </c>
      <c r="DW73" s="74" t="str">
        <f t="shared" ca="1" si="55"/>
        <v/>
      </c>
      <c r="DX73" s="74" t="str">
        <f t="shared" ca="1" si="55"/>
        <v/>
      </c>
      <c r="DY73" s="74" t="str">
        <f t="shared" ca="1" si="55"/>
        <v/>
      </c>
      <c r="DZ73" s="74" t="str">
        <f t="shared" ca="1" si="55"/>
        <v/>
      </c>
      <c r="EA73" s="74" t="str">
        <f t="shared" ca="1" si="55"/>
        <v/>
      </c>
      <c r="EB73" s="74" t="str">
        <f t="shared" ca="1" si="56"/>
        <v/>
      </c>
      <c r="EC73" s="74" t="str">
        <f t="shared" ca="1" si="56"/>
        <v/>
      </c>
      <c r="ED73" s="74" t="str">
        <f t="shared" ca="1" si="56"/>
        <v/>
      </c>
      <c r="EE73" s="74" t="str">
        <f t="shared" ca="1" si="56"/>
        <v/>
      </c>
      <c r="EF73" s="74" t="str">
        <f t="shared" ca="1" si="56"/>
        <v/>
      </c>
      <c r="EG73" s="74" t="str">
        <f t="shared" ca="1" si="56"/>
        <v/>
      </c>
      <c r="EH73" s="74" t="str">
        <f t="shared" ca="1" si="56"/>
        <v/>
      </c>
      <c r="EI73" s="74" t="str">
        <f t="shared" ca="1" si="56"/>
        <v/>
      </c>
      <c r="EJ73" s="74" t="str">
        <f t="shared" ca="1" si="56"/>
        <v/>
      </c>
      <c r="EK73" s="75" t="str">
        <f t="shared" ca="1" si="56"/>
        <v/>
      </c>
      <c r="EL73" s="75" t="str">
        <f t="shared" ca="1" si="56"/>
        <v/>
      </c>
      <c r="EM73" s="75" t="str">
        <f t="shared" ca="1" si="56"/>
        <v/>
      </c>
      <c r="EN73" s="75" t="str">
        <f t="shared" ca="1" si="56"/>
        <v/>
      </c>
      <c r="EO73" s="75" t="str">
        <f t="shared" ca="1" si="56"/>
        <v/>
      </c>
      <c r="EP73" s="75" t="str">
        <f t="shared" ca="1" si="56"/>
        <v/>
      </c>
      <c r="EQ73" s="75" t="str">
        <f t="shared" ca="1" si="56"/>
        <v/>
      </c>
      <c r="ER73" s="75" t="str">
        <f t="shared" ca="1" si="57"/>
        <v/>
      </c>
      <c r="ES73" s="75" t="str">
        <f t="shared" ca="1" si="57"/>
        <v/>
      </c>
      <c r="ET73" s="75" t="str">
        <f t="shared" ca="1" si="57"/>
        <v/>
      </c>
      <c r="EU73" s="75" t="str">
        <f t="shared" ca="1" si="57"/>
        <v/>
      </c>
      <c r="EV73" s="75" t="str">
        <f t="shared" ca="1" si="57"/>
        <v/>
      </c>
      <c r="EW73" s="75" t="str">
        <f t="shared" ca="1" si="57"/>
        <v/>
      </c>
      <c r="EX73" s="75" t="str">
        <f t="shared" ca="1" si="57"/>
        <v/>
      </c>
      <c r="EY73" s="75" t="str">
        <f t="shared" ca="1" si="57"/>
        <v/>
      </c>
      <c r="EZ73" s="75" t="str">
        <f t="shared" ca="1" si="57"/>
        <v/>
      </c>
      <c r="FA73" s="75" t="str">
        <f t="shared" ca="1" si="57"/>
        <v/>
      </c>
      <c r="FB73" s="75" t="str">
        <f t="shared" ca="1" si="57"/>
        <v/>
      </c>
      <c r="FC73" s="76" t="str">
        <f t="shared" ca="1" si="57"/>
        <v/>
      </c>
      <c r="FD73" s="74" t="str">
        <f t="shared" ca="1" si="57"/>
        <v/>
      </c>
      <c r="FE73" s="74" t="str">
        <f t="shared" ca="1" si="57"/>
        <v/>
      </c>
      <c r="FF73" s="74" t="str">
        <f t="shared" ca="1" si="57"/>
        <v/>
      </c>
      <c r="FG73" s="74" t="str">
        <f t="shared" ca="1" si="58"/>
        <v/>
      </c>
      <c r="FH73" s="74" t="str">
        <f t="shared" ca="1" si="58"/>
        <v/>
      </c>
      <c r="FI73" s="74" t="str">
        <f t="shared" ca="1" si="58"/>
        <v/>
      </c>
      <c r="FJ73" s="74" t="str">
        <f t="shared" ca="1" si="58"/>
        <v/>
      </c>
      <c r="FK73" s="74" t="str">
        <f t="shared" ca="1" si="58"/>
        <v/>
      </c>
      <c r="FL73" s="74" t="str">
        <f t="shared" ca="1" si="58"/>
        <v/>
      </c>
      <c r="FM73" s="74" t="str">
        <f t="shared" ca="1" si="58"/>
        <v/>
      </c>
      <c r="FN73" s="74" t="str">
        <f t="shared" ca="1" si="58"/>
        <v/>
      </c>
      <c r="FO73" s="74" t="str">
        <f t="shared" ca="1" si="58"/>
        <v/>
      </c>
      <c r="FP73" s="74" t="str">
        <f t="shared" ca="1" si="58"/>
        <v/>
      </c>
      <c r="FQ73" s="74" t="str">
        <f t="shared" ca="1" si="58"/>
        <v/>
      </c>
      <c r="FR73" s="74" t="str">
        <f t="shared" ca="1" si="58"/>
        <v/>
      </c>
      <c r="FS73" s="74" t="str">
        <f t="shared" ca="1" si="58"/>
        <v/>
      </c>
      <c r="FT73" s="74" t="str">
        <f t="shared" ca="1" si="58"/>
        <v/>
      </c>
    </row>
    <row r="74" spans="1:176" x14ac:dyDescent="0.35">
      <c r="A74" s="74"/>
      <c r="B74" s="74" t="str">
        <f t="shared" ca="1" si="62"/>
        <v/>
      </c>
      <c r="C74" s="74" t="str">
        <f t="shared" ca="1" si="62"/>
        <v/>
      </c>
      <c r="D74" s="74" t="str">
        <f t="shared" ca="1" si="62"/>
        <v/>
      </c>
      <c r="E74" s="74" t="str">
        <f t="shared" ca="1" si="62"/>
        <v/>
      </c>
      <c r="F74" t="str">
        <f t="shared" ca="1" si="63"/>
        <v/>
      </c>
      <c r="G74" t="str">
        <f t="shared" ca="1" si="63"/>
        <v/>
      </c>
      <c r="H74" t="str">
        <f t="shared" ca="1" si="63"/>
        <v/>
      </c>
      <c r="I74" s="74" t="str">
        <f t="shared" ca="1" si="62"/>
        <v/>
      </c>
      <c r="J74" s="74" t="str">
        <f t="shared" ca="1" si="62"/>
        <v/>
      </c>
      <c r="K74" s="74" t="str">
        <f t="shared" ca="1" si="62"/>
        <v/>
      </c>
      <c r="L74" s="74" t="str">
        <f t="shared" ca="1" si="62"/>
        <v/>
      </c>
      <c r="M74" s="74" t="str">
        <f t="shared" ca="1" si="62"/>
        <v/>
      </c>
      <c r="N74" s="74" t="str">
        <f t="shared" ca="1" si="62"/>
        <v/>
      </c>
      <c r="O74" s="74" t="str">
        <f t="shared" ca="1" si="62"/>
        <v/>
      </c>
      <c r="P74" s="74" t="str">
        <f t="shared" ca="1" si="62"/>
        <v/>
      </c>
      <c r="Q74" s="74" t="str">
        <f t="shared" ca="1" si="62"/>
        <v/>
      </c>
      <c r="R74" s="74" t="str">
        <f t="shared" ca="1" si="62"/>
        <v/>
      </c>
      <c r="S74" s="74" t="str">
        <f t="shared" ca="1" si="62"/>
        <v/>
      </c>
      <c r="T74" s="74" t="str">
        <f t="shared" ca="1" si="59"/>
        <v/>
      </c>
      <c r="U74" s="74" t="str">
        <f t="shared" ca="1" si="59"/>
        <v/>
      </c>
      <c r="V74" s="74" t="str">
        <f t="shared" ca="1" si="59"/>
        <v/>
      </c>
      <c r="W74" s="74" t="str">
        <f t="shared" ca="1" si="59"/>
        <v/>
      </c>
      <c r="X74" s="74" t="str">
        <f t="shared" ca="1" si="59"/>
        <v/>
      </c>
      <c r="Y74" s="74" t="str">
        <f t="shared" ca="1" si="59"/>
        <v/>
      </c>
      <c r="Z74" s="74" t="str">
        <f t="shared" ca="1" si="59"/>
        <v/>
      </c>
      <c r="AA74" s="74" t="str">
        <f t="shared" ca="1" si="59"/>
        <v/>
      </c>
      <c r="AB74" s="75" t="str">
        <f t="shared" ca="1" si="59"/>
        <v/>
      </c>
      <c r="AC74" s="75" t="str">
        <f t="shared" ca="1" si="59"/>
        <v/>
      </c>
      <c r="AD74" s="75" t="str">
        <f t="shared" ca="1" si="59"/>
        <v/>
      </c>
      <c r="AE74" s="75" t="str">
        <f t="shared" ca="1" si="59"/>
        <v/>
      </c>
      <c r="AF74" s="75" t="str">
        <f t="shared" ca="1" si="59"/>
        <v/>
      </c>
      <c r="AG74" s="75" t="str">
        <f t="shared" ca="1" si="59"/>
        <v/>
      </c>
      <c r="AH74" s="75" t="str">
        <f t="shared" ca="1" si="59"/>
        <v/>
      </c>
      <c r="AI74" s="75" t="str">
        <f t="shared" ca="1" si="60"/>
        <v/>
      </c>
      <c r="AJ74" s="75" t="str">
        <f t="shared" ca="1" si="60"/>
        <v/>
      </c>
      <c r="AK74" s="75" t="str">
        <f t="shared" ca="1" si="60"/>
        <v/>
      </c>
      <c r="AL74" s="75" t="str">
        <f t="shared" ca="1" si="60"/>
        <v/>
      </c>
      <c r="AM74" s="75" t="str">
        <f t="shared" ca="1" si="60"/>
        <v/>
      </c>
      <c r="AN74" s="75" t="str">
        <f t="shared" ca="1" si="60"/>
        <v/>
      </c>
      <c r="AO74" s="75" t="str">
        <f t="shared" ca="1" si="60"/>
        <v/>
      </c>
      <c r="AP74" s="75" t="str">
        <f t="shared" ca="1" si="60"/>
        <v/>
      </c>
      <c r="AQ74" s="75" t="str">
        <f t="shared" ca="1" si="60"/>
        <v/>
      </c>
      <c r="AR74" s="75" t="str">
        <f t="shared" ca="1" si="60"/>
        <v/>
      </c>
      <c r="AS74" s="75" t="str">
        <f t="shared" ca="1" si="60"/>
        <v/>
      </c>
      <c r="AT74" s="75" t="str">
        <f t="shared" ca="1" si="60"/>
        <v/>
      </c>
      <c r="AU74" s="74" t="str">
        <f t="shared" ca="1" si="60"/>
        <v/>
      </c>
      <c r="AV74" s="74" t="str">
        <f t="shared" ca="1" si="60"/>
        <v/>
      </c>
      <c r="AW74" s="74" t="str">
        <f t="shared" ca="1" si="60"/>
        <v/>
      </c>
      <c r="AX74" s="74" t="str">
        <f t="shared" ca="1" si="60"/>
        <v/>
      </c>
      <c r="AY74" s="74" t="str">
        <f t="shared" ca="1" si="61"/>
        <v/>
      </c>
      <c r="AZ74" s="74" t="str">
        <f t="shared" ca="1" si="51"/>
        <v/>
      </c>
      <c r="BA74" s="74" t="str">
        <f t="shared" ca="1" si="51"/>
        <v/>
      </c>
      <c r="BB74" s="74" t="str">
        <f t="shared" ca="1" si="51"/>
        <v/>
      </c>
      <c r="BC74" s="74" t="str">
        <f t="shared" ca="1" si="51"/>
        <v/>
      </c>
      <c r="BD74" s="74" t="str">
        <f t="shared" ca="1" si="51"/>
        <v/>
      </c>
      <c r="BE74" s="74" t="str">
        <f t="shared" ca="1" si="51"/>
        <v/>
      </c>
      <c r="BF74" s="74" t="str">
        <f t="shared" ca="1" si="51"/>
        <v/>
      </c>
      <c r="BG74" s="74" t="str">
        <f t="shared" ca="1" si="51"/>
        <v/>
      </c>
      <c r="BH74" s="74" t="str">
        <f t="shared" ca="1" si="51"/>
        <v/>
      </c>
      <c r="BI74" s="74" t="str">
        <f t="shared" ca="1" si="51"/>
        <v/>
      </c>
      <c r="BJ74" s="74" t="str">
        <f t="shared" ca="1" si="51"/>
        <v/>
      </c>
      <c r="BK74" s="74" t="str">
        <f t="shared" ca="1" si="51"/>
        <v/>
      </c>
      <c r="BL74" s="74" t="str">
        <f t="shared" ca="1" si="51"/>
        <v/>
      </c>
      <c r="BM74" s="74" t="str">
        <f t="shared" ca="1" si="51"/>
        <v/>
      </c>
      <c r="BN74" s="75" t="str">
        <f t="shared" ca="1" si="51"/>
        <v/>
      </c>
      <c r="BO74" s="75" t="str">
        <f t="shared" ca="1" si="51"/>
        <v/>
      </c>
      <c r="BP74" s="75" t="str">
        <f t="shared" ca="1" si="52"/>
        <v/>
      </c>
      <c r="BQ74" s="75" t="str">
        <f t="shared" ca="1" si="52"/>
        <v/>
      </c>
      <c r="BR74" s="75" t="str">
        <f t="shared" ca="1" si="52"/>
        <v/>
      </c>
      <c r="BS74" s="75" t="str">
        <f t="shared" ca="1" si="52"/>
        <v/>
      </c>
      <c r="BT74" s="75" t="str">
        <f t="shared" ca="1" si="52"/>
        <v/>
      </c>
      <c r="BU74" s="75" t="str">
        <f t="shared" ca="1" si="52"/>
        <v/>
      </c>
      <c r="BV74" s="75" t="str">
        <f t="shared" ca="1" si="52"/>
        <v/>
      </c>
      <c r="BW74" s="75" t="str">
        <f t="shared" ca="1" si="52"/>
        <v/>
      </c>
      <c r="BX74" s="75" t="str">
        <f t="shared" ca="1" si="52"/>
        <v/>
      </c>
      <c r="BY74" s="75" t="str">
        <f t="shared" ca="1" si="52"/>
        <v/>
      </c>
      <c r="BZ74" s="75" t="str">
        <f t="shared" ca="1" si="52"/>
        <v/>
      </c>
      <c r="CA74" s="75" t="str">
        <f t="shared" ca="1" si="52"/>
        <v/>
      </c>
      <c r="CB74" s="75" t="str">
        <f t="shared" ca="1" si="52"/>
        <v/>
      </c>
      <c r="CC74" s="75" t="str">
        <f t="shared" ca="1" si="52"/>
        <v/>
      </c>
      <c r="CD74" s="75" t="str">
        <f t="shared" ca="1" si="52"/>
        <v/>
      </c>
      <c r="CE74" s="75" t="str">
        <f t="shared" ca="1" si="52"/>
        <v/>
      </c>
      <c r="CF74" s="75" t="str">
        <f t="shared" ca="1" si="53"/>
        <v/>
      </c>
      <c r="CG74" s="74" t="str">
        <f t="shared" ca="1" si="53"/>
        <v/>
      </c>
      <c r="CH74" s="74" t="str">
        <f t="shared" ca="1" si="53"/>
        <v/>
      </c>
      <c r="CI74" s="74" t="str">
        <f t="shared" ca="1" si="53"/>
        <v/>
      </c>
      <c r="CJ74" s="74" t="str">
        <f t="shared" ca="1" si="53"/>
        <v/>
      </c>
      <c r="CK74" s="74" t="str">
        <f t="shared" ca="1" si="53"/>
        <v/>
      </c>
      <c r="CL74" s="74" t="str">
        <f t="shared" ca="1" si="53"/>
        <v/>
      </c>
      <c r="CM74" s="74" t="str">
        <f t="shared" ca="1" si="53"/>
        <v/>
      </c>
      <c r="CN74" s="74" t="str">
        <f t="shared" ca="1" si="53"/>
        <v/>
      </c>
      <c r="CO74" s="74" t="str">
        <f t="shared" ca="1" si="53"/>
        <v/>
      </c>
      <c r="CP74" s="74" t="str">
        <f t="shared" ca="1" si="53"/>
        <v/>
      </c>
      <c r="CQ74" s="74" t="str">
        <f t="shared" ca="1" si="53"/>
        <v/>
      </c>
      <c r="CR74" s="74" t="str">
        <f t="shared" ca="1" si="53"/>
        <v/>
      </c>
      <c r="CS74" s="74" t="str">
        <f t="shared" ca="1" si="53"/>
        <v/>
      </c>
      <c r="CT74" s="74" t="str">
        <f t="shared" ca="1" si="53"/>
        <v/>
      </c>
      <c r="CU74" s="74" t="str">
        <f t="shared" ca="1" si="53"/>
        <v/>
      </c>
      <c r="CV74" s="74" t="str">
        <f t="shared" ca="1" si="54"/>
        <v/>
      </c>
      <c r="CW74" s="74" t="str">
        <f t="shared" ca="1" si="54"/>
        <v/>
      </c>
      <c r="CX74" s="74" t="str">
        <f t="shared" ca="1" si="54"/>
        <v/>
      </c>
      <c r="CY74" s="74" t="str">
        <f t="shared" ca="1" si="54"/>
        <v/>
      </c>
      <c r="CZ74" s="75" t="str">
        <f t="shared" ca="1" si="54"/>
        <v/>
      </c>
      <c r="DA74" s="75" t="str">
        <f t="shared" ca="1" si="54"/>
        <v/>
      </c>
      <c r="DB74" s="75" t="str">
        <f t="shared" ca="1" si="54"/>
        <v/>
      </c>
      <c r="DC74" s="75" t="str">
        <f t="shared" ca="1" si="54"/>
        <v/>
      </c>
      <c r="DD74" s="75" t="str">
        <f t="shared" ca="1" si="54"/>
        <v/>
      </c>
      <c r="DE74" s="75" t="str">
        <f t="shared" ca="1" si="54"/>
        <v/>
      </c>
      <c r="DF74" s="75" t="str">
        <f t="shared" ca="1" si="54"/>
        <v/>
      </c>
      <c r="DG74" s="75" t="str">
        <f t="shared" ca="1" si="54"/>
        <v/>
      </c>
      <c r="DH74" s="75" t="str">
        <f t="shared" ca="1" si="54"/>
        <v/>
      </c>
      <c r="DI74" s="75" t="str">
        <f t="shared" ca="1" si="54"/>
        <v/>
      </c>
      <c r="DJ74" s="75" t="str">
        <f t="shared" ca="1" si="54"/>
        <v/>
      </c>
      <c r="DK74" s="75" t="str">
        <f t="shared" ca="1" si="54"/>
        <v/>
      </c>
      <c r="DL74" s="75" t="str">
        <f t="shared" ca="1" si="55"/>
        <v/>
      </c>
      <c r="DM74" s="75" t="str">
        <f t="shared" ca="1" si="55"/>
        <v/>
      </c>
      <c r="DN74" s="75" t="str">
        <f t="shared" ca="1" si="55"/>
        <v/>
      </c>
      <c r="DO74" s="75" t="str">
        <f t="shared" ca="1" si="55"/>
        <v/>
      </c>
      <c r="DP74" s="75" t="str">
        <f t="shared" ca="1" si="55"/>
        <v/>
      </c>
      <c r="DQ74" s="75" t="str">
        <f t="shared" ca="1" si="55"/>
        <v/>
      </c>
      <c r="DR74" s="75" t="str">
        <f t="shared" ca="1" si="55"/>
        <v/>
      </c>
      <c r="DS74" s="74" t="str">
        <f t="shared" ca="1" si="55"/>
        <v/>
      </c>
      <c r="DT74" s="74" t="str">
        <f t="shared" ca="1" si="55"/>
        <v/>
      </c>
      <c r="DU74" s="74" t="str">
        <f t="shared" ca="1" si="55"/>
        <v/>
      </c>
      <c r="DV74" s="74" t="str">
        <f t="shared" ca="1" si="55"/>
        <v/>
      </c>
      <c r="DW74" s="74" t="str">
        <f t="shared" ca="1" si="55"/>
        <v/>
      </c>
      <c r="DX74" s="74" t="str">
        <f t="shared" ca="1" si="55"/>
        <v/>
      </c>
      <c r="DY74" s="74" t="str">
        <f t="shared" ca="1" si="55"/>
        <v/>
      </c>
      <c r="DZ74" s="74" t="str">
        <f t="shared" ca="1" si="55"/>
        <v/>
      </c>
      <c r="EA74" s="74" t="str">
        <f t="shared" ca="1" si="55"/>
        <v/>
      </c>
      <c r="EB74" s="74" t="str">
        <f t="shared" ca="1" si="56"/>
        <v/>
      </c>
      <c r="EC74" s="74" t="str">
        <f t="shared" ca="1" si="56"/>
        <v/>
      </c>
      <c r="ED74" s="74" t="str">
        <f t="shared" ca="1" si="56"/>
        <v/>
      </c>
      <c r="EE74" s="74" t="str">
        <f t="shared" ca="1" si="56"/>
        <v/>
      </c>
      <c r="EF74" s="74" t="str">
        <f t="shared" ca="1" si="56"/>
        <v/>
      </c>
      <c r="EG74" s="74" t="str">
        <f t="shared" ca="1" si="56"/>
        <v/>
      </c>
      <c r="EH74" s="74" t="str">
        <f t="shared" ca="1" si="56"/>
        <v/>
      </c>
      <c r="EI74" s="74" t="str">
        <f t="shared" ca="1" si="56"/>
        <v/>
      </c>
      <c r="EJ74" s="74" t="str">
        <f t="shared" ca="1" si="56"/>
        <v/>
      </c>
      <c r="EK74" s="75" t="str">
        <f t="shared" ca="1" si="56"/>
        <v/>
      </c>
      <c r="EL74" s="75" t="str">
        <f t="shared" ca="1" si="56"/>
        <v/>
      </c>
      <c r="EM74" s="75" t="str">
        <f t="shared" ca="1" si="56"/>
        <v/>
      </c>
      <c r="EN74" s="75" t="str">
        <f t="shared" ca="1" si="56"/>
        <v/>
      </c>
      <c r="EO74" s="75" t="str">
        <f t="shared" ca="1" si="56"/>
        <v/>
      </c>
      <c r="EP74" s="75" t="str">
        <f t="shared" ca="1" si="56"/>
        <v/>
      </c>
      <c r="EQ74" s="75" t="str">
        <f t="shared" ca="1" si="56"/>
        <v/>
      </c>
      <c r="ER74" s="75" t="str">
        <f t="shared" ca="1" si="57"/>
        <v/>
      </c>
      <c r="ES74" s="75" t="str">
        <f t="shared" ca="1" si="57"/>
        <v/>
      </c>
      <c r="ET74" s="75" t="str">
        <f t="shared" ca="1" si="57"/>
        <v/>
      </c>
      <c r="EU74" s="75" t="str">
        <f t="shared" ca="1" si="57"/>
        <v/>
      </c>
      <c r="EV74" s="75" t="str">
        <f t="shared" ca="1" si="57"/>
        <v/>
      </c>
      <c r="EW74" s="75" t="str">
        <f t="shared" ca="1" si="57"/>
        <v/>
      </c>
      <c r="EX74" s="75" t="str">
        <f t="shared" ca="1" si="57"/>
        <v/>
      </c>
      <c r="EY74" s="75" t="str">
        <f t="shared" ca="1" si="57"/>
        <v/>
      </c>
      <c r="EZ74" s="75" t="str">
        <f t="shared" ca="1" si="57"/>
        <v/>
      </c>
      <c r="FA74" s="75" t="str">
        <f t="shared" ca="1" si="57"/>
        <v/>
      </c>
      <c r="FB74" s="75" t="str">
        <f t="shared" ca="1" si="57"/>
        <v/>
      </c>
      <c r="FC74" s="76" t="str">
        <f t="shared" ca="1" si="57"/>
        <v/>
      </c>
      <c r="FD74" s="74" t="str">
        <f t="shared" ca="1" si="57"/>
        <v/>
      </c>
      <c r="FE74" s="74" t="str">
        <f t="shared" ca="1" si="57"/>
        <v/>
      </c>
      <c r="FF74" s="74" t="str">
        <f t="shared" ca="1" si="57"/>
        <v/>
      </c>
      <c r="FG74" s="74" t="str">
        <f t="shared" ca="1" si="58"/>
        <v/>
      </c>
      <c r="FH74" s="74" t="str">
        <f t="shared" ca="1" si="58"/>
        <v/>
      </c>
      <c r="FI74" s="74" t="str">
        <f t="shared" ca="1" si="58"/>
        <v/>
      </c>
      <c r="FJ74" s="74" t="str">
        <f t="shared" ca="1" si="58"/>
        <v/>
      </c>
      <c r="FK74" s="74" t="str">
        <f t="shared" ca="1" si="58"/>
        <v/>
      </c>
      <c r="FL74" s="74" t="str">
        <f t="shared" ca="1" si="58"/>
        <v/>
      </c>
      <c r="FM74" s="74" t="str">
        <f t="shared" ca="1" si="58"/>
        <v/>
      </c>
      <c r="FN74" s="74" t="str">
        <f t="shared" ca="1" si="58"/>
        <v/>
      </c>
      <c r="FO74" s="74" t="str">
        <f t="shared" ca="1" si="58"/>
        <v/>
      </c>
      <c r="FP74" s="74" t="str">
        <f t="shared" ca="1" si="58"/>
        <v/>
      </c>
      <c r="FQ74" s="74" t="str">
        <f t="shared" ca="1" si="58"/>
        <v/>
      </c>
      <c r="FR74" s="74" t="str">
        <f t="shared" ca="1" si="58"/>
        <v/>
      </c>
      <c r="FS74" s="74" t="str">
        <f t="shared" ca="1" si="58"/>
        <v/>
      </c>
      <c r="FT74" s="74" t="str">
        <f t="shared" ca="1" si="58"/>
        <v/>
      </c>
    </row>
    <row r="75" spans="1:176" x14ac:dyDescent="0.35">
      <c r="A75" s="74"/>
      <c r="B75" s="74" t="str">
        <f t="shared" ca="1" si="62"/>
        <v/>
      </c>
      <c r="C75" s="74" t="str">
        <f t="shared" ca="1" si="62"/>
        <v/>
      </c>
      <c r="D75" s="74" t="str">
        <f t="shared" ca="1" si="62"/>
        <v/>
      </c>
      <c r="E75" s="74" t="str">
        <f t="shared" ca="1" si="62"/>
        <v/>
      </c>
      <c r="F75" t="str">
        <f t="shared" ca="1" si="63"/>
        <v/>
      </c>
      <c r="G75" t="str">
        <f t="shared" ca="1" si="63"/>
        <v/>
      </c>
      <c r="H75" t="str">
        <f t="shared" ca="1" si="63"/>
        <v/>
      </c>
      <c r="I75" s="74" t="str">
        <f t="shared" ca="1" si="62"/>
        <v/>
      </c>
      <c r="J75" s="74" t="str">
        <f t="shared" ca="1" si="62"/>
        <v/>
      </c>
      <c r="K75" s="74" t="str">
        <f t="shared" ca="1" si="62"/>
        <v/>
      </c>
      <c r="L75" s="74" t="str">
        <f t="shared" ca="1" si="62"/>
        <v/>
      </c>
      <c r="M75" s="74" t="str">
        <f t="shared" ca="1" si="62"/>
        <v/>
      </c>
      <c r="N75" s="74" t="str">
        <f t="shared" ca="1" si="62"/>
        <v/>
      </c>
      <c r="O75" s="74" t="str">
        <f t="shared" ca="1" si="62"/>
        <v/>
      </c>
      <c r="P75" s="74" t="str">
        <f t="shared" ca="1" si="62"/>
        <v/>
      </c>
      <c r="Q75" s="74" t="str">
        <f t="shared" ca="1" si="62"/>
        <v/>
      </c>
      <c r="R75" s="74" t="str">
        <f t="shared" ca="1" si="62"/>
        <v/>
      </c>
      <c r="S75" s="74" t="str">
        <f t="shared" ca="1" si="62"/>
        <v/>
      </c>
      <c r="T75" s="74" t="str">
        <f t="shared" ca="1" si="59"/>
        <v/>
      </c>
      <c r="U75" s="74" t="str">
        <f t="shared" ca="1" si="59"/>
        <v/>
      </c>
      <c r="V75" s="74" t="str">
        <f t="shared" ca="1" si="59"/>
        <v/>
      </c>
      <c r="W75" s="74" t="str">
        <f t="shared" ca="1" si="59"/>
        <v/>
      </c>
      <c r="X75" s="74" t="str">
        <f t="shared" ca="1" si="59"/>
        <v/>
      </c>
      <c r="Y75" s="74" t="str">
        <f t="shared" ca="1" si="59"/>
        <v/>
      </c>
      <c r="Z75" s="74" t="str">
        <f t="shared" ca="1" si="59"/>
        <v/>
      </c>
      <c r="AA75" s="74" t="str">
        <f t="shared" ca="1" si="59"/>
        <v/>
      </c>
      <c r="AB75" s="75" t="str">
        <f t="shared" ca="1" si="59"/>
        <v/>
      </c>
      <c r="AC75" s="75" t="str">
        <f t="shared" ca="1" si="59"/>
        <v/>
      </c>
      <c r="AD75" s="75" t="str">
        <f t="shared" ca="1" si="59"/>
        <v/>
      </c>
      <c r="AE75" s="75" t="str">
        <f t="shared" ca="1" si="59"/>
        <v/>
      </c>
      <c r="AF75" s="75" t="str">
        <f t="shared" ca="1" si="59"/>
        <v/>
      </c>
      <c r="AG75" s="75" t="str">
        <f t="shared" ca="1" si="59"/>
        <v/>
      </c>
      <c r="AH75" s="75" t="str">
        <f t="shared" ca="1" si="59"/>
        <v/>
      </c>
      <c r="AI75" s="75" t="str">
        <f t="shared" ca="1" si="60"/>
        <v/>
      </c>
      <c r="AJ75" s="75" t="str">
        <f t="shared" ca="1" si="60"/>
        <v/>
      </c>
      <c r="AK75" s="75" t="str">
        <f t="shared" ca="1" si="60"/>
        <v/>
      </c>
      <c r="AL75" s="75" t="str">
        <f t="shared" ca="1" si="60"/>
        <v/>
      </c>
      <c r="AM75" s="75" t="str">
        <f t="shared" ca="1" si="60"/>
        <v/>
      </c>
      <c r="AN75" s="75" t="str">
        <f t="shared" ca="1" si="60"/>
        <v/>
      </c>
      <c r="AO75" s="75" t="str">
        <f t="shared" ca="1" si="60"/>
        <v/>
      </c>
      <c r="AP75" s="75" t="str">
        <f t="shared" ca="1" si="60"/>
        <v/>
      </c>
      <c r="AQ75" s="75" t="str">
        <f t="shared" ca="1" si="60"/>
        <v/>
      </c>
      <c r="AR75" s="75" t="str">
        <f t="shared" ca="1" si="60"/>
        <v/>
      </c>
      <c r="AS75" s="75" t="str">
        <f t="shared" ca="1" si="60"/>
        <v/>
      </c>
      <c r="AT75" s="75" t="str">
        <f t="shared" ca="1" si="60"/>
        <v/>
      </c>
      <c r="AU75" s="74" t="str">
        <f t="shared" ca="1" si="60"/>
        <v/>
      </c>
      <c r="AV75" s="74" t="str">
        <f t="shared" ca="1" si="60"/>
        <v/>
      </c>
      <c r="AW75" s="74" t="str">
        <f t="shared" ca="1" si="60"/>
        <v/>
      </c>
      <c r="AX75" s="74" t="str">
        <f t="shared" ca="1" si="60"/>
        <v/>
      </c>
      <c r="AY75" s="74" t="str">
        <f t="shared" ca="1" si="61"/>
        <v/>
      </c>
      <c r="AZ75" s="74" t="str">
        <f t="shared" ca="1" si="51"/>
        <v/>
      </c>
      <c r="BA75" s="74" t="str">
        <f t="shared" ca="1" si="51"/>
        <v/>
      </c>
      <c r="BB75" s="74" t="str">
        <f t="shared" ca="1" si="51"/>
        <v/>
      </c>
      <c r="BC75" s="74" t="str">
        <f t="shared" ca="1" si="51"/>
        <v/>
      </c>
      <c r="BD75" s="74" t="str">
        <f t="shared" ca="1" si="51"/>
        <v/>
      </c>
      <c r="BE75" s="74" t="str">
        <f t="shared" ca="1" si="51"/>
        <v/>
      </c>
      <c r="BF75" s="74" t="str">
        <f t="shared" ca="1" si="51"/>
        <v/>
      </c>
      <c r="BG75" s="74" t="str">
        <f t="shared" ca="1" si="51"/>
        <v/>
      </c>
      <c r="BH75" s="74" t="str">
        <f t="shared" ca="1" si="51"/>
        <v/>
      </c>
      <c r="BI75" s="74" t="str">
        <f t="shared" ca="1" si="51"/>
        <v/>
      </c>
      <c r="BJ75" s="74" t="str">
        <f t="shared" ca="1" si="51"/>
        <v/>
      </c>
      <c r="BK75" s="74" t="str">
        <f t="shared" ca="1" si="51"/>
        <v/>
      </c>
      <c r="BL75" s="74" t="str">
        <f t="shared" ca="1" si="51"/>
        <v/>
      </c>
      <c r="BM75" s="74" t="str">
        <f t="shared" ca="1" si="51"/>
        <v/>
      </c>
      <c r="BN75" s="75" t="str">
        <f t="shared" ca="1" si="51"/>
        <v/>
      </c>
      <c r="BO75" s="75" t="str">
        <f t="shared" ca="1" si="51"/>
        <v/>
      </c>
      <c r="BP75" s="75" t="str">
        <f t="shared" ca="1" si="52"/>
        <v/>
      </c>
      <c r="BQ75" s="75" t="str">
        <f t="shared" ca="1" si="52"/>
        <v/>
      </c>
      <c r="BR75" s="75" t="str">
        <f t="shared" ca="1" si="52"/>
        <v/>
      </c>
      <c r="BS75" s="75" t="str">
        <f t="shared" ca="1" si="52"/>
        <v/>
      </c>
      <c r="BT75" s="75" t="str">
        <f t="shared" ca="1" si="52"/>
        <v/>
      </c>
      <c r="BU75" s="75" t="str">
        <f t="shared" ca="1" si="52"/>
        <v/>
      </c>
      <c r="BV75" s="75" t="str">
        <f t="shared" ca="1" si="52"/>
        <v/>
      </c>
      <c r="BW75" s="75" t="str">
        <f t="shared" ca="1" si="52"/>
        <v/>
      </c>
      <c r="BX75" s="75" t="str">
        <f t="shared" ca="1" si="52"/>
        <v/>
      </c>
      <c r="BY75" s="75" t="str">
        <f t="shared" ca="1" si="52"/>
        <v/>
      </c>
      <c r="BZ75" s="75" t="str">
        <f t="shared" ca="1" si="52"/>
        <v/>
      </c>
      <c r="CA75" s="75" t="str">
        <f t="shared" ca="1" si="52"/>
        <v/>
      </c>
      <c r="CB75" s="75" t="str">
        <f t="shared" ca="1" si="52"/>
        <v/>
      </c>
      <c r="CC75" s="75" t="str">
        <f t="shared" ca="1" si="52"/>
        <v/>
      </c>
      <c r="CD75" s="75" t="str">
        <f t="shared" ca="1" si="52"/>
        <v/>
      </c>
      <c r="CE75" s="75" t="str">
        <f t="shared" ca="1" si="52"/>
        <v/>
      </c>
      <c r="CF75" s="75" t="str">
        <f t="shared" ca="1" si="53"/>
        <v/>
      </c>
      <c r="CG75" s="74" t="str">
        <f t="shared" ca="1" si="53"/>
        <v/>
      </c>
      <c r="CH75" s="74" t="str">
        <f t="shared" ca="1" si="53"/>
        <v/>
      </c>
      <c r="CI75" s="74" t="str">
        <f t="shared" ca="1" si="53"/>
        <v/>
      </c>
      <c r="CJ75" s="74" t="str">
        <f t="shared" ca="1" si="53"/>
        <v/>
      </c>
      <c r="CK75" s="74" t="str">
        <f t="shared" ca="1" si="53"/>
        <v/>
      </c>
      <c r="CL75" s="74" t="str">
        <f t="shared" ca="1" si="53"/>
        <v/>
      </c>
      <c r="CM75" s="74" t="str">
        <f t="shared" ca="1" si="53"/>
        <v/>
      </c>
      <c r="CN75" s="74" t="str">
        <f t="shared" ca="1" si="53"/>
        <v/>
      </c>
      <c r="CO75" s="74" t="str">
        <f t="shared" ca="1" si="53"/>
        <v/>
      </c>
      <c r="CP75" s="74" t="str">
        <f t="shared" ca="1" si="53"/>
        <v/>
      </c>
      <c r="CQ75" s="74" t="str">
        <f t="shared" ca="1" si="53"/>
        <v/>
      </c>
      <c r="CR75" s="74" t="str">
        <f t="shared" ca="1" si="53"/>
        <v/>
      </c>
      <c r="CS75" s="74" t="str">
        <f t="shared" ca="1" si="53"/>
        <v/>
      </c>
      <c r="CT75" s="74" t="str">
        <f t="shared" ca="1" si="53"/>
        <v/>
      </c>
      <c r="CU75" s="74" t="str">
        <f t="shared" ca="1" si="53"/>
        <v/>
      </c>
      <c r="CV75" s="74" t="str">
        <f t="shared" ca="1" si="54"/>
        <v/>
      </c>
      <c r="CW75" s="74" t="str">
        <f t="shared" ca="1" si="54"/>
        <v/>
      </c>
      <c r="CX75" s="74" t="str">
        <f t="shared" ca="1" si="54"/>
        <v/>
      </c>
      <c r="CY75" s="74" t="str">
        <f t="shared" ca="1" si="54"/>
        <v/>
      </c>
      <c r="CZ75" s="75" t="str">
        <f t="shared" ca="1" si="54"/>
        <v/>
      </c>
      <c r="DA75" s="75" t="str">
        <f t="shared" ca="1" si="54"/>
        <v/>
      </c>
      <c r="DB75" s="75" t="str">
        <f t="shared" ca="1" si="54"/>
        <v/>
      </c>
      <c r="DC75" s="75" t="str">
        <f t="shared" ca="1" si="54"/>
        <v/>
      </c>
      <c r="DD75" s="75" t="str">
        <f t="shared" ca="1" si="54"/>
        <v/>
      </c>
      <c r="DE75" s="75" t="str">
        <f t="shared" ca="1" si="54"/>
        <v/>
      </c>
      <c r="DF75" s="75" t="str">
        <f t="shared" ca="1" si="54"/>
        <v/>
      </c>
      <c r="DG75" s="75" t="str">
        <f t="shared" ca="1" si="54"/>
        <v/>
      </c>
      <c r="DH75" s="75" t="str">
        <f t="shared" ca="1" si="54"/>
        <v/>
      </c>
      <c r="DI75" s="75" t="str">
        <f t="shared" ca="1" si="54"/>
        <v/>
      </c>
      <c r="DJ75" s="75" t="str">
        <f t="shared" ca="1" si="54"/>
        <v/>
      </c>
      <c r="DK75" s="75" t="str">
        <f t="shared" ca="1" si="54"/>
        <v/>
      </c>
      <c r="DL75" s="75" t="str">
        <f t="shared" ca="1" si="55"/>
        <v/>
      </c>
      <c r="DM75" s="75" t="str">
        <f t="shared" ca="1" si="55"/>
        <v/>
      </c>
      <c r="DN75" s="75" t="str">
        <f t="shared" ca="1" si="55"/>
        <v/>
      </c>
      <c r="DO75" s="75" t="str">
        <f t="shared" ca="1" si="55"/>
        <v/>
      </c>
      <c r="DP75" s="75" t="str">
        <f t="shared" ca="1" si="55"/>
        <v/>
      </c>
      <c r="DQ75" s="75" t="str">
        <f t="shared" ca="1" si="55"/>
        <v/>
      </c>
      <c r="DR75" s="75" t="str">
        <f t="shared" ca="1" si="55"/>
        <v/>
      </c>
      <c r="DS75" s="74" t="str">
        <f t="shared" ca="1" si="55"/>
        <v/>
      </c>
      <c r="DT75" s="74" t="str">
        <f t="shared" ca="1" si="55"/>
        <v/>
      </c>
      <c r="DU75" s="74" t="str">
        <f t="shared" ca="1" si="55"/>
        <v/>
      </c>
      <c r="DV75" s="74" t="str">
        <f t="shared" ca="1" si="55"/>
        <v/>
      </c>
      <c r="DW75" s="74" t="str">
        <f t="shared" ca="1" si="55"/>
        <v/>
      </c>
      <c r="DX75" s="74" t="str">
        <f t="shared" ca="1" si="55"/>
        <v/>
      </c>
      <c r="DY75" s="74" t="str">
        <f t="shared" ca="1" si="55"/>
        <v/>
      </c>
      <c r="DZ75" s="74" t="str">
        <f t="shared" ca="1" si="55"/>
        <v/>
      </c>
      <c r="EA75" s="74" t="str">
        <f t="shared" ca="1" si="55"/>
        <v/>
      </c>
      <c r="EB75" s="74" t="str">
        <f t="shared" ca="1" si="56"/>
        <v/>
      </c>
      <c r="EC75" s="74" t="str">
        <f t="shared" ca="1" si="56"/>
        <v/>
      </c>
      <c r="ED75" s="74" t="str">
        <f t="shared" ca="1" si="56"/>
        <v/>
      </c>
      <c r="EE75" s="74" t="str">
        <f t="shared" ca="1" si="56"/>
        <v/>
      </c>
      <c r="EF75" s="74" t="str">
        <f t="shared" ca="1" si="56"/>
        <v/>
      </c>
      <c r="EG75" s="74" t="str">
        <f t="shared" ca="1" si="56"/>
        <v/>
      </c>
      <c r="EH75" s="74" t="str">
        <f t="shared" ca="1" si="56"/>
        <v/>
      </c>
      <c r="EI75" s="74" t="str">
        <f t="shared" ca="1" si="56"/>
        <v/>
      </c>
      <c r="EJ75" s="74" t="str">
        <f t="shared" ca="1" si="56"/>
        <v/>
      </c>
      <c r="EK75" s="75" t="str">
        <f t="shared" ca="1" si="56"/>
        <v/>
      </c>
      <c r="EL75" s="75" t="str">
        <f t="shared" ca="1" si="56"/>
        <v/>
      </c>
      <c r="EM75" s="75" t="str">
        <f t="shared" ca="1" si="56"/>
        <v/>
      </c>
      <c r="EN75" s="75" t="str">
        <f t="shared" ca="1" si="56"/>
        <v/>
      </c>
      <c r="EO75" s="75" t="str">
        <f t="shared" ca="1" si="56"/>
        <v/>
      </c>
      <c r="EP75" s="75" t="str">
        <f t="shared" ca="1" si="56"/>
        <v/>
      </c>
      <c r="EQ75" s="75" t="str">
        <f t="shared" ca="1" si="56"/>
        <v/>
      </c>
      <c r="ER75" s="75" t="str">
        <f t="shared" ca="1" si="57"/>
        <v/>
      </c>
      <c r="ES75" s="75" t="str">
        <f t="shared" ca="1" si="57"/>
        <v/>
      </c>
      <c r="ET75" s="75" t="str">
        <f t="shared" ca="1" si="57"/>
        <v/>
      </c>
      <c r="EU75" s="75" t="str">
        <f t="shared" ca="1" si="57"/>
        <v/>
      </c>
      <c r="EV75" s="75" t="str">
        <f t="shared" ca="1" si="57"/>
        <v/>
      </c>
      <c r="EW75" s="75" t="str">
        <f t="shared" ca="1" si="57"/>
        <v/>
      </c>
      <c r="EX75" s="75" t="str">
        <f t="shared" ca="1" si="57"/>
        <v/>
      </c>
      <c r="EY75" s="75" t="str">
        <f t="shared" ca="1" si="57"/>
        <v/>
      </c>
      <c r="EZ75" s="75" t="str">
        <f t="shared" ca="1" si="57"/>
        <v/>
      </c>
      <c r="FA75" s="75" t="str">
        <f t="shared" ca="1" si="57"/>
        <v/>
      </c>
      <c r="FB75" s="75" t="str">
        <f t="shared" ca="1" si="57"/>
        <v/>
      </c>
      <c r="FC75" s="76" t="str">
        <f t="shared" ca="1" si="57"/>
        <v/>
      </c>
      <c r="FD75" s="74" t="str">
        <f t="shared" ca="1" si="57"/>
        <v/>
      </c>
      <c r="FE75" s="74" t="str">
        <f t="shared" ca="1" si="57"/>
        <v/>
      </c>
      <c r="FF75" s="74" t="str">
        <f t="shared" ca="1" si="57"/>
        <v/>
      </c>
      <c r="FG75" s="74" t="str">
        <f t="shared" ca="1" si="58"/>
        <v/>
      </c>
      <c r="FH75" s="74" t="str">
        <f t="shared" ca="1" si="58"/>
        <v/>
      </c>
      <c r="FI75" s="74" t="str">
        <f t="shared" ca="1" si="58"/>
        <v/>
      </c>
      <c r="FJ75" s="74" t="str">
        <f t="shared" ca="1" si="58"/>
        <v/>
      </c>
      <c r="FK75" s="74" t="str">
        <f t="shared" ca="1" si="58"/>
        <v/>
      </c>
      <c r="FL75" s="74" t="str">
        <f t="shared" ca="1" si="58"/>
        <v/>
      </c>
      <c r="FM75" s="74" t="str">
        <f t="shared" ca="1" si="58"/>
        <v/>
      </c>
      <c r="FN75" s="74" t="str">
        <f t="shared" ca="1" si="58"/>
        <v/>
      </c>
      <c r="FO75" s="74" t="str">
        <f t="shared" ca="1" si="58"/>
        <v/>
      </c>
      <c r="FP75" s="74" t="str">
        <f t="shared" ca="1" si="58"/>
        <v/>
      </c>
      <c r="FQ75" s="74" t="str">
        <f t="shared" ca="1" si="58"/>
        <v/>
      </c>
      <c r="FR75" s="74" t="str">
        <f t="shared" ca="1" si="58"/>
        <v/>
      </c>
      <c r="FS75" s="74" t="str">
        <f t="shared" ca="1" si="58"/>
        <v/>
      </c>
      <c r="FT75" s="74" t="str">
        <f t="shared" ca="1" si="58"/>
        <v/>
      </c>
    </row>
    <row r="76" spans="1:176" x14ac:dyDescent="0.35">
      <c r="A76" s="74"/>
      <c r="B76" s="74" t="str">
        <f t="shared" ca="1" si="62"/>
        <v/>
      </c>
      <c r="C76" s="74" t="str">
        <f t="shared" ca="1" si="62"/>
        <v/>
      </c>
      <c r="D76" s="74" t="str">
        <f t="shared" ca="1" si="62"/>
        <v/>
      </c>
      <c r="E76" s="74" t="str">
        <f t="shared" ca="1" si="62"/>
        <v/>
      </c>
      <c r="F76" t="str">
        <f t="shared" ca="1" si="63"/>
        <v/>
      </c>
      <c r="G76" t="str">
        <f t="shared" ca="1" si="63"/>
        <v/>
      </c>
      <c r="H76" t="str">
        <f t="shared" ca="1" si="63"/>
        <v/>
      </c>
      <c r="I76" s="74" t="str">
        <f t="shared" ca="1" si="62"/>
        <v/>
      </c>
      <c r="J76" s="74" t="str">
        <f t="shared" ca="1" si="62"/>
        <v/>
      </c>
      <c r="K76" s="74" t="str">
        <f t="shared" ca="1" si="62"/>
        <v/>
      </c>
      <c r="L76" s="74" t="str">
        <f t="shared" ca="1" si="62"/>
        <v/>
      </c>
      <c r="M76" s="74" t="str">
        <f t="shared" ca="1" si="62"/>
        <v/>
      </c>
      <c r="N76" s="74" t="str">
        <f t="shared" ca="1" si="62"/>
        <v/>
      </c>
      <c r="O76" s="74" t="str">
        <f t="shared" ca="1" si="62"/>
        <v/>
      </c>
      <c r="P76" s="74" t="str">
        <f t="shared" ca="1" si="62"/>
        <v/>
      </c>
      <c r="Q76" s="74" t="str">
        <f t="shared" ca="1" si="62"/>
        <v/>
      </c>
      <c r="R76" s="74" t="str">
        <f t="shared" ca="1" si="62"/>
        <v/>
      </c>
      <c r="S76" s="74" t="str">
        <f t="shared" ca="1" si="62"/>
        <v/>
      </c>
      <c r="T76" s="74" t="str">
        <f t="shared" ca="1" si="59"/>
        <v/>
      </c>
      <c r="U76" s="74" t="str">
        <f t="shared" ca="1" si="59"/>
        <v/>
      </c>
      <c r="V76" s="74" t="str">
        <f t="shared" ca="1" si="59"/>
        <v/>
      </c>
      <c r="W76" s="74" t="str">
        <f t="shared" ca="1" si="59"/>
        <v/>
      </c>
      <c r="X76" s="74" t="str">
        <f t="shared" ca="1" si="59"/>
        <v/>
      </c>
      <c r="Y76" s="74" t="str">
        <f t="shared" ca="1" si="59"/>
        <v/>
      </c>
      <c r="Z76" s="74" t="str">
        <f t="shared" ca="1" si="59"/>
        <v/>
      </c>
      <c r="AA76" s="74" t="str">
        <f t="shared" ca="1" si="59"/>
        <v/>
      </c>
      <c r="AB76" s="75" t="str">
        <f t="shared" ca="1" si="59"/>
        <v/>
      </c>
      <c r="AC76" s="75" t="str">
        <f t="shared" ca="1" si="59"/>
        <v/>
      </c>
      <c r="AD76" s="75" t="str">
        <f t="shared" ca="1" si="59"/>
        <v/>
      </c>
      <c r="AE76" s="75" t="str">
        <f t="shared" ca="1" si="59"/>
        <v/>
      </c>
      <c r="AF76" s="75" t="str">
        <f t="shared" ca="1" si="59"/>
        <v/>
      </c>
      <c r="AG76" s="75" t="str">
        <f t="shared" ca="1" si="59"/>
        <v/>
      </c>
      <c r="AH76" s="75" t="str">
        <f t="shared" ca="1" si="59"/>
        <v/>
      </c>
      <c r="AI76" s="75" t="str">
        <f t="shared" ca="1" si="60"/>
        <v/>
      </c>
      <c r="AJ76" s="75" t="str">
        <f t="shared" ca="1" si="60"/>
        <v/>
      </c>
      <c r="AK76" s="75" t="str">
        <f t="shared" ca="1" si="60"/>
        <v/>
      </c>
      <c r="AL76" s="75" t="str">
        <f t="shared" ca="1" si="60"/>
        <v/>
      </c>
      <c r="AM76" s="75" t="str">
        <f t="shared" ca="1" si="60"/>
        <v/>
      </c>
      <c r="AN76" s="75" t="str">
        <f t="shared" ca="1" si="60"/>
        <v/>
      </c>
      <c r="AO76" s="75" t="str">
        <f t="shared" ca="1" si="60"/>
        <v/>
      </c>
      <c r="AP76" s="75" t="str">
        <f t="shared" ca="1" si="60"/>
        <v/>
      </c>
      <c r="AQ76" s="75" t="str">
        <f t="shared" ca="1" si="60"/>
        <v/>
      </c>
      <c r="AR76" s="75" t="str">
        <f t="shared" ca="1" si="60"/>
        <v/>
      </c>
      <c r="AS76" s="75" t="str">
        <f t="shared" ca="1" si="60"/>
        <v/>
      </c>
      <c r="AT76" s="75" t="str">
        <f t="shared" ca="1" si="60"/>
        <v/>
      </c>
      <c r="AU76" s="74" t="str">
        <f t="shared" ca="1" si="60"/>
        <v/>
      </c>
      <c r="AV76" s="74" t="str">
        <f t="shared" ca="1" si="60"/>
        <v/>
      </c>
      <c r="AW76" s="74" t="str">
        <f t="shared" ca="1" si="60"/>
        <v/>
      </c>
      <c r="AX76" s="74" t="str">
        <f t="shared" ca="1" si="60"/>
        <v/>
      </c>
      <c r="AY76" s="74" t="str">
        <f t="shared" ca="1" si="61"/>
        <v/>
      </c>
      <c r="AZ76" s="74" t="str">
        <f t="shared" ca="1" si="51"/>
        <v/>
      </c>
      <c r="BA76" s="74" t="str">
        <f t="shared" ca="1" si="51"/>
        <v/>
      </c>
      <c r="BB76" s="74" t="str">
        <f t="shared" ca="1" si="51"/>
        <v/>
      </c>
      <c r="BC76" s="74" t="str">
        <f t="shared" ca="1" si="51"/>
        <v/>
      </c>
      <c r="BD76" s="74" t="str">
        <f t="shared" ca="1" si="51"/>
        <v/>
      </c>
      <c r="BE76" s="74" t="str">
        <f t="shared" ca="1" si="51"/>
        <v/>
      </c>
      <c r="BF76" s="74" t="str">
        <f t="shared" ca="1" si="51"/>
        <v/>
      </c>
      <c r="BG76" s="74" t="str">
        <f t="shared" ca="1" si="51"/>
        <v/>
      </c>
      <c r="BH76" s="74" t="str">
        <f t="shared" ca="1" si="51"/>
        <v/>
      </c>
      <c r="BI76" s="74" t="str">
        <f t="shared" ca="1" si="51"/>
        <v/>
      </c>
      <c r="BJ76" s="74" t="str">
        <f t="shared" ca="1" si="51"/>
        <v/>
      </c>
      <c r="BK76" s="74" t="str">
        <f t="shared" ca="1" si="51"/>
        <v/>
      </c>
      <c r="BL76" s="74" t="str">
        <f t="shared" ca="1" si="51"/>
        <v/>
      </c>
      <c r="BM76" s="74" t="str">
        <f t="shared" ca="1" si="51"/>
        <v/>
      </c>
      <c r="BN76" s="75" t="str">
        <f t="shared" ca="1" si="51"/>
        <v/>
      </c>
      <c r="BO76" s="75" t="str">
        <f t="shared" ca="1" si="51"/>
        <v/>
      </c>
      <c r="BP76" s="75" t="str">
        <f t="shared" ca="1" si="52"/>
        <v/>
      </c>
      <c r="BQ76" s="75" t="str">
        <f t="shared" ca="1" si="52"/>
        <v/>
      </c>
      <c r="BR76" s="75" t="str">
        <f t="shared" ca="1" si="52"/>
        <v/>
      </c>
      <c r="BS76" s="75" t="str">
        <f t="shared" ca="1" si="52"/>
        <v/>
      </c>
      <c r="BT76" s="75" t="str">
        <f t="shared" ca="1" si="52"/>
        <v/>
      </c>
      <c r="BU76" s="75" t="str">
        <f t="shared" ca="1" si="52"/>
        <v/>
      </c>
      <c r="BV76" s="75" t="str">
        <f t="shared" ca="1" si="52"/>
        <v/>
      </c>
      <c r="BW76" s="75" t="str">
        <f t="shared" ca="1" si="52"/>
        <v/>
      </c>
      <c r="BX76" s="75" t="str">
        <f t="shared" ca="1" si="52"/>
        <v/>
      </c>
      <c r="BY76" s="75" t="str">
        <f t="shared" ca="1" si="52"/>
        <v/>
      </c>
      <c r="BZ76" s="75" t="str">
        <f t="shared" ca="1" si="52"/>
        <v/>
      </c>
      <c r="CA76" s="75" t="str">
        <f t="shared" ca="1" si="52"/>
        <v/>
      </c>
      <c r="CB76" s="75" t="str">
        <f t="shared" ca="1" si="52"/>
        <v/>
      </c>
      <c r="CC76" s="75" t="str">
        <f t="shared" ca="1" si="52"/>
        <v/>
      </c>
      <c r="CD76" s="75" t="str">
        <f t="shared" ca="1" si="52"/>
        <v/>
      </c>
      <c r="CE76" s="75" t="str">
        <f t="shared" ca="1" si="52"/>
        <v/>
      </c>
      <c r="CF76" s="75" t="str">
        <f t="shared" ca="1" si="53"/>
        <v/>
      </c>
      <c r="CG76" s="74" t="str">
        <f t="shared" ca="1" si="53"/>
        <v/>
      </c>
      <c r="CH76" s="74" t="str">
        <f t="shared" ca="1" si="53"/>
        <v/>
      </c>
      <c r="CI76" s="74" t="str">
        <f t="shared" ca="1" si="53"/>
        <v/>
      </c>
      <c r="CJ76" s="74" t="str">
        <f t="shared" ca="1" si="53"/>
        <v/>
      </c>
      <c r="CK76" s="74" t="str">
        <f t="shared" ca="1" si="53"/>
        <v/>
      </c>
      <c r="CL76" s="74" t="str">
        <f t="shared" ca="1" si="53"/>
        <v/>
      </c>
      <c r="CM76" s="74" t="str">
        <f t="shared" ca="1" si="53"/>
        <v/>
      </c>
      <c r="CN76" s="74" t="str">
        <f t="shared" ca="1" si="53"/>
        <v/>
      </c>
      <c r="CO76" s="74" t="str">
        <f t="shared" ca="1" si="53"/>
        <v/>
      </c>
      <c r="CP76" s="74" t="str">
        <f t="shared" ca="1" si="53"/>
        <v/>
      </c>
      <c r="CQ76" s="74" t="str">
        <f t="shared" ca="1" si="53"/>
        <v/>
      </c>
      <c r="CR76" s="74" t="str">
        <f t="shared" ca="1" si="53"/>
        <v/>
      </c>
      <c r="CS76" s="74" t="str">
        <f t="shared" ca="1" si="53"/>
        <v/>
      </c>
      <c r="CT76" s="74" t="str">
        <f t="shared" ca="1" si="53"/>
        <v/>
      </c>
      <c r="CU76" s="74" t="str">
        <f t="shared" ca="1" si="53"/>
        <v/>
      </c>
      <c r="CV76" s="74" t="str">
        <f t="shared" ca="1" si="54"/>
        <v/>
      </c>
      <c r="CW76" s="74" t="str">
        <f t="shared" ca="1" si="54"/>
        <v/>
      </c>
      <c r="CX76" s="74" t="str">
        <f t="shared" ca="1" si="54"/>
        <v/>
      </c>
      <c r="CY76" s="74" t="str">
        <f t="shared" ca="1" si="54"/>
        <v/>
      </c>
      <c r="CZ76" s="75" t="str">
        <f t="shared" ca="1" si="54"/>
        <v/>
      </c>
      <c r="DA76" s="75" t="str">
        <f t="shared" ca="1" si="54"/>
        <v/>
      </c>
      <c r="DB76" s="75" t="str">
        <f t="shared" ca="1" si="54"/>
        <v/>
      </c>
      <c r="DC76" s="75" t="str">
        <f t="shared" ca="1" si="54"/>
        <v/>
      </c>
      <c r="DD76" s="75" t="str">
        <f t="shared" ca="1" si="54"/>
        <v/>
      </c>
      <c r="DE76" s="75" t="str">
        <f t="shared" ca="1" si="54"/>
        <v/>
      </c>
      <c r="DF76" s="75" t="str">
        <f t="shared" ca="1" si="54"/>
        <v/>
      </c>
      <c r="DG76" s="75" t="str">
        <f t="shared" ca="1" si="54"/>
        <v/>
      </c>
      <c r="DH76" s="75" t="str">
        <f t="shared" ca="1" si="54"/>
        <v/>
      </c>
      <c r="DI76" s="75" t="str">
        <f t="shared" ca="1" si="54"/>
        <v/>
      </c>
      <c r="DJ76" s="75" t="str">
        <f t="shared" ca="1" si="54"/>
        <v/>
      </c>
      <c r="DK76" s="75" t="str">
        <f t="shared" ca="1" si="54"/>
        <v/>
      </c>
      <c r="DL76" s="75" t="str">
        <f t="shared" ca="1" si="55"/>
        <v/>
      </c>
      <c r="DM76" s="75" t="str">
        <f t="shared" ca="1" si="55"/>
        <v/>
      </c>
      <c r="DN76" s="75" t="str">
        <f t="shared" ca="1" si="55"/>
        <v/>
      </c>
      <c r="DO76" s="75" t="str">
        <f t="shared" ca="1" si="55"/>
        <v/>
      </c>
      <c r="DP76" s="75" t="str">
        <f t="shared" ca="1" si="55"/>
        <v/>
      </c>
      <c r="DQ76" s="75" t="str">
        <f t="shared" ca="1" si="55"/>
        <v/>
      </c>
      <c r="DR76" s="75" t="str">
        <f t="shared" ca="1" si="55"/>
        <v/>
      </c>
      <c r="DS76" s="74" t="str">
        <f t="shared" ca="1" si="55"/>
        <v/>
      </c>
      <c r="DT76" s="74" t="str">
        <f t="shared" ca="1" si="55"/>
        <v/>
      </c>
      <c r="DU76" s="74" t="str">
        <f t="shared" ca="1" si="55"/>
        <v/>
      </c>
      <c r="DV76" s="74" t="str">
        <f t="shared" ca="1" si="55"/>
        <v/>
      </c>
      <c r="DW76" s="74" t="str">
        <f t="shared" ca="1" si="55"/>
        <v/>
      </c>
      <c r="DX76" s="74" t="str">
        <f t="shared" ca="1" si="55"/>
        <v/>
      </c>
      <c r="DY76" s="74" t="str">
        <f t="shared" ca="1" si="55"/>
        <v/>
      </c>
      <c r="DZ76" s="74" t="str">
        <f t="shared" ca="1" si="55"/>
        <v/>
      </c>
      <c r="EA76" s="74" t="str">
        <f t="shared" ca="1" si="55"/>
        <v/>
      </c>
      <c r="EB76" s="74" t="str">
        <f t="shared" ca="1" si="56"/>
        <v/>
      </c>
      <c r="EC76" s="74" t="str">
        <f t="shared" ca="1" si="56"/>
        <v/>
      </c>
      <c r="ED76" s="74" t="str">
        <f t="shared" ca="1" si="56"/>
        <v/>
      </c>
      <c r="EE76" s="74" t="str">
        <f t="shared" ca="1" si="56"/>
        <v/>
      </c>
      <c r="EF76" s="74" t="str">
        <f t="shared" ca="1" si="56"/>
        <v/>
      </c>
      <c r="EG76" s="74" t="str">
        <f t="shared" ca="1" si="56"/>
        <v/>
      </c>
      <c r="EH76" s="74" t="str">
        <f t="shared" ca="1" si="56"/>
        <v/>
      </c>
      <c r="EI76" s="74" t="str">
        <f t="shared" ca="1" si="56"/>
        <v/>
      </c>
      <c r="EJ76" s="74" t="str">
        <f t="shared" ca="1" si="56"/>
        <v/>
      </c>
      <c r="EK76" s="75" t="str">
        <f t="shared" ca="1" si="56"/>
        <v/>
      </c>
      <c r="EL76" s="75" t="str">
        <f t="shared" ca="1" si="56"/>
        <v/>
      </c>
      <c r="EM76" s="75" t="str">
        <f t="shared" ca="1" si="56"/>
        <v/>
      </c>
      <c r="EN76" s="75" t="str">
        <f t="shared" ca="1" si="56"/>
        <v/>
      </c>
      <c r="EO76" s="75" t="str">
        <f t="shared" ca="1" si="56"/>
        <v/>
      </c>
      <c r="EP76" s="75" t="str">
        <f t="shared" ca="1" si="56"/>
        <v/>
      </c>
      <c r="EQ76" s="75" t="str">
        <f t="shared" ca="1" si="56"/>
        <v/>
      </c>
      <c r="ER76" s="75" t="str">
        <f t="shared" ca="1" si="57"/>
        <v/>
      </c>
      <c r="ES76" s="75" t="str">
        <f t="shared" ca="1" si="57"/>
        <v/>
      </c>
      <c r="ET76" s="75" t="str">
        <f t="shared" ca="1" si="57"/>
        <v/>
      </c>
      <c r="EU76" s="75" t="str">
        <f t="shared" ca="1" si="57"/>
        <v/>
      </c>
      <c r="EV76" s="75" t="str">
        <f t="shared" ca="1" si="57"/>
        <v/>
      </c>
      <c r="EW76" s="75" t="str">
        <f t="shared" ca="1" si="57"/>
        <v/>
      </c>
      <c r="EX76" s="75" t="str">
        <f t="shared" ca="1" si="57"/>
        <v/>
      </c>
      <c r="EY76" s="75" t="str">
        <f t="shared" ca="1" si="57"/>
        <v/>
      </c>
      <c r="EZ76" s="75" t="str">
        <f t="shared" ca="1" si="57"/>
        <v/>
      </c>
      <c r="FA76" s="75" t="str">
        <f t="shared" ca="1" si="57"/>
        <v/>
      </c>
      <c r="FB76" s="75" t="str">
        <f t="shared" ca="1" si="57"/>
        <v/>
      </c>
      <c r="FC76" s="76" t="str">
        <f t="shared" ca="1" si="57"/>
        <v/>
      </c>
      <c r="FD76" s="74" t="str">
        <f t="shared" ca="1" si="57"/>
        <v/>
      </c>
      <c r="FE76" s="74" t="str">
        <f t="shared" ca="1" si="57"/>
        <v/>
      </c>
      <c r="FF76" s="74" t="str">
        <f t="shared" ca="1" si="57"/>
        <v/>
      </c>
      <c r="FG76" s="74" t="str">
        <f t="shared" ca="1" si="58"/>
        <v/>
      </c>
      <c r="FH76" s="74" t="str">
        <f t="shared" ca="1" si="58"/>
        <v/>
      </c>
      <c r="FI76" s="74" t="str">
        <f t="shared" ca="1" si="58"/>
        <v/>
      </c>
      <c r="FJ76" s="74" t="str">
        <f t="shared" ca="1" si="58"/>
        <v/>
      </c>
      <c r="FK76" s="74" t="str">
        <f t="shared" ca="1" si="58"/>
        <v/>
      </c>
      <c r="FL76" s="74" t="str">
        <f t="shared" ca="1" si="58"/>
        <v/>
      </c>
      <c r="FM76" s="74" t="str">
        <f t="shared" ca="1" si="58"/>
        <v/>
      </c>
      <c r="FN76" s="74" t="str">
        <f t="shared" ca="1" si="58"/>
        <v/>
      </c>
      <c r="FO76" s="74" t="str">
        <f t="shared" ca="1" si="58"/>
        <v/>
      </c>
      <c r="FP76" s="74" t="str">
        <f t="shared" ca="1" si="58"/>
        <v/>
      </c>
      <c r="FQ76" s="74" t="str">
        <f t="shared" ca="1" si="58"/>
        <v/>
      </c>
      <c r="FR76" s="74" t="str">
        <f t="shared" ca="1" si="58"/>
        <v/>
      </c>
      <c r="FS76" s="74" t="str">
        <f t="shared" ca="1" si="58"/>
        <v/>
      </c>
      <c r="FT76" s="74" t="str">
        <f t="shared" ca="1" si="58"/>
        <v/>
      </c>
    </row>
    <row r="77" spans="1:176" x14ac:dyDescent="0.35">
      <c r="A77" s="74"/>
      <c r="B77" s="74" t="str">
        <f t="shared" ca="1" si="62"/>
        <v/>
      </c>
      <c r="C77" s="74" t="str">
        <f t="shared" ca="1" si="62"/>
        <v/>
      </c>
      <c r="D77" s="74" t="str">
        <f t="shared" ca="1" si="62"/>
        <v/>
      </c>
      <c r="E77" s="74" t="str">
        <f t="shared" ca="1" si="62"/>
        <v/>
      </c>
      <c r="F77" t="str">
        <f t="shared" ca="1" si="63"/>
        <v/>
      </c>
      <c r="G77" t="str">
        <f t="shared" ca="1" si="63"/>
        <v/>
      </c>
      <c r="H77" t="str">
        <f t="shared" ca="1" si="63"/>
        <v/>
      </c>
      <c r="I77" s="74" t="str">
        <f t="shared" ca="1" si="62"/>
        <v/>
      </c>
      <c r="J77" s="74" t="str">
        <f t="shared" ca="1" si="62"/>
        <v/>
      </c>
      <c r="K77" s="74" t="str">
        <f t="shared" ca="1" si="62"/>
        <v/>
      </c>
      <c r="L77" s="74" t="str">
        <f t="shared" ca="1" si="62"/>
        <v/>
      </c>
      <c r="M77" s="74" t="str">
        <f t="shared" ca="1" si="62"/>
        <v/>
      </c>
      <c r="N77" s="74" t="str">
        <f t="shared" ca="1" si="62"/>
        <v/>
      </c>
      <c r="O77" s="74" t="str">
        <f t="shared" ca="1" si="62"/>
        <v/>
      </c>
      <c r="P77" s="74" t="str">
        <f t="shared" ca="1" si="62"/>
        <v/>
      </c>
      <c r="Q77" s="74" t="str">
        <f t="shared" ca="1" si="62"/>
        <v/>
      </c>
      <c r="R77" s="74" t="str">
        <f t="shared" ca="1" si="62"/>
        <v/>
      </c>
      <c r="S77" s="74" t="str">
        <f t="shared" ca="1" si="62"/>
        <v/>
      </c>
      <c r="T77" s="74" t="str">
        <f t="shared" ca="1" si="59"/>
        <v/>
      </c>
      <c r="U77" s="74" t="str">
        <f t="shared" ca="1" si="59"/>
        <v/>
      </c>
      <c r="V77" s="74" t="str">
        <f t="shared" ca="1" si="59"/>
        <v/>
      </c>
      <c r="W77" s="74" t="str">
        <f t="shared" ca="1" si="59"/>
        <v/>
      </c>
      <c r="X77" s="74" t="str">
        <f t="shared" ca="1" si="59"/>
        <v/>
      </c>
      <c r="Y77" s="74" t="str">
        <f t="shared" ca="1" si="59"/>
        <v/>
      </c>
      <c r="Z77" s="74" t="str">
        <f t="shared" ca="1" si="59"/>
        <v/>
      </c>
      <c r="AA77" s="74" t="str">
        <f t="shared" ca="1" si="59"/>
        <v/>
      </c>
      <c r="AB77" s="75" t="str">
        <f t="shared" ca="1" si="59"/>
        <v/>
      </c>
      <c r="AC77" s="75" t="str">
        <f t="shared" ca="1" si="59"/>
        <v/>
      </c>
      <c r="AD77" s="75" t="str">
        <f t="shared" ca="1" si="59"/>
        <v/>
      </c>
      <c r="AE77" s="75" t="str">
        <f t="shared" ca="1" si="59"/>
        <v/>
      </c>
      <c r="AF77" s="75" t="str">
        <f t="shared" ca="1" si="59"/>
        <v/>
      </c>
      <c r="AG77" s="75" t="str">
        <f t="shared" ca="1" si="59"/>
        <v/>
      </c>
      <c r="AH77" s="75" t="str">
        <f t="shared" ca="1" si="59"/>
        <v/>
      </c>
      <c r="AI77" s="75" t="str">
        <f t="shared" ca="1" si="60"/>
        <v/>
      </c>
      <c r="AJ77" s="75" t="str">
        <f t="shared" ca="1" si="60"/>
        <v/>
      </c>
      <c r="AK77" s="75" t="str">
        <f t="shared" ca="1" si="60"/>
        <v/>
      </c>
      <c r="AL77" s="75" t="str">
        <f t="shared" ca="1" si="60"/>
        <v/>
      </c>
      <c r="AM77" s="75" t="str">
        <f t="shared" ca="1" si="60"/>
        <v/>
      </c>
      <c r="AN77" s="75" t="str">
        <f t="shared" ca="1" si="60"/>
        <v/>
      </c>
      <c r="AO77" s="75" t="str">
        <f t="shared" ca="1" si="60"/>
        <v/>
      </c>
      <c r="AP77" s="75" t="str">
        <f t="shared" ca="1" si="60"/>
        <v/>
      </c>
      <c r="AQ77" s="75" t="str">
        <f t="shared" ca="1" si="60"/>
        <v/>
      </c>
      <c r="AR77" s="75" t="str">
        <f t="shared" ca="1" si="60"/>
        <v/>
      </c>
      <c r="AS77" s="75" t="str">
        <f t="shared" ca="1" si="60"/>
        <v/>
      </c>
      <c r="AT77" s="75" t="str">
        <f t="shared" ca="1" si="60"/>
        <v/>
      </c>
      <c r="AU77" s="74" t="str">
        <f t="shared" ca="1" si="60"/>
        <v/>
      </c>
      <c r="AV77" s="74" t="str">
        <f t="shared" ca="1" si="60"/>
        <v/>
      </c>
      <c r="AW77" s="74" t="str">
        <f t="shared" ca="1" si="60"/>
        <v/>
      </c>
      <c r="AX77" s="74" t="str">
        <f t="shared" ca="1" si="60"/>
        <v/>
      </c>
      <c r="AY77" s="74" t="str">
        <f t="shared" ca="1" si="61"/>
        <v/>
      </c>
      <c r="AZ77" s="74" t="str">
        <f t="shared" ca="1" si="51"/>
        <v/>
      </c>
      <c r="BA77" s="74" t="str">
        <f t="shared" ca="1" si="51"/>
        <v/>
      </c>
      <c r="BB77" s="74" t="str">
        <f t="shared" ca="1" si="51"/>
        <v/>
      </c>
      <c r="BC77" s="74" t="str">
        <f t="shared" ca="1" si="51"/>
        <v/>
      </c>
      <c r="BD77" s="74" t="str">
        <f t="shared" ca="1" si="51"/>
        <v/>
      </c>
      <c r="BE77" s="74" t="str">
        <f t="shared" ca="1" si="51"/>
        <v/>
      </c>
      <c r="BF77" s="74" t="str">
        <f t="shared" ca="1" si="51"/>
        <v/>
      </c>
      <c r="BG77" s="74" t="str">
        <f t="shared" ca="1" si="51"/>
        <v/>
      </c>
      <c r="BH77" s="74" t="str">
        <f t="shared" ca="1" si="51"/>
        <v/>
      </c>
      <c r="BI77" s="74" t="str">
        <f t="shared" ca="1" si="51"/>
        <v/>
      </c>
      <c r="BJ77" s="74" t="str">
        <f t="shared" ca="1" si="51"/>
        <v/>
      </c>
      <c r="BK77" s="74" t="str">
        <f t="shared" ca="1" si="51"/>
        <v/>
      </c>
      <c r="BL77" s="74" t="str">
        <f t="shared" ca="1" si="51"/>
        <v/>
      </c>
      <c r="BM77" s="74" t="str">
        <f t="shared" ca="1" si="51"/>
        <v/>
      </c>
      <c r="BN77" s="75" t="str">
        <f t="shared" ca="1" si="51"/>
        <v/>
      </c>
      <c r="BO77" s="75" t="str">
        <f t="shared" ca="1" si="51"/>
        <v/>
      </c>
      <c r="BP77" s="75" t="str">
        <f t="shared" ca="1" si="52"/>
        <v/>
      </c>
      <c r="BQ77" s="75" t="str">
        <f t="shared" ca="1" si="52"/>
        <v/>
      </c>
      <c r="BR77" s="75" t="str">
        <f t="shared" ca="1" si="52"/>
        <v/>
      </c>
      <c r="BS77" s="75" t="str">
        <f t="shared" ca="1" si="52"/>
        <v/>
      </c>
      <c r="BT77" s="75" t="str">
        <f t="shared" ca="1" si="52"/>
        <v/>
      </c>
      <c r="BU77" s="75" t="str">
        <f t="shared" ca="1" si="52"/>
        <v/>
      </c>
      <c r="BV77" s="75" t="str">
        <f t="shared" ca="1" si="52"/>
        <v/>
      </c>
      <c r="BW77" s="75" t="str">
        <f t="shared" ca="1" si="52"/>
        <v/>
      </c>
      <c r="BX77" s="75" t="str">
        <f t="shared" ca="1" si="52"/>
        <v/>
      </c>
      <c r="BY77" s="75" t="str">
        <f t="shared" ca="1" si="52"/>
        <v/>
      </c>
      <c r="BZ77" s="75" t="str">
        <f t="shared" ca="1" si="52"/>
        <v/>
      </c>
      <c r="CA77" s="75" t="str">
        <f t="shared" ca="1" si="52"/>
        <v/>
      </c>
      <c r="CB77" s="75" t="str">
        <f t="shared" ca="1" si="52"/>
        <v/>
      </c>
      <c r="CC77" s="75" t="str">
        <f t="shared" ca="1" si="52"/>
        <v/>
      </c>
      <c r="CD77" s="75" t="str">
        <f t="shared" ca="1" si="52"/>
        <v/>
      </c>
      <c r="CE77" s="75" t="str">
        <f t="shared" ca="1" si="52"/>
        <v/>
      </c>
      <c r="CF77" s="75" t="str">
        <f t="shared" ca="1" si="53"/>
        <v/>
      </c>
      <c r="CG77" s="74" t="str">
        <f t="shared" ca="1" si="53"/>
        <v/>
      </c>
      <c r="CH77" s="74" t="str">
        <f t="shared" ca="1" si="53"/>
        <v/>
      </c>
      <c r="CI77" s="74" t="str">
        <f t="shared" ca="1" si="53"/>
        <v/>
      </c>
      <c r="CJ77" s="74" t="str">
        <f t="shared" ca="1" si="53"/>
        <v/>
      </c>
      <c r="CK77" s="74" t="str">
        <f t="shared" ca="1" si="53"/>
        <v/>
      </c>
      <c r="CL77" s="74" t="str">
        <f t="shared" ca="1" si="53"/>
        <v/>
      </c>
      <c r="CM77" s="74" t="str">
        <f t="shared" ca="1" si="53"/>
        <v/>
      </c>
      <c r="CN77" s="74" t="str">
        <f t="shared" ca="1" si="53"/>
        <v/>
      </c>
      <c r="CO77" s="74" t="str">
        <f t="shared" ca="1" si="53"/>
        <v/>
      </c>
      <c r="CP77" s="74" t="str">
        <f t="shared" ca="1" si="53"/>
        <v/>
      </c>
      <c r="CQ77" s="74" t="str">
        <f t="shared" ca="1" si="53"/>
        <v/>
      </c>
      <c r="CR77" s="74" t="str">
        <f t="shared" ca="1" si="53"/>
        <v/>
      </c>
      <c r="CS77" s="74" t="str">
        <f t="shared" ca="1" si="53"/>
        <v/>
      </c>
      <c r="CT77" s="74" t="str">
        <f t="shared" ca="1" si="53"/>
        <v/>
      </c>
      <c r="CU77" s="74" t="str">
        <f t="shared" ca="1" si="53"/>
        <v/>
      </c>
      <c r="CV77" s="74" t="str">
        <f t="shared" ca="1" si="54"/>
        <v/>
      </c>
      <c r="CW77" s="74" t="str">
        <f t="shared" ca="1" si="54"/>
        <v/>
      </c>
      <c r="CX77" s="74" t="str">
        <f t="shared" ca="1" si="54"/>
        <v/>
      </c>
      <c r="CY77" s="74" t="str">
        <f t="shared" ca="1" si="54"/>
        <v/>
      </c>
      <c r="CZ77" s="75" t="str">
        <f t="shared" ca="1" si="54"/>
        <v/>
      </c>
      <c r="DA77" s="75" t="str">
        <f t="shared" ca="1" si="54"/>
        <v/>
      </c>
      <c r="DB77" s="75" t="str">
        <f t="shared" ca="1" si="54"/>
        <v/>
      </c>
      <c r="DC77" s="75" t="str">
        <f t="shared" ca="1" si="54"/>
        <v/>
      </c>
      <c r="DD77" s="75" t="str">
        <f t="shared" ca="1" si="54"/>
        <v/>
      </c>
      <c r="DE77" s="75" t="str">
        <f t="shared" ca="1" si="54"/>
        <v/>
      </c>
      <c r="DF77" s="75" t="str">
        <f t="shared" ca="1" si="54"/>
        <v/>
      </c>
      <c r="DG77" s="75" t="str">
        <f t="shared" ca="1" si="54"/>
        <v/>
      </c>
      <c r="DH77" s="75" t="str">
        <f t="shared" ca="1" si="54"/>
        <v/>
      </c>
      <c r="DI77" s="75" t="str">
        <f t="shared" ca="1" si="54"/>
        <v/>
      </c>
      <c r="DJ77" s="75" t="str">
        <f t="shared" ca="1" si="54"/>
        <v/>
      </c>
      <c r="DK77" s="75" t="str">
        <f t="shared" ca="1" si="54"/>
        <v/>
      </c>
      <c r="DL77" s="75" t="str">
        <f t="shared" ca="1" si="55"/>
        <v/>
      </c>
      <c r="DM77" s="75" t="str">
        <f t="shared" ca="1" si="55"/>
        <v/>
      </c>
      <c r="DN77" s="75" t="str">
        <f t="shared" ca="1" si="55"/>
        <v/>
      </c>
      <c r="DO77" s="75" t="str">
        <f t="shared" ca="1" si="55"/>
        <v/>
      </c>
      <c r="DP77" s="75" t="str">
        <f t="shared" ca="1" si="55"/>
        <v/>
      </c>
      <c r="DQ77" s="75" t="str">
        <f t="shared" ca="1" si="55"/>
        <v/>
      </c>
      <c r="DR77" s="75" t="str">
        <f t="shared" ca="1" si="55"/>
        <v/>
      </c>
      <c r="DS77" s="74" t="str">
        <f t="shared" ca="1" si="55"/>
        <v/>
      </c>
      <c r="DT77" s="74" t="str">
        <f t="shared" ca="1" si="55"/>
        <v/>
      </c>
      <c r="DU77" s="74" t="str">
        <f t="shared" ca="1" si="55"/>
        <v/>
      </c>
      <c r="DV77" s="74" t="str">
        <f t="shared" ca="1" si="55"/>
        <v/>
      </c>
      <c r="DW77" s="74" t="str">
        <f t="shared" ca="1" si="55"/>
        <v/>
      </c>
      <c r="DX77" s="74" t="str">
        <f t="shared" ca="1" si="55"/>
        <v/>
      </c>
      <c r="DY77" s="74" t="str">
        <f t="shared" ca="1" si="55"/>
        <v/>
      </c>
      <c r="DZ77" s="74" t="str">
        <f t="shared" ca="1" si="55"/>
        <v/>
      </c>
      <c r="EA77" s="74" t="str">
        <f t="shared" ca="1" si="55"/>
        <v/>
      </c>
      <c r="EB77" s="74" t="str">
        <f t="shared" ca="1" si="56"/>
        <v/>
      </c>
      <c r="EC77" s="74" t="str">
        <f t="shared" ca="1" si="56"/>
        <v/>
      </c>
      <c r="ED77" s="74" t="str">
        <f t="shared" ca="1" si="56"/>
        <v/>
      </c>
      <c r="EE77" s="74" t="str">
        <f t="shared" ca="1" si="56"/>
        <v/>
      </c>
      <c r="EF77" s="74" t="str">
        <f t="shared" ca="1" si="56"/>
        <v/>
      </c>
      <c r="EG77" s="74" t="str">
        <f t="shared" ca="1" si="56"/>
        <v/>
      </c>
      <c r="EH77" s="74" t="str">
        <f t="shared" ca="1" si="56"/>
        <v/>
      </c>
      <c r="EI77" s="74" t="str">
        <f t="shared" ca="1" si="56"/>
        <v/>
      </c>
      <c r="EJ77" s="74" t="str">
        <f t="shared" ca="1" si="56"/>
        <v/>
      </c>
      <c r="EK77" s="75" t="str">
        <f t="shared" ca="1" si="56"/>
        <v/>
      </c>
      <c r="EL77" s="75" t="str">
        <f t="shared" ca="1" si="56"/>
        <v/>
      </c>
      <c r="EM77" s="75" t="str">
        <f t="shared" ca="1" si="56"/>
        <v/>
      </c>
      <c r="EN77" s="75" t="str">
        <f t="shared" ca="1" si="56"/>
        <v/>
      </c>
      <c r="EO77" s="75" t="str">
        <f t="shared" ca="1" si="56"/>
        <v/>
      </c>
      <c r="EP77" s="75" t="str">
        <f t="shared" ca="1" si="56"/>
        <v/>
      </c>
      <c r="EQ77" s="75" t="str">
        <f t="shared" ca="1" si="56"/>
        <v/>
      </c>
      <c r="ER77" s="75" t="str">
        <f t="shared" ca="1" si="57"/>
        <v/>
      </c>
      <c r="ES77" s="75" t="str">
        <f t="shared" ca="1" si="57"/>
        <v/>
      </c>
      <c r="ET77" s="75" t="str">
        <f t="shared" ca="1" si="57"/>
        <v/>
      </c>
      <c r="EU77" s="75" t="str">
        <f t="shared" ca="1" si="57"/>
        <v/>
      </c>
      <c r="EV77" s="75" t="str">
        <f t="shared" ca="1" si="57"/>
        <v/>
      </c>
      <c r="EW77" s="75" t="str">
        <f t="shared" ca="1" si="57"/>
        <v/>
      </c>
      <c r="EX77" s="75" t="str">
        <f t="shared" ca="1" si="57"/>
        <v/>
      </c>
      <c r="EY77" s="75" t="str">
        <f t="shared" ca="1" si="57"/>
        <v/>
      </c>
      <c r="EZ77" s="75" t="str">
        <f t="shared" ca="1" si="57"/>
        <v/>
      </c>
      <c r="FA77" s="75" t="str">
        <f t="shared" ca="1" si="57"/>
        <v/>
      </c>
      <c r="FB77" s="75" t="str">
        <f t="shared" ca="1" si="57"/>
        <v/>
      </c>
      <c r="FC77" s="76" t="str">
        <f t="shared" ca="1" si="57"/>
        <v/>
      </c>
      <c r="FD77" s="74" t="str">
        <f t="shared" ca="1" si="57"/>
        <v/>
      </c>
      <c r="FE77" s="74" t="str">
        <f t="shared" ca="1" si="57"/>
        <v/>
      </c>
      <c r="FF77" s="74" t="str">
        <f t="shared" ca="1" si="57"/>
        <v/>
      </c>
      <c r="FG77" s="74" t="str">
        <f t="shared" ca="1" si="58"/>
        <v/>
      </c>
      <c r="FH77" s="74" t="str">
        <f t="shared" ca="1" si="58"/>
        <v/>
      </c>
      <c r="FI77" s="74" t="str">
        <f t="shared" ca="1" si="58"/>
        <v/>
      </c>
      <c r="FJ77" s="74" t="str">
        <f t="shared" ca="1" si="58"/>
        <v/>
      </c>
      <c r="FK77" s="74" t="str">
        <f t="shared" ca="1" si="58"/>
        <v/>
      </c>
      <c r="FL77" s="74" t="str">
        <f t="shared" ca="1" si="58"/>
        <v/>
      </c>
      <c r="FM77" s="74" t="str">
        <f t="shared" ca="1" si="58"/>
        <v/>
      </c>
      <c r="FN77" s="74" t="str">
        <f t="shared" ca="1" si="58"/>
        <v/>
      </c>
      <c r="FO77" s="74" t="str">
        <f t="shared" ca="1" si="58"/>
        <v/>
      </c>
      <c r="FP77" s="74" t="str">
        <f t="shared" ca="1" si="58"/>
        <v/>
      </c>
      <c r="FQ77" s="74" t="str">
        <f t="shared" ca="1" si="58"/>
        <v/>
      </c>
      <c r="FR77" s="74" t="str">
        <f t="shared" ca="1" si="58"/>
        <v/>
      </c>
      <c r="FS77" s="74" t="str">
        <f t="shared" ca="1" si="58"/>
        <v/>
      </c>
      <c r="FT77" s="74" t="str">
        <f t="shared" ca="1" si="58"/>
        <v/>
      </c>
    </row>
    <row r="78" spans="1:176" x14ac:dyDescent="0.35">
      <c r="A78" s="74"/>
      <c r="B78" s="74" t="str">
        <f t="shared" ca="1" si="62"/>
        <v/>
      </c>
      <c r="C78" s="74" t="str">
        <f t="shared" ca="1" si="62"/>
        <v/>
      </c>
      <c r="D78" s="74" t="str">
        <f t="shared" ca="1" si="62"/>
        <v/>
      </c>
      <c r="E78" s="74" t="str">
        <f t="shared" ca="1" si="62"/>
        <v/>
      </c>
      <c r="F78" t="str">
        <f t="shared" ca="1" si="63"/>
        <v/>
      </c>
      <c r="G78" t="str">
        <f t="shared" ca="1" si="63"/>
        <v/>
      </c>
      <c r="H78" t="str">
        <f t="shared" ca="1" si="63"/>
        <v/>
      </c>
      <c r="I78" s="74" t="str">
        <f t="shared" ca="1" si="62"/>
        <v/>
      </c>
      <c r="J78" s="74" t="str">
        <f t="shared" ca="1" si="62"/>
        <v/>
      </c>
      <c r="K78" s="74" t="str">
        <f t="shared" ca="1" si="62"/>
        <v/>
      </c>
      <c r="L78" s="74" t="str">
        <f t="shared" ca="1" si="62"/>
        <v/>
      </c>
      <c r="M78" s="74" t="str">
        <f t="shared" ca="1" si="62"/>
        <v/>
      </c>
      <c r="N78" s="74" t="str">
        <f t="shared" ca="1" si="62"/>
        <v/>
      </c>
      <c r="O78" s="74" t="str">
        <f t="shared" ca="1" si="62"/>
        <v/>
      </c>
      <c r="P78" s="74" t="str">
        <f t="shared" ca="1" si="62"/>
        <v/>
      </c>
      <c r="Q78" s="74" t="str">
        <f t="shared" ca="1" si="62"/>
        <v/>
      </c>
      <c r="R78" s="74" t="str">
        <f t="shared" ca="1" si="62"/>
        <v/>
      </c>
      <c r="S78" s="74" t="str">
        <f t="shared" ca="1" si="62"/>
        <v/>
      </c>
      <c r="T78" s="74" t="str">
        <f t="shared" ca="1" si="59"/>
        <v/>
      </c>
      <c r="U78" s="74" t="str">
        <f t="shared" ca="1" si="59"/>
        <v/>
      </c>
      <c r="V78" s="74" t="str">
        <f t="shared" ca="1" si="59"/>
        <v/>
      </c>
      <c r="W78" s="74" t="str">
        <f t="shared" ca="1" si="59"/>
        <v/>
      </c>
      <c r="X78" s="74" t="str">
        <f t="shared" ca="1" si="59"/>
        <v/>
      </c>
      <c r="Y78" s="74" t="str">
        <f t="shared" ca="1" si="59"/>
        <v/>
      </c>
      <c r="Z78" s="74" t="str">
        <f t="shared" ca="1" si="59"/>
        <v/>
      </c>
      <c r="AA78" s="74" t="str">
        <f t="shared" ca="1" si="59"/>
        <v/>
      </c>
      <c r="AB78" s="75" t="str">
        <f t="shared" ca="1" si="59"/>
        <v/>
      </c>
      <c r="AC78" s="75" t="str">
        <f t="shared" ca="1" si="59"/>
        <v/>
      </c>
      <c r="AD78" s="75" t="str">
        <f t="shared" ca="1" si="59"/>
        <v/>
      </c>
      <c r="AE78" s="75" t="str">
        <f t="shared" ca="1" si="59"/>
        <v/>
      </c>
      <c r="AF78" s="75" t="str">
        <f t="shared" ca="1" si="59"/>
        <v/>
      </c>
      <c r="AG78" s="75" t="str">
        <f t="shared" ca="1" si="59"/>
        <v/>
      </c>
      <c r="AH78" s="75" t="str">
        <f t="shared" ca="1" si="59"/>
        <v/>
      </c>
      <c r="AI78" s="75" t="str">
        <f t="shared" ca="1" si="60"/>
        <v/>
      </c>
      <c r="AJ78" s="75" t="str">
        <f t="shared" ca="1" si="60"/>
        <v/>
      </c>
      <c r="AK78" s="75" t="str">
        <f t="shared" ca="1" si="60"/>
        <v/>
      </c>
      <c r="AL78" s="75" t="str">
        <f t="shared" ca="1" si="60"/>
        <v/>
      </c>
      <c r="AM78" s="75" t="str">
        <f t="shared" ca="1" si="60"/>
        <v/>
      </c>
      <c r="AN78" s="75" t="str">
        <f t="shared" ca="1" si="60"/>
        <v/>
      </c>
      <c r="AO78" s="75" t="str">
        <f t="shared" ca="1" si="60"/>
        <v/>
      </c>
      <c r="AP78" s="75" t="str">
        <f t="shared" ca="1" si="60"/>
        <v/>
      </c>
      <c r="AQ78" s="75" t="str">
        <f t="shared" ca="1" si="60"/>
        <v/>
      </c>
      <c r="AR78" s="75" t="str">
        <f t="shared" ca="1" si="60"/>
        <v/>
      </c>
      <c r="AS78" s="75" t="str">
        <f t="shared" ca="1" si="60"/>
        <v/>
      </c>
      <c r="AT78" s="75" t="str">
        <f t="shared" ca="1" si="60"/>
        <v/>
      </c>
      <c r="AU78" s="74" t="str">
        <f t="shared" ca="1" si="60"/>
        <v/>
      </c>
      <c r="AV78" s="74" t="str">
        <f t="shared" ca="1" si="60"/>
        <v/>
      </c>
      <c r="AW78" s="74" t="str">
        <f t="shared" ca="1" si="60"/>
        <v/>
      </c>
      <c r="AX78" s="74" t="str">
        <f t="shared" ca="1" si="60"/>
        <v/>
      </c>
      <c r="AY78" s="74" t="str">
        <f t="shared" ca="1" si="61"/>
        <v/>
      </c>
      <c r="AZ78" s="74" t="str">
        <f t="shared" ca="1" si="51"/>
        <v/>
      </c>
      <c r="BA78" s="74" t="str">
        <f t="shared" ca="1" si="51"/>
        <v/>
      </c>
      <c r="BB78" s="74" t="str">
        <f t="shared" ca="1" si="51"/>
        <v/>
      </c>
      <c r="BC78" s="74" t="str">
        <f t="shared" ca="1" si="51"/>
        <v/>
      </c>
      <c r="BD78" s="74" t="str">
        <f t="shared" ca="1" si="51"/>
        <v/>
      </c>
      <c r="BE78" s="74" t="str">
        <f t="shared" ca="1" si="51"/>
        <v/>
      </c>
      <c r="BF78" s="74" t="str">
        <f t="shared" ca="1" si="51"/>
        <v/>
      </c>
      <c r="BG78" s="74" t="str">
        <f t="shared" ca="1" si="51"/>
        <v/>
      </c>
      <c r="BH78" s="74" t="str">
        <f t="shared" ca="1" si="51"/>
        <v/>
      </c>
      <c r="BI78" s="74" t="str">
        <f t="shared" ca="1" si="51"/>
        <v/>
      </c>
      <c r="BJ78" s="74" t="str">
        <f t="shared" ca="1" si="51"/>
        <v/>
      </c>
      <c r="BK78" s="74" t="str">
        <f t="shared" ca="1" si="51"/>
        <v/>
      </c>
      <c r="BL78" s="74" t="str">
        <f t="shared" ca="1" si="51"/>
        <v/>
      </c>
      <c r="BM78" s="74" t="str">
        <f t="shared" ca="1" si="51"/>
        <v/>
      </c>
      <c r="BN78" s="75" t="str">
        <f t="shared" ca="1" si="51"/>
        <v/>
      </c>
      <c r="BO78" s="75" t="str">
        <f t="shared" ca="1" si="51"/>
        <v/>
      </c>
      <c r="BP78" s="75" t="str">
        <f t="shared" ca="1" si="52"/>
        <v/>
      </c>
      <c r="BQ78" s="75" t="str">
        <f t="shared" ca="1" si="52"/>
        <v/>
      </c>
      <c r="BR78" s="75" t="str">
        <f t="shared" ca="1" si="52"/>
        <v/>
      </c>
      <c r="BS78" s="75" t="str">
        <f t="shared" ca="1" si="52"/>
        <v/>
      </c>
      <c r="BT78" s="75" t="str">
        <f t="shared" ca="1" si="52"/>
        <v/>
      </c>
      <c r="BU78" s="75" t="str">
        <f t="shared" ca="1" si="52"/>
        <v/>
      </c>
      <c r="BV78" s="75" t="str">
        <f t="shared" ca="1" si="52"/>
        <v/>
      </c>
      <c r="BW78" s="75" t="str">
        <f t="shared" ca="1" si="52"/>
        <v/>
      </c>
      <c r="BX78" s="75" t="str">
        <f t="shared" ca="1" si="52"/>
        <v/>
      </c>
      <c r="BY78" s="75" t="str">
        <f t="shared" ca="1" si="52"/>
        <v/>
      </c>
      <c r="BZ78" s="75" t="str">
        <f t="shared" ca="1" si="52"/>
        <v/>
      </c>
      <c r="CA78" s="75" t="str">
        <f t="shared" ca="1" si="52"/>
        <v/>
      </c>
      <c r="CB78" s="75" t="str">
        <f t="shared" ca="1" si="52"/>
        <v/>
      </c>
      <c r="CC78" s="75" t="str">
        <f t="shared" ca="1" si="52"/>
        <v/>
      </c>
      <c r="CD78" s="75" t="str">
        <f t="shared" ca="1" si="52"/>
        <v/>
      </c>
      <c r="CE78" s="75" t="str">
        <f t="shared" ca="1" si="52"/>
        <v/>
      </c>
      <c r="CF78" s="75" t="str">
        <f t="shared" ca="1" si="53"/>
        <v/>
      </c>
      <c r="CG78" s="74" t="str">
        <f t="shared" ca="1" si="53"/>
        <v/>
      </c>
      <c r="CH78" s="74" t="str">
        <f t="shared" ca="1" si="53"/>
        <v/>
      </c>
      <c r="CI78" s="74" t="str">
        <f t="shared" ca="1" si="53"/>
        <v/>
      </c>
      <c r="CJ78" s="74" t="str">
        <f t="shared" ca="1" si="53"/>
        <v/>
      </c>
      <c r="CK78" s="74" t="str">
        <f t="shared" ca="1" si="53"/>
        <v/>
      </c>
      <c r="CL78" s="74" t="str">
        <f t="shared" ca="1" si="53"/>
        <v/>
      </c>
      <c r="CM78" s="74" t="str">
        <f t="shared" ca="1" si="53"/>
        <v/>
      </c>
      <c r="CN78" s="74" t="str">
        <f t="shared" ca="1" si="53"/>
        <v/>
      </c>
      <c r="CO78" s="74" t="str">
        <f t="shared" ca="1" si="53"/>
        <v/>
      </c>
      <c r="CP78" s="74" t="str">
        <f t="shared" ca="1" si="53"/>
        <v/>
      </c>
      <c r="CQ78" s="74" t="str">
        <f t="shared" ca="1" si="53"/>
        <v/>
      </c>
      <c r="CR78" s="74" t="str">
        <f t="shared" ca="1" si="53"/>
        <v/>
      </c>
      <c r="CS78" s="74" t="str">
        <f t="shared" ca="1" si="53"/>
        <v/>
      </c>
      <c r="CT78" s="74" t="str">
        <f t="shared" ca="1" si="53"/>
        <v/>
      </c>
      <c r="CU78" s="74" t="str">
        <f t="shared" ca="1" si="53"/>
        <v/>
      </c>
      <c r="CV78" s="74" t="str">
        <f t="shared" ca="1" si="54"/>
        <v/>
      </c>
      <c r="CW78" s="74" t="str">
        <f t="shared" ca="1" si="54"/>
        <v/>
      </c>
      <c r="CX78" s="74" t="str">
        <f t="shared" ca="1" si="54"/>
        <v/>
      </c>
      <c r="CY78" s="74" t="str">
        <f t="shared" ca="1" si="54"/>
        <v/>
      </c>
      <c r="CZ78" s="75" t="str">
        <f t="shared" ca="1" si="54"/>
        <v/>
      </c>
      <c r="DA78" s="75" t="str">
        <f t="shared" ca="1" si="54"/>
        <v/>
      </c>
      <c r="DB78" s="75" t="str">
        <f t="shared" ca="1" si="54"/>
        <v/>
      </c>
      <c r="DC78" s="75" t="str">
        <f t="shared" ca="1" si="54"/>
        <v/>
      </c>
      <c r="DD78" s="75" t="str">
        <f t="shared" ca="1" si="54"/>
        <v/>
      </c>
      <c r="DE78" s="75" t="str">
        <f t="shared" ca="1" si="54"/>
        <v/>
      </c>
      <c r="DF78" s="75" t="str">
        <f t="shared" ca="1" si="54"/>
        <v/>
      </c>
      <c r="DG78" s="75" t="str">
        <f t="shared" ca="1" si="54"/>
        <v/>
      </c>
      <c r="DH78" s="75" t="str">
        <f t="shared" ca="1" si="54"/>
        <v/>
      </c>
      <c r="DI78" s="75" t="str">
        <f t="shared" ca="1" si="54"/>
        <v/>
      </c>
      <c r="DJ78" s="75" t="str">
        <f t="shared" ca="1" si="54"/>
        <v/>
      </c>
      <c r="DK78" s="75" t="str">
        <f t="shared" ca="1" si="54"/>
        <v/>
      </c>
      <c r="DL78" s="75" t="str">
        <f t="shared" ca="1" si="55"/>
        <v/>
      </c>
      <c r="DM78" s="75" t="str">
        <f t="shared" ca="1" si="55"/>
        <v/>
      </c>
      <c r="DN78" s="75" t="str">
        <f t="shared" ca="1" si="55"/>
        <v/>
      </c>
      <c r="DO78" s="75" t="str">
        <f t="shared" ca="1" si="55"/>
        <v/>
      </c>
      <c r="DP78" s="75" t="str">
        <f t="shared" ca="1" si="55"/>
        <v/>
      </c>
      <c r="DQ78" s="75" t="str">
        <f t="shared" ca="1" si="55"/>
        <v/>
      </c>
      <c r="DR78" s="75" t="str">
        <f t="shared" ca="1" si="55"/>
        <v/>
      </c>
      <c r="DS78" s="74" t="str">
        <f t="shared" ca="1" si="55"/>
        <v/>
      </c>
      <c r="DT78" s="74" t="str">
        <f t="shared" ca="1" si="55"/>
        <v/>
      </c>
      <c r="DU78" s="74" t="str">
        <f t="shared" ca="1" si="55"/>
        <v/>
      </c>
      <c r="DV78" s="74" t="str">
        <f t="shared" ca="1" si="55"/>
        <v/>
      </c>
      <c r="DW78" s="74" t="str">
        <f t="shared" ca="1" si="55"/>
        <v/>
      </c>
      <c r="DX78" s="74" t="str">
        <f t="shared" ca="1" si="55"/>
        <v/>
      </c>
      <c r="DY78" s="74" t="str">
        <f t="shared" ca="1" si="55"/>
        <v/>
      </c>
      <c r="DZ78" s="74" t="str">
        <f t="shared" ca="1" si="55"/>
        <v/>
      </c>
      <c r="EA78" s="74" t="str">
        <f t="shared" ca="1" si="55"/>
        <v/>
      </c>
      <c r="EB78" s="74" t="str">
        <f t="shared" ca="1" si="56"/>
        <v/>
      </c>
      <c r="EC78" s="74" t="str">
        <f t="shared" ca="1" si="56"/>
        <v/>
      </c>
      <c r="ED78" s="74" t="str">
        <f t="shared" ca="1" si="56"/>
        <v/>
      </c>
      <c r="EE78" s="74" t="str">
        <f t="shared" ca="1" si="56"/>
        <v/>
      </c>
      <c r="EF78" s="74" t="str">
        <f t="shared" ca="1" si="56"/>
        <v/>
      </c>
      <c r="EG78" s="74" t="str">
        <f t="shared" ca="1" si="56"/>
        <v/>
      </c>
      <c r="EH78" s="74" t="str">
        <f t="shared" ca="1" si="56"/>
        <v/>
      </c>
      <c r="EI78" s="74" t="str">
        <f t="shared" ca="1" si="56"/>
        <v/>
      </c>
      <c r="EJ78" s="74" t="str">
        <f t="shared" ca="1" si="56"/>
        <v/>
      </c>
      <c r="EK78" s="75" t="str">
        <f t="shared" ca="1" si="56"/>
        <v/>
      </c>
      <c r="EL78" s="75" t="str">
        <f t="shared" ca="1" si="56"/>
        <v/>
      </c>
      <c r="EM78" s="75" t="str">
        <f t="shared" ca="1" si="56"/>
        <v/>
      </c>
      <c r="EN78" s="75" t="str">
        <f t="shared" ca="1" si="56"/>
        <v/>
      </c>
      <c r="EO78" s="75" t="str">
        <f t="shared" ca="1" si="56"/>
        <v/>
      </c>
      <c r="EP78" s="75" t="str">
        <f t="shared" ca="1" si="56"/>
        <v/>
      </c>
      <c r="EQ78" s="75" t="str">
        <f t="shared" ca="1" si="56"/>
        <v/>
      </c>
      <c r="ER78" s="75" t="str">
        <f t="shared" ca="1" si="57"/>
        <v/>
      </c>
      <c r="ES78" s="75" t="str">
        <f t="shared" ca="1" si="57"/>
        <v/>
      </c>
      <c r="ET78" s="75" t="str">
        <f t="shared" ca="1" si="57"/>
        <v/>
      </c>
      <c r="EU78" s="75" t="str">
        <f t="shared" ca="1" si="57"/>
        <v/>
      </c>
      <c r="EV78" s="75" t="str">
        <f t="shared" ca="1" si="57"/>
        <v/>
      </c>
      <c r="EW78" s="75" t="str">
        <f t="shared" ca="1" si="57"/>
        <v/>
      </c>
      <c r="EX78" s="75" t="str">
        <f t="shared" ca="1" si="57"/>
        <v/>
      </c>
      <c r="EY78" s="75" t="str">
        <f t="shared" ca="1" si="57"/>
        <v/>
      </c>
      <c r="EZ78" s="75" t="str">
        <f t="shared" ca="1" si="57"/>
        <v/>
      </c>
      <c r="FA78" s="75" t="str">
        <f t="shared" ca="1" si="57"/>
        <v/>
      </c>
      <c r="FB78" s="75" t="str">
        <f t="shared" ca="1" si="57"/>
        <v/>
      </c>
      <c r="FC78" s="76" t="str">
        <f t="shared" ca="1" si="57"/>
        <v/>
      </c>
      <c r="FD78" s="74" t="str">
        <f t="shared" ca="1" si="57"/>
        <v/>
      </c>
      <c r="FE78" s="74" t="str">
        <f t="shared" ca="1" si="57"/>
        <v/>
      </c>
      <c r="FF78" s="74" t="str">
        <f t="shared" ca="1" si="57"/>
        <v/>
      </c>
      <c r="FG78" s="74" t="str">
        <f t="shared" ca="1" si="58"/>
        <v/>
      </c>
      <c r="FH78" s="74" t="str">
        <f t="shared" ca="1" si="58"/>
        <v/>
      </c>
      <c r="FI78" s="74" t="str">
        <f t="shared" ca="1" si="58"/>
        <v/>
      </c>
      <c r="FJ78" s="74" t="str">
        <f t="shared" ca="1" si="58"/>
        <v/>
      </c>
      <c r="FK78" s="74" t="str">
        <f t="shared" ca="1" si="58"/>
        <v/>
      </c>
      <c r="FL78" s="74" t="str">
        <f t="shared" ca="1" si="58"/>
        <v/>
      </c>
      <c r="FM78" s="74" t="str">
        <f t="shared" ca="1" si="58"/>
        <v/>
      </c>
      <c r="FN78" s="74" t="str">
        <f t="shared" ca="1" si="58"/>
        <v/>
      </c>
      <c r="FO78" s="74" t="str">
        <f t="shared" ca="1" si="58"/>
        <v/>
      </c>
      <c r="FP78" s="74" t="str">
        <f t="shared" ca="1" si="58"/>
        <v/>
      </c>
      <c r="FQ78" s="74" t="str">
        <f t="shared" ca="1" si="58"/>
        <v/>
      </c>
      <c r="FR78" s="74" t="str">
        <f t="shared" ca="1" si="58"/>
        <v/>
      </c>
      <c r="FS78" s="74" t="str">
        <f t="shared" ca="1" si="58"/>
        <v/>
      </c>
      <c r="FT78" s="74" t="str">
        <f t="shared" ca="1" si="58"/>
        <v/>
      </c>
    </row>
    <row r="79" spans="1:176" x14ac:dyDescent="0.35">
      <c r="A79" s="74"/>
      <c r="B79" s="74" t="str">
        <f t="shared" ca="1" si="62"/>
        <v/>
      </c>
      <c r="C79" s="74" t="str">
        <f t="shared" ca="1" si="62"/>
        <v/>
      </c>
      <c r="D79" s="74" t="str">
        <f t="shared" ca="1" si="62"/>
        <v/>
      </c>
      <c r="E79" s="74" t="str">
        <f t="shared" ca="1" si="62"/>
        <v/>
      </c>
      <c r="F79" t="str">
        <f t="shared" ca="1" si="63"/>
        <v/>
      </c>
      <c r="G79" t="str">
        <f t="shared" ca="1" si="63"/>
        <v/>
      </c>
      <c r="H79" t="str">
        <f t="shared" ca="1" si="63"/>
        <v/>
      </c>
      <c r="I79" s="74" t="str">
        <f t="shared" ca="1" si="62"/>
        <v/>
      </c>
      <c r="J79" s="74" t="str">
        <f t="shared" ca="1" si="62"/>
        <v/>
      </c>
      <c r="K79" s="74" t="str">
        <f t="shared" ca="1" si="62"/>
        <v/>
      </c>
      <c r="L79" s="74" t="str">
        <f t="shared" ca="1" si="62"/>
        <v/>
      </c>
      <c r="M79" s="74" t="str">
        <f t="shared" ca="1" si="62"/>
        <v/>
      </c>
      <c r="N79" s="74" t="str">
        <f t="shared" ca="1" si="62"/>
        <v/>
      </c>
      <c r="O79" s="74" t="str">
        <f t="shared" ca="1" si="62"/>
        <v/>
      </c>
      <c r="P79" s="74" t="str">
        <f t="shared" ca="1" si="62"/>
        <v/>
      </c>
      <c r="Q79" s="74" t="str">
        <f t="shared" ca="1" si="62"/>
        <v/>
      </c>
      <c r="R79" s="74" t="str">
        <f t="shared" ca="1" si="62"/>
        <v/>
      </c>
      <c r="S79" s="74" t="str">
        <f t="shared" ca="1" si="62"/>
        <v/>
      </c>
      <c r="T79" s="74" t="str">
        <f t="shared" ca="1" si="59"/>
        <v/>
      </c>
      <c r="U79" s="74" t="str">
        <f t="shared" ca="1" si="59"/>
        <v/>
      </c>
      <c r="V79" s="74" t="str">
        <f t="shared" ca="1" si="59"/>
        <v/>
      </c>
      <c r="W79" s="74" t="str">
        <f t="shared" ca="1" si="59"/>
        <v/>
      </c>
      <c r="X79" s="74" t="str">
        <f t="shared" ca="1" si="59"/>
        <v/>
      </c>
      <c r="Y79" s="74" t="str">
        <f t="shared" ca="1" si="59"/>
        <v/>
      </c>
      <c r="Z79" s="74" t="str">
        <f t="shared" ca="1" si="59"/>
        <v/>
      </c>
      <c r="AA79" s="74" t="str">
        <f t="shared" ca="1" si="59"/>
        <v/>
      </c>
      <c r="AB79" s="75" t="str">
        <f t="shared" ca="1" si="59"/>
        <v/>
      </c>
      <c r="AC79" s="75" t="str">
        <f t="shared" ca="1" si="59"/>
        <v/>
      </c>
      <c r="AD79" s="75" t="str">
        <f t="shared" ca="1" si="59"/>
        <v/>
      </c>
      <c r="AE79" s="75" t="str">
        <f t="shared" ca="1" si="59"/>
        <v/>
      </c>
      <c r="AF79" s="75" t="str">
        <f t="shared" ca="1" si="59"/>
        <v/>
      </c>
      <c r="AG79" s="75" t="str">
        <f t="shared" ca="1" si="59"/>
        <v/>
      </c>
      <c r="AH79" s="75" t="str">
        <f t="shared" ca="1" si="59"/>
        <v/>
      </c>
      <c r="AI79" s="75" t="str">
        <f t="shared" ca="1" si="60"/>
        <v/>
      </c>
      <c r="AJ79" s="75" t="str">
        <f t="shared" ca="1" si="60"/>
        <v/>
      </c>
      <c r="AK79" s="75" t="str">
        <f t="shared" ca="1" si="60"/>
        <v/>
      </c>
      <c r="AL79" s="75" t="str">
        <f t="shared" ca="1" si="60"/>
        <v/>
      </c>
      <c r="AM79" s="75" t="str">
        <f t="shared" ca="1" si="60"/>
        <v/>
      </c>
      <c r="AN79" s="75" t="str">
        <f t="shared" ca="1" si="60"/>
        <v/>
      </c>
      <c r="AO79" s="75" t="str">
        <f t="shared" ca="1" si="60"/>
        <v/>
      </c>
      <c r="AP79" s="75" t="str">
        <f t="shared" ca="1" si="60"/>
        <v/>
      </c>
      <c r="AQ79" s="75" t="str">
        <f t="shared" ca="1" si="60"/>
        <v/>
      </c>
      <c r="AR79" s="75" t="str">
        <f t="shared" ca="1" si="60"/>
        <v/>
      </c>
      <c r="AS79" s="75" t="str">
        <f t="shared" ca="1" si="60"/>
        <v/>
      </c>
      <c r="AT79" s="75" t="str">
        <f t="shared" ca="1" si="60"/>
        <v/>
      </c>
      <c r="AU79" s="74" t="str">
        <f t="shared" ca="1" si="60"/>
        <v/>
      </c>
      <c r="AV79" s="74" t="str">
        <f t="shared" ca="1" si="60"/>
        <v/>
      </c>
      <c r="AW79" s="74" t="str">
        <f t="shared" ca="1" si="60"/>
        <v/>
      </c>
      <c r="AX79" s="74" t="str">
        <f t="shared" ca="1" si="60"/>
        <v/>
      </c>
      <c r="AY79" s="74" t="str">
        <f t="shared" ca="1" si="61"/>
        <v/>
      </c>
      <c r="AZ79" s="74" t="str">
        <f t="shared" ca="1" si="51"/>
        <v/>
      </c>
      <c r="BA79" s="74" t="str">
        <f t="shared" ca="1" si="51"/>
        <v/>
      </c>
      <c r="BB79" s="74" t="str">
        <f t="shared" ca="1" si="51"/>
        <v/>
      </c>
      <c r="BC79" s="74" t="str">
        <f t="shared" ca="1" si="51"/>
        <v/>
      </c>
      <c r="BD79" s="74" t="str">
        <f t="shared" ca="1" si="51"/>
        <v/>
      </c>
      <c r="BE79" s="74" t="str">
        <f t="shared" ca="1" si="51"/>
        <v/>
      </c>
      <c r="BF79" s="74" t="str">
        <f t="shared" ca="1" si="51"/>
        <v/>
      </c>
      <c r="BG79" s="74" t="str">
        <f t="shared" ca="1" si="51"/>
        <v/>
      </c>
      <c r="BH79" s="74" t="str">
        <f t="shared" ca="1" si="51"/>
        <v/>
      </c>
      <c r="BI79" s="74" t="str">
        <f t="shared" ca="1" si="51"/>
        <v/>
      </c>
      <c r="BJ79" s="74" t="str">
        <f t="shared" ca="1" si="51"/>
        <v/>
      </c>
      <c r="BK79" s="74" t="str">
        <f t="shared" ca="1" si="51"/>
        <v/>
      </c>
      <c r="BL79" s="74" t="str">
        <f t="shared" ca="1" si="51"/>
        <v/>
      </c>
      <c r="BM79" s="74" t="str">
        <f t="shared" ca="1" si="51"/>
        <v/>
      </c>
      <c r="BN79" s="75" t="str">
        <f t="shared" ca="1" si="51"/>
        <v/>
      </c>
      <c r="BO79" s="75" t="str">
        <f t="shared" ca="1" si="51"/>
        <v/>
      </c>
      <c r="BP79" s="75" t="str">
        <f t="shared" ca="1" si="52"/>
        <v/>
      </c>
      <c r="BQ79" s="75" t="str">
        <f t="shared" ca="1" si="52"/>
        <v/>
      </c>
      <c r="BR79" s="75" t="str">
        <f t="shared" ca="1" si="52"/>
        <v/>
      </c>
      <c r="BS79" s="75" t="str">
        <f t="shared" ca="1" si="52"/>
        <v/>
      </c>
      <c r="BT79" s="75" t="str">
        <f t="shared" ca="1" si="52"/>
        <v/>
      </c>
      <c r="BU79" s="75" t="str">
        <f t="shared" ca="1" si="52"/>
        <v/>
      </c>
      <c r="BV79" s="75" t="str">
        <f t="shared" ca="1" si="52"/>
        <v/>
      </c>
      <c r="BW79" s="75" t="str">
        <f t="shared" ca="1" si="52"/>
        <v/>
      </c>
      <c r="BX79" s="75" t="str">
        <f t="shared" ca="1" si="52"/>
        <v/>
      </c>
      <c r="BY79" s="75" t="str">
        <f t="shared" ca="1" si="52"/>
        <v/>
      </c>
      <c r="BZ79" s="75" t="str">
        <f t="shared" ca="1" si="52"/>
        <v/>
      </c>
      <c r="CA79" s="75" t="str">
        <f t="shared" ca="1" si="52"/>
        <v/>
      </c>
      <c r="CB79" s="75" t="str">
        <f t="shared" ca="1" si="52"/>
        <v/>
      </c>
      <c r="CC79" s="75" t="str">
        <f t="shared" ca="1" si="52"/>
        <v/>
      </c>
      <c r="CD79" s="75" t="str">
        <f t="shared" ca="1" si="52"/>
        <v/>
      </c>
      <c r="CE79" s="75" t="str">
        <f t="shared" ca="1" si="52"/>
        <v/>
      </c>
      <c r="CF79" s="75" t="str">
        <f t="shared" ca="1" si="53"/>
        <v/>
      </c>
      <c r="CG79" s="74" t="str">
        <f t="shared" ca="1" si="53"/>
        <v/>
      </c>
      <c r="CH79" s="74" t="str">
        <f t="shared" ca="1" si="53"/>
        <v/>
      </c>
      <c r="CI79" s="74" t="str">
        <f t="shared" ca="1" si="53"/>
        <v/>
      </c>
      <c r="CJ79" s="74" t="str">
        <f t="shared" ca="1" si="53"/>
        <v/>
      </c>
      <c r="CK79" s="74" t="str">
        <f t="shared" ca="1" si="53"/>
        <v/>
      </c>
      <c r="CL79" s="74" t="str">
        <f t="shared" ca="1" si="53"/>
        <v/>
      </c>
      <c r="CM79" s="74" t="str">
        <f t="shared" ca="1" si="53"/>
        <v/>
      </c>
      <c r="CN79" s="74" t="str">
        <f t="shared" ca="1" si="53"/>
        <v/>
      </c>
      <c r="CO79" s="74" t="str">
        <f t="shared" ca="1" si="53"/>
        <v/>
      </c>
      <c r="CP79" s="74" t="str">
        <f t="shared" ca="1" si="53"/>
        <v/>
      </c>
      <c r="CQ79" s="74" t="str">
        <f t="shared" ca="1" si="53"/>
        <v/>
      </c>
      <c r="CR79" s="74" t="str">
        <f t="shared" ca="1" si="53"/>
        <v/>
      </c>
      <c r="CS79" s="74" t="str">
        <f t="shared" ca="1" si="53"/>
        <v/>
      </c>
      <c r="CT79" s="74" t="str">
        <f t="shared" ca="1" si="53"/>
        <v/>
      </c>
      <c r="CU79" s="74" t="str">
        <f t="shared" ca="1" si="53"/>
        <v/>
      </c>
      <c r="CV79" s="74" t="str">
        <f t="shared" ca="1" si="54"/>
        <v/>
      </c>
      <c r="CW79" s="74" t="str">
        <f t="shared" ca="1" si="54"/>
        <v/>
      </c>
      <c r="CX79" s="74" t="str">
        <f t="shared" ca="1" si="54"/>
        <v/>
      </c>
      <c r="CY79" s="74" t="str">
        <f t="shared" ca="1" si="54"/>
        <v/>
      </c>
      <c r="CZ79" s="75" t="str">
        <f t="shared" ca="1" si="54"/>
        <v/>
      </c>
      <c r="DA79" s="75" t="str">
        <f t="shared" ca="1" si="54"/>
        <v/>
      </c>
      <c r="DB79" s="75" t="str">
        <f t="shared" ca="1" si="54"/>
        <v/>
      </c>
      <c r="DC79" s="75" t="str">
        <f t="shared" ca="1" si="54"/>
        <v/>
      </c>
      <c r="DD79" s="75" t="str">
        <f t="shared" ca="1" si="54"/>
        <v/>
      </c>
      <c r="DE79" s="75" t="str">
        <f t="shared" ca="1" si="54"/>
        <v/>
      </c>
      <c r="DF79" s="75" t="str">
        <f t="shared" ca="1" si="54"/>
        <v/>
      </c>
      <c r="DG79" s="75" t="str">
        <f t="shared" ca="1" si="54"/>
        <v/>
      </c>
      <c r="DH79" s="75" t="str">
        <f t="shared" ca="1" si="54"/>
        <v/>
      </c>
      <c r="DI79" s="75" t="str">
        <f t="shared" ca="1" si="54"/>
        <v/>
      </c>
      <c r="DJ79" s="75" t="str">
        <f t="shared" ca="1" si="54"/>
        <v/>
      </c>
      <c r="DK79" s="75" t="str">
        <f t="shared" ca="1" si="54"/>
        <v/>
      </c>
      <c r="DL79" s="75" t="str">
        <f t="shared" ca="1" si="55"/>
        <v/>
      </c>
      <c r="DM79" s="75" t="str">
        <f t="shared" ca="1" si="55"/>
        <v/>
      </c>
      <c r="DN79" s="75" t="str">
        <f t="shared" ca="1" si="55"/>
        <v/>
      </c>
      <c r="DO79" s="75" t="str">
        <f t="shared" ca="1" si="55"/>
        <v/>
      </c>
      <c r="DP79" s="75" t="str">
        <f t="shared" ca="1" si="55"/>
        <v/>
      </c>
      <c r="DQ79" s="75" t="str">
        <f t="shared" ca="1" si="55"/>
        <v/>
      </c>
      <c r="DR79" s="75" t="str">
        <f t="shared" ca="1" si="55"/>
        <v/>
      </c>
      <c r="DS79" s="74" t="str">
        <f t="shared" ca="1" si="55"/>
        <v/>
      </c>
      <c r="DT79" s="74" t="str">
        <f t="shared" ca="1" si="55"/>
        <v/>
      </c>
      <c r="DU79" s="74" t="str">
        <f t="shared" ca="1" si="55"/>
        <v/>
      </c>
      <c r="DV79" s="74" t="str">
        <f t="shared" ca="1" si="55"/>
        <v/>
      </c>
      <c r="DW79" s="74" t="str">
        <f t="shared" ca="1" si="55"/>
        <v/>
      </c>
      <c r="DX79" s="74" t="str">
        <f t="shared" ca="1" si="55"/>
        <v/>
      </c>
      <c r="DY79" s="74" t="str">
        <f t="shared" ca="1" si="55"/>
        <v/>
      </c>
      <c r="DZ79" s="74" t="str">
        <f t="shared" ca="1" si="55"/>
        <v/>
      </c>
      <c r="EA79" s="74" t="str">
        <f t="shared" ca="1" si="55"/>
        <v/>
      </c>
      <c r="EB79" s="74" t="str">
        <f t="shared" ca="1" si="56"/>
        <v/>
      </c>
      <c r="EC79" s="74" t="str">
        <f t="shared" ca="1" si="56"/>
        <v/>
      </c>
      <c r="ED79" s="74" t="str">
        <f t="shared" ca="1" si="56"/>
        <v/>
      </c>
      <c r="EE79" s="74" t="str">
        <f t="shared" ca="1" si="56"/>
        <v/>
      </c>
      <c r="EF79" s="74" t="str">
        <f t="shared" ca="1" si="56"/>
        <v/>
      </c>
      <c r="EG79" s="74" t="str">
        <f t="shared" ca="1" si="56"/>
        <v/>
      </c>
      <c r="EH79" s="74" t="str">
        <f t="shared" ca="1" si="56"/>
        <v/>
      </c>
      <c r="EI79" s="74" t="str">
        <f t="shared" ca="1" si="56"/>
        <v/>
      </c>
      <c r="EJ79" s="74" t="str">
        <f t="shared" ca="1" si="56"/>
        <v/>
      </c>
      <c r="EK79" s="75" t="str">
        <f t="shared" ca="1" si="56"/>
        <v/>
      </c>
      <c r="EL79" s="75" t="str">
        <f t="shared" ca="1" si="56"/>
        <v/>
      </c>
      <c r="EM79" s="75" t="str">
        <f t="shared" ca="1" si="56"/>
        <v/>
      </c>
      <c r="EN79" s="75" t="str">
        <f t="shared" ca="1" si="56"/>
        <v/>
      </c>
      <c r="EO79" s="75" t="str">
        <f t="shared" ca="1" si="56"/>
        <v/>
      </c>
      <c r="EP79" s="75" t="str">
        <f t="shared" ca="1" si="56"/>
        <v/>
      </c>
      <c r="EQ79" s="75" t="str">
        <f t="shared" ca="1" si="56"/>
        <v/>
      </c>
      <c r="ER79" s="75" t="str">
        <f t="shared" ca="1" si="57"/>
        <v/>
      </c>
      <c r="ES79" s="75" t="str">
        <f t="shared" ca="1" si="57"/>
        <v/>
      </c>
      <c r="ET79" s="75" t="str">
        <f t="shared" ca="1" si="57"/>
        <v/>
      </c>
      <c r="EU79" s="75" t="str">
        <f t="shared" ca="1" si="57"/>
        <v/>
      </c>
      <c r="EV79" s="75" t="str">
        <f t="shared" ca="1" si="57"/>
        <v/>
      </c>
      <c r="EW79" s="75" t="str">
        <f t="shared" ca="1" si="57"/>
        <v/>
      </c>
      <c r="EX79" s="75" t="str">
        <f t="shared" ca="1" si="57"/>
        <v/>
      </c>
      <c r="EY79" s="75" t="str">
        <f t="shared" ca="1" si="57"/>
        <v/>
      </c>
      <c r="EZ79" s="75" t="str">
        <f t="shared" ca="1" si="57"/>
        <v/>
      </c>
      <c r="FA79" s="75" t="str">
        <f t="shared" ca="1" si="57"/>
        <v/>
      </c>
      <c r="FB79" s="75" t="str">
        <f t="shared" ca="1" si="57"/>
        <v/>
      </c>
      <c r="FC79" s="76" t="str">
        <f t="shared" ca="1" si="57"/>
        <v/>
      </c>
      <c r="FD79" s="74" t="str">
        <f t="shared" ca="1" si="57"/>
        <v/>
      </c>
      <c r="FE79" s="74" t="str">
        <f t="shared" ca="1" si="57"/>
        <v/>
      </c>
      <c r="FF79" s="74" t="str">
        <f t="shared" ca="1" si="57"/>
        <v/>
      </c>
      <c r="FG79" s="74" t="str">
        <f t="shared" ca="1" si="58"/>
        <v/>
      </c>
      <c r="FH79" s="74" t="str">
        <f t="shared" ca="1" si="58"/>
        <v/>
      </c>
      <c r="FI79" s="74" t="str">
        <f t="shared" ca="1" si="58"/>
        <v/>
      </c>
      <c r="FJ79" s="74" t="str">
        <f t="shared" ca="1" si="58"/>
        <v/>
      </c>
      <c r="FK79" s="74" t="str">
        <f t="shared" ca="1" si="58"/>
        <v/>
      </c>
      <c r="FL79" s="74" t="str">
        <f t="shared" ca="1" si="58"/>
        <v/>
      </c>
      <c r="FM79" s="74" t="str">
        <f t="shared" ca="1" si="58"/>
        <v/>
      </c>
      <c r="FN79" s="74" t="str">
        <f t="shared" ca="1" si="58"/>
        <v/>
      </c>
      <c r="FO79" s="74" t="str">
        <f t="shared" ca="1" si="58"/>
        <v/>
      </c>
      <c r="FP79" s="74" t="str">
        <f t="shared" ca="1" si="58"/>
        <v/>
      </c>
      <c r="FQ79" s="74" t="str">
        <f t="shared" ca="1" si="58"/>
        <v/>
      </c>
      <c r="FR79" s="74" t="str">
        <f t="shared" ca="1" si="58"/>
        <v/>
      </c>
      <c r="FS79" s="74" t="str">
        <f t="shared" ca="1" si="58"/>
        <v/>
      </c>
      <c r="FT79" s="74" t="str">
        <f t="shared" ca="1" si="58"/>
        <v/>
      </c>
    </row>
    <row r="80" spans="1:176" x14ac:dyDescent="0.35">
      <c r="A80" s="74"/>
      <c r="B80" s="74" t="str">
        <f t="shared" ca="1" si="62"/>
        <v/>
      </c>
      <c r="C80" s="74" t="str">
        <f t="shared" ca="1" si="62"/>
        <v/>
      </c>
      <c r="D80" s="74" t="str">
        <f t="shared" ca="1" si="62"/>
        <v/>
      </c>
      <c r="E80" s="74" t="str">
        <f t="shared" ca="1" si="62"/>
        <v/>
      </c>
      <c r="F80" t="str">
        <f t="shared" ca="1" si="63"/>
        <v/>
      </c>
      <c r="G80" t="str">
        <f t="shared" ca="1" si="63"/>
        <v/>
      </c>
      <c r="H80" t="str">
        <f t="shared" ca="1" si="63"/>
        <v/>
      </c>
      <c r="I80" s="74" t="str">
        <f t="shared" ca="1" si="62"/>
        <v/>
      </c>
      <c r="J80" s="74" t="str">
        <f t="shared" ca="1" si="62"/>
        <v/>
      </c>
      <c r="K80" s="74" t="str">
        <f t="shared" ca="1" si="62"/>
        <v/>
      </c>
      <c r="L80" s="74" t="str">
        <f t="shared" ca="1" si="62"/>
        <v/>
      </c>
      <c r="M80" s="74" t="str">
        <f t="shared" ca="1" si="62"/>
        <v/>
      </c>
      <c r="N80" s="74" t="str">
        <f t="shared" ca="1" si="62"/>
        <v/>
      </c>
      <c r="O80" s="74" t="str">
        <f t="shared" ca="1" si="62"/>
        <v/>
      </c>
      <c r="P80" s="74" t="str">
        <f t="shared" ca="1" si="62"/>
        <v/>
      </c>
      <c r="Q80" s="74" t="str">
        <f t="shared" ca="1" si="62"/>
        <v/>
      </c>
      <c r="R80" s="74" t="str">
        <f t="shared" ca="1" si="62"/>
        <v/>
      </c>
      <c r="S80" s="74" t="str">
        <f t="shared" ca="1" si="62"/>
        <v/>
      </c>
      <c r="T80" s="74" t="str">
        <f t="shared" ca="1" si="59"/>
        <v/>
      </c>
      <c r="U80" s="74" t="str">
        <f t="shared" ca="1" si="59"/>
        <v/>
      </c>
      <c r="V80" s="74" t="str">
        <f t="shared" ca="1" si="59"/>
        <v/>
      </c>
      <c r="W80" s="74" t="str">
        <f t="shared" ca="1" si="59"/>
        <v/>
      </c>
      <c r="X80" s="74" t="str">
        <f t="shared" ca="1" si="59"/>
        <v/>
      </c>
      <c r="Y80" s="74" t="str">
        <f t="shared" ca="1" si="59"/>
        <v/>
      </c>
      <c r="Z80" s="74" t="str">
        <f t="shared" ca="1" si="59"/>
        <v/>
      </c>
      <c r="AA80" s="74" t="str">
        <f t="shared" ca="1" si="59"/>
        <v/>
      </c>
      <c r="AB80" s="75" t="str">
        <f t="shared" ca="1" si="59"/>
        <v/>
      </c>
      <c r="AC80" s="75" t="str">
        <f t="shared" ca="1" si="59"/>
        <v/>
      </c>
      <c r="AD80" s="75" t="str">
        <f t="shared" ca="1" si="59"/>
        <v/>
      </c>
      <c r="AE80" s="75" t="str">
        <f t="shared" ca="1" si="59"/>
        <v/>
      </c>
      <c r="AF80" s="75" t="str">
        <f t="shared" ca="1" si="59"/>
        <v/>
      </c>
      <c r="AG80" s="75" t="str">
        <f t="shared" ca="1" si="59"/>
        <v/>
      </c>
      <c r="AH80" s="75" t="str">
        <f t="shared" ca="1" si="59"/>
        <v/>
      </c>
      <c r="AI80" s="75" t="str">
        <f t="shared" ca="1" si="60"/>
        <v/>
      </c>
      <c r="AJ80" s="75" t="str">
        <f t="shared" ca="1" si="60"/>
        <v/>
      </c>
      <c r="AK80" s="75" t="str">
        <f t="shared" ca="1" si="60"/>
        <v/>
      </c>
      <c r="AL80" s="75" t="str">
        <f t="shared" ca="1" si="60"/>
        <v/>
      </c>
      <c r="AM80" s="75" t="str">
        <f t="shared" ca="1" si="60"/>
        <v/>
      </c>
      <c r="AN80" s="75" t="str">
        <f t="shared" ca="1" si="60"/>
        <v/>
      </c>
      <c r="AO80" s="75" t="str">
        <f t="shared" ca="1" si="60"/>
        <v/>
      </c>
      <c r="AP80" s="75" t="str">
        <f t="shared" ca="1" si="60"/>
        <v/>
      </c>
      <c r="AQ80" s="75" t="str">
        <f t="shared" ca="1" si="60"/>
        <v/>
      </c>
      <c r="AR80" s="75" t="str">
        <f t="shared" ca="1" si="60"/>
        <v/>
      </c>
      <c r="AS80" s="75" t="str">
        <f t="shared" ca="1" si="60"/>
        <v/>
      </c>
      <c r="AT80" s="75" t="str">
        <f t="shared" ca="1" si="60"/>
        <v/>
      </c>
      <c r="AU80" s="74" t="str">
        <f t="shared" ca="1" si="60"/>
        <v/>
      </c>
      <c r="AV80" s="74" t="str">
        <f t="shared" ca="1" si="60"/>
        <v/>
      </c>
      <c r="AW80" s="74" t="str">
        <f t="shared" ca="1" si="60"/>
        <v/>
      </c>
      <c r="AX80" s="74" t="str">
        <f t="shared" ca="1" si="60"/>
        <v/>
      </c>
      <c r="AY80" s="74" t="str">
        <f t="shared" ca="1" si="61"/>
        <v/>
      </c>
      <c r="AZ80" s="74" t="str">
        <f t="shared" ca="1" si="51"/>
        <v/>
      </c>
      <c r="BA80" s="74" t="str">
        <f t="shared" ca="1" si="51"/>
        <v/>
      </c>
      <c r="BB80" s="74" t="str">
        <f t="shared" ca="1" si="51"/>
        <v/>
      </c>
      <c r="BC80" s="74" t="str">
        <f t="shared" ca="1" si="51"/>
        <v/>
      </c>
      <c r="BD80" s="74" t="str">
        <f t="shared" ca="1" si="51"/>
        <v/>
      </c>
      <c r="BE80" s="74" t="str">
        <f t="shared" ca="1" si="51"/>
        <v/>
      </c>
      <c r="BF80" s="74" t="str">
        <f t="shared" ca="1" si="51"/>
        <v/>
      </c>
      <c r="BG80" s="74" t="str">
        <f t="shared" ca="1" si="51"/>
        <v/>
      </c>
      <c r="BH80" s="74" t="str">
        <f t="shared" ca="1" si="51"/>
        <v/>
      </c>
      <c r="BI80" s="74" t="str">
        <f t="shared" ca="1" si="51"/>
        <v/>
      </c>
      <c r="BJ80" s="74" t="str">
        <f t="shared" ca="1" si="51"/>
        <v/>
      </c>
      <c r="BK80" s="74" t="str">
        <f t="shared" ca="1" si="51"/>
        <v/>
      </c>
      <c r="BL80" s="74" t="str">
        <f t="shared" ca="1" si="51"/>
        <v/>
      </c>
      <c r="BM80" s="74" t="str">
        <f t="shared" ca="1" si="51"/>
        <v/>
      </c>
      <c r="BN80" s="75" t="str">
        <f t="shared" ca="1" si="51"/>
        <v/>
      </c>
      <c r="BO80" s="75" t="str">
        <f t="shared" ref="BO80:CD95" ca="1" si="64">IF($A80="", "", IF(INDIRECT($A80&amp; "!"&amp; BO$2)="", "", INDIRECT($A80&amp; "!"&amp; BO$2)))</f>
        <v/>
      </c>
      <c r="BP80" s="75" t="str">
        <f t="shared" ca="1" si="64"/>
        <v/>
      </c>
      <c r="BQ80" s="75" t="str">
        <f t="shared" ca="1" si="64"/>
        <v/>
      </c>
      <c r="BR80" s="75" t="str">
        <f t="shared" ca="1" si="64"/>
        <v/>
      </c>
      <c r="BS80" s="75" t="str">
        <f t="shared" ca="1" si="64"/>
        <v/>
      </c>
      <c r="BT80" s="75" t="str">
        <f t="shared" ca="1" si="64"/>
        <v/>
      </c>
      <c r="BU80" s="75" t="str">
        <f t="shared" ca="1" si="64"/>
        <v/>
      </c>
      <c r="BV80" s="75" t="str">
        <f t="shared" ca="1" si="64"/>
        <v/>
      </c>
      <c r="BW80" s="75" t="str">
        <f t="shared" ca="1" si="64"/>
        <v/>
      </c>
      <c r="BX80" s="75" t="str">
        <f t="shared" ca="1" si="64"/>
        <v/>
      </c>
      <c r="BY80" s="75" t="str">
        <f t="shared" ca="1" si="64"/>
        <v/>
      </c>
      <c r="BZ80" s="75" t="str">
        <f t="shared" ca="1" si="64"/>
        <v/>
      </c>
      <c r="CA80" s="75" t="str">
        <f t="shared" ca="1" si="64"/>
        <v/>
      </c>
      <c r="CB80" s="75" t="str">
        <f t="shared" ca="1" si="64"/>
        <v/>
      </c>
      <c r="CC80" s="75" t="str">
        <f t="shared" ca="1" si="64"/>
        <v/>
      </c>
      <c r="CD80" s="75" t="str">
        <f t="shared" ca="1" si="64"/>
        <v/>
      </c>
      <c r="CE80" s="75" t="str">
        <f t="shared" ca="1" si="52"/>
        <v/>
      </c>
      <c r="CF80" s="75" t="str">
        <f t="shared" ca="1" si="53"/>
        <v/>
      </c>
      <c r="CG80" s="74" t="str">
        <f t="shared" ca="1" si="53"/>
        <v/>
      </c>
      <c r="CH80" s="74" t="str">
        <f t="shared" ca="1" si="53"/>
        <v/>
      </c>
      <c r="CI80" s="74" t="str">
        <f t="shared" ca="1" si="53"/>
        <v/>
      </c>
      <c r="CJ80" s="74" t="str">
        <f t="shared" ca="1" si="53"/>
        <v/>
      </c>
      <c r="CK80" s="74" t="str">
        <f t="shared" ca="1" si="53"/>
        <v/>
      </c>
      <c r="CL80" s="74" t="str">
        <f t="shared" ca="1" si="53"/>
        <v/>
      </c>
      <c r="CM80" s="74" t="str">
        <f t="shared" ca="1" si="53"/>
        <v/>
      </c>
      <c r="CN80" s="74" t="str">
        <f t="shared" ca="1" si="53"/>
        <v/>
      </c>
      <c r="CO80" s="74" t="str">
        <f t="shared" ca="1" si="53"/>
        <v/>
      </c>
      <c r="CP80" s="74" t="str">
        <f t="shared" ca="1" si="53"/>
        <v/>
      </c>
      <c r="CQ80" s="74" t="str">
        <f t="shared" ca="1" si="53"/>
        <v/>
      </c>
      <c r="CR80" s="74" t="str">
        <f t="shared" ca="1" si="53"/>
        <v/>
      </c>
      <c r="CS80" s="74" t="str">
        <f t="shared" ca="1" si="53"/>
        <v/>
      </c>
      <c r="CT80" s="74" t="str">
        <f t="shared" ca="1" si="53"/>
        <v/>
      </c>
      <c r="CU80" s="74" t="str">
        <f t="shared" ref="CU80:DJ95" ca="1" si="65">IF($A80="", "", IF(INDIRECT($A80&amp; "!"&amp; CU$2)="", "", INDIRECT($A80&amp; "!"&amp; CU$2)))</f>
        <v/>
      </c>
      <c r="CV80" s="74" t="str">
        <f t="shared" ca="1" si="65"/>
        <v/>
      </c>
      <c r="CW80" s="74" t="str">
        <f t="shared" ca="1" si="65"/>
        <v/>
      </c>
      <c r="CX80" s="74" t="str">
        <f t="shared" ca="1" si="65"/>
        <v/>
      </c>
      <c r="CY80" s="74" t="str">
        <f t="shared" ca="1" si="65"/>
        <v/>
      </c>
      <c r="CZ80" s="75" t="str">
        <f t="shared" ca="1" si="65"/>
        <v/>
      </c>
      <c r="DA80" s="75" t="str">
        <f t="shared" ca="1" si="65"/>
        <v/>
      </c>
      <c r="DB80" s="75" t="str">
        <f t="shared" ca="1" si="65"/>
        <v/>
      </c>
      <c r="DC80" s="75" t="str">
        <f t="shared" ca="1" si="65"/>
        <v/>
      </c>
      <c r="DD80" s="75" t="str">
        <f t="shared" ca="1" si="65"/>
        <v/>
      </c>
      <c r="DE80" s="75" t="str">
        <f t="shared" ca="1" si="65"/>
        <v/>
      </c>
      <c r="DF80" s="75" t="str">
        <f t="shared" ca="1" si="65"/>
        <v/>
      </c>
      <c r="DG80" s="75" t="str">
        <f t="shared" ca="1" si="65"/>
        <v/>
      </c>
      <c r="DH80" s="75" t="str">
        <f t="shared" ca="1" si="65"/>
        <v/>
      </c>
      <c r="DI80" s="75" t="str">
        <f t="shared" ca="1" si="65"/>
        <v/>
      </c>
      <c r="DJ80" s="75" t="str">
        <f t="shared" ca="1" si="65"/>
        <v/>
      </c>
      <c r="DK80" s="75" t="str">
        <f t="shared" ca="1" si="54"/>
        <v/>
      </c>
      <c r="DL80" s="75" t="str">
        <f t="shared" ca="1" si="55"/>
        <v/>
      </c>
      <c r="DM80" s="75" t="str">
        <f t="shared" ca="1" si="55"/>
        <v/>
      </c>
      <c r="DN80" s="75" t="str">
        <f t="shared" ca="1" si="55"/>
        <v/>
      </c>
      <c r="DO80" s="75" t="str">
        <f t="shared" ca="1" si="55"/>
        <v/>
      </c>
      <c r="DP80" s="75" t="str">
        <f t="shared" ca="1" si="55"/>
        <v/>
      </c>
      <c r="DQ80" s="75" t="str">
        <f t="shared" ca="1" si="55"/>
        <v/>
      </c>
      <c r="DR80" s="75" t="str">
        <f t="shared" ca="1" si="55"/>
        <v/>
      </c>
      <c r="DS80" s="74" t="str">
        <f t="shared" ca="1" si="55"/>
        <v/>
      </c>
      <c r="DT80" s="74" t="str">
        <f t="shared" ca="1" si="55"/>
        <v/>
      </c>
      <c r="DU80" s="74" t="str">
        <f t="shared" ca="1" si="55"/>
        <v/>
      </c>
      <c r="DV80" s="74" t="str">
        <f t="shared" ca="1" si="55"/>
        <v/>
      </c>
      <c r="DW80" s="74" t="str">
        <f t="shared" ca="1" si="55"/>
        <v/>
      </c>
      <c r="DX80" s="74" t="str">
        <f t="shared" ca="1" si="55"/>
        <v/>
      </c>
      <c r="DY80" s="74" t="str">
        <f t="shared" ca="1" si="55"/>
        <v/>
      </c>
      <c r="DZ80" s="74" t="str">
        <f t="shared" ca="1" si="55"/>
        <v/>
      </c>
      <c r="EA80" s="74" t="str">
        <f t="shared" ref="EA80:EP95" ca="1" si="66">IF($A80="", "", IF(INDIRECT($A80&amp; "!"&amp; EA$2)="", "", INDIRECT($A80&amp; "!"&amp; EA$2)))</f>
        <v/>
      </c>
      <c r="EB80" s="74" t="str">
        <f t="shared" ca="1" si="66"/>
        <v/>
      </c>
      <c r="EC80" s="74" t="str">
        <f t="shared" ca="1" si="66"/>
        <v/>
      </c>
      <c r="ED80" s="74" t="str">
        <f t="shared" ca="1" si="66"/>
        <v/>
      </c>
      <c r="EE80" s="74" t="str">
        <f t="shared" ca="1" si="66"/>
        <v/>
      </c>
      <c r="EF80" s="74" t="str">
        <f t="shared" ca="1" si="66"/>
        <v/>
      </c>
      <c r="EG80" s="74" t="str">
        <f t="shared" ca="1" si="66"/>
        <v/>
      </c>
      <c r="EH80" s="74" t="str">
        <f t="shared" ca="1" si="66"/>
        <v/>
      </c>
      <c r="EI80" s="74" t="str">
        <f t="shared" ca="1" si="66"/>
        <v/>
      </c>
      <c r="EJ80" s="74" t="str">
        <f t="shared" ca="1" si="66"/>
        <v/>
      </c>
      <c r="EK80" s="75" t="str">
        <f t="shared" ca="1" si="66"/>
        <v/>
      </c>
      <c r="EL80" s="75" t="str">
        <f t="shared" ca="1" si="66"/>
        <v/>
      </c>
      <c r="EM80" s="75" t="str">
        <f t="shared" ca="1" si="66"/>
        <v/>
      </c>
      <c r="EN80" s="75" t="str">
        <f t="shared" ca="1" si="66"/>
        <v/>
      </c>
      <c r="EO80" s="75" t="str">
        <f t="shared" ca="1" si="66"/>
        <v/>
      </c>
      <c r="EP80" s="75" t="str">
        <f t="shared" ca="1" si="66"/>
        <v/>
      </c>
      <c r="EQ80" s="75" t="str">
        <f t="shared" ca="1" si="56"/>
        <v/>
      </c>
      <c r="ER80" s="75" t="str">
        <f t="shared" ca="1" si="57"/>
        <v/>
      </c>
      <c r="ES80" s="75" t="str">
        <f t="shared" ca="1" si="57"/>
        <v/>
      </c>
      <c r="ET80" s="75" t="str">
        <f t="shared" ca="1" si="57"/>
        <v/>
      </c>
      <c r="EU80" s="75" t="str">
        <f t="shared" ca="1" si="57"/>
        <v/>
      </c>
      <c r="EV80" s="75" t="str">
        <f t="shared" ca="1" si="57"/>
        <v/>
      </c>
      <c r="EW80" s="75" t="str">
        <f t="shared" ca="1" si="57"/>
        <v/>
      </c>
      <c r="EX80" s="75" t="str">
        <f t="shared" ca="1" si="57"/>
        <v/>
      </c>
      <c r="EY80" s="75" t="str">
        <f t="shared" ca="1" si="57"/>
        <v/>
      </c>
      <c r="EZ80" s="75" t="str">
        <f t="shared" ca="1" si="57"/>
        <v/>
      </c>
      <c r="FA80" s="75" t="str">
        <f t="shared" ca="1" si="57"/>
        <v/>
      </c>
      <c r="FB80" s="75" t="str">
        <f t="shared" ca="1" si="57"/>
        <v/>
      </c>
      <c r="FC80" s="76" t="str">
        <f t="shared" ca="1" si="57"/>
        <v/>
      </c>
      <c r="FD80" s="74" t="str">
        <f t="shared" ca="1" si="57"/>
        <v/>
      </c>
      <c r="FE80" s="74" t="str">
        <f t="shared" ca="1" si="57"/>
        <v/>
      </c>
      <c r="FF80" s="74" t="str">
        <f t="shared" ca="1" si="57"/>
        <v/>
      </c>
      <c r="FG80" s="74" t="str">
        <f t="shared" ca="1" si="58"/>
        <v/>
      </c>
      <c r="FH80" s="74" t="str">
        <f t="shared" ca="1" si="58"/>
        <v/>
      </c>
      <c r="FI80" s="74" t="str">
        <f t="shared" ca="1" si="58"/>
        <v/>
      </c>
      <c r="FJ80" s="74" t="str">
        <f t="shared" ca="1" si="58"/>
        <v/>
      </c>
      <c r="FK80" s="74" t="str">
        <f t="shared" ca="1" si="58"/>
        <v/>
      </c>
      <c r="FL80" s="74" t="str">
        <f t="shared" ca="1" si="58"/>
        <v/>
      </c>
      <c r="FM80" s="74" t="str">
        <f t="shared" ca="1" si="58"/>
        <v/>
      </c>
      <c r="FN80" s="74" t="str">
        <f t="shared" ca="1" si="58"/>
        <v/>
      </c>
      <c r="FO80" s="74" t="str">
        <f t="shared" ca="1" si="58"/>
        <v/>
      </c>
      <c r="FP80" s="74" t="str">
        <f t="shared" ca="1" si="58"/>
        <v/>
      </c>
      <c r="FQ80" s="74" t="str">
        <f t="shared" ca="1" si="58"/>
        <v/>
      </c>
      <c r="FR80" s="74" t="str">
        <f t="shared" ca="1" si="58"/>
        <v/>
      </c>
      <c r="FS80" s="74" t="str">
        <f t="shared" ca="1" si="58"/>
        <v/>
      </c>
      <c r="FT80" s="74" t="str">
        <f t="shared" ca="1" si="58"/>
        <v/>
      </c>
    </row>
    <row r="81" spans="1:176" x14ac:dyDescent="0.35">
      <c r="A81" s="74"/>
      <c r="B81" s="74" t="str">
        <f t="shared" ca="1" si="62"/>
        <v/>
      </c>
      <c r="C81" s="74" t="str">
        <f t="shared" ca="1" si="62"/>
        <v/>
      </c>
      <c r="D81" s="74" t="str">
        <f t="shared" ca="1" si="62"/>
        <v/>
      </c>
      <c r="E81" s="74" t="str">
        <f t="shared" ca="1" si="62"/>
        <v/>
      </c>
      <c r="F81" t="str">
        <f t="shared" ca="1" si="63"/>
        <v/>
      </c>
      <c r="G81" t="str">
        <f t="shared" ca="1" si="63"/>
        <v/>
      </c>
      <c r="H81" t="str">
        <f t="shared" ca="1" si="63"/>
        <v/>
      </c>
      <c r="I81" s="74" t="str">
        <f t="shared" ca="1" si="62"/>
        <v/>
      </c>
      <c r="J81" s="74" t="str">
        <f t="shared" ca="1" si="62"/>
        <v/>
      </c>
      <c r="K81" s="74" t="str">
        <f t="shared" ca="1" si="62"/>
        <v/>
      </c>
      <c r="L81" s="74" t="str">
        <f t="shared" ca="1" si="62"/>
        <v/>
      </c>
      <c r="M81" s="74" t="str">
        <f t="shared" ca="1" si="62"/>
        <v/>
      </c>
      <c r="N81" s="74" t="str">
        <f t="shared" ca="1" si="62"/>
        <v/>
      </c>
      <c r="O81" s="74" t="str">
        <f t="shared" ca="1" si="62"/>
        <v/>
      </c>
      <c r="P81" s="74" t="str">
        <f t="shared" ca="1" si="62"/>
        <v/>
      </c>
      <c r="Q81" s="74" t="str">
        <f t="shared" ca="1" si="62"/>
        <v/>
      </c>
      <c r="R81" s="74" t="str">
        <f t="shared" ca="1" si="62"/>
        <v/>
      </c>
      <c r="S81" s="74" t="str">
        <f t="shared" ca="1" si="62"/>
        <v/>
      </c>
      <c r="T81" s="74" t="str">
        <f t="shared" ca="1" si="59"/>
        <v/>
      </c>
      <c r="U81" s="74" t="str">
        <f t="shared" ca="1" si="59"/>
        <v/>
      </c>
      <c r="V81" s="74" t="str">
        <f t="shared" ca="1" si="59"/>
        <v/>
      </c>
      <c r="W81" s="74" t="str">
        <f t="shared" ca="1" si="59"/>
        <v/>
      </c>
      <c r="X81" s="74" t="str">
        <f t="shared" ca="1" si="59"/>
        <v/>
      </c>
      <c r="Y81" s="74" t="str">
        <f t="shared" ca="1" si="59"/>
        <v/>
      </c>
      <c r="Z81" s="74" t="str">
        <f t="shared" ca="1" si="59"/>
        <v/>
      </c>
      <c r="AA81" s="74" t="str">
        <f t="shared" ca="1" si="59"/>
        <v/>
      </c>
      <c r="AB81" s="75" t="str">
        <f t="shared" ca="1" si="59"/>
        <v/>
      </c>
      <c r="AC81" s="75" t="str">
        <f t="shared" ca="1" si="59"/>
        <v/>
      </c>
      <c r="AD81" s="75" t="str">
        <f t="shared" ca="1" si="59"/>
        <v/>
      </c>
      <c r="AE81" s="75" t="str">
        <f t="shared" ca="1" si="59"/>
        <v/>
      </c>
      <c r="AF81" s="75" t="str">
        <f t="shared" ca="1" si="59"/>
        <v/>
      </c>
      <c r="AG81" s="75" t="str">
        <f t="shared" ca="1" si="59"/>
        <v/>
      </c>
      <c r="AH81" s="75" t="str">
        <f t="shared" ca="1" si="59"/>
        <v/>
      </c>
      <c r="AI81" s="75" t="str">
        <f t="shared" ca="1" si="60"/>
        <v/>
      </c>
      <c r="AJ81" s="75" t="str">
        <f t="shared" ca="1" si="60"/>
        <v/>
      </c>
      <c r="AK81" s="75" t="str">
        <f t="shared" ca="1" si="60"/>
        <v/>
      </c>
      <c r="AL81" s="75" t="str">
        <f t="shared" ca="1" si="60"/>
        <v/>
      </c>
      <c r="AM81" s="75" t="str">
        <f t="shared" ca="1" si="60"/>
        <v/>
      </c>
      <c r="AN81" s="75" t="str">
        <f t="shared" ca="1" si="60"/>
        <v/>
      </c>
      <c r="AO81" s="75" t="str">
        <f t="shared" ca="1" si="60"/>
        <v/>
      </c>
      <c r="AP81" s="75" t="str">
        <f t="shared" ca="1" si="60"/>
        <v/>
      </c>
      <c r="AQ81" s="75" t="str">
        <f t="shared" ca="1" si="60"/>
        <v/>
      </c>
      <c r="AR81" s="75" t="str">
        <f t="shared" ca="1" si="60"/>
        <v/>
      </c>
      <c r="AS81" s="75" t="str">
        <f t="shared" ca="1" si="60"/>
        <v/>
      </c>
      <c r="AT81" s="75" t="str">
        <f t="shared" ca="1" si="60"/>
        <v/>
      </c>
      <c r="AU81" s="74" t="str">
        <f t="shared" ca="1" si="60"/>
        <v/>
      </c>
      <c r="AV81" s="74" t="str">
        <f t="shared" ca="1" si="60"/>
        <v/>
      </c>
      <c r="AW81" s="74" t="str">
        <f t="shared" ca="1" si="60"/>
        <v/>
      </c>
      <c r="AX81" s="74" t="str">
        <f t="shared" ca="1" si="60"/>
        <v/>
      </c>
      <c r="AY81" s="74" t="str">
        <f t="shared" ca="1" si="61"/>
        <v/>
      </c>
      <c r="AZ81" s="74" t="str">
        <f t="shared" ref="AY81:BN96" ca="1" si="67">IF($A81="", "", IF(INDIRECT($A81&amp; "!"&amp; AZ$2)="", "", INDIRECT($A81&amp; "!"&amp; AZ$2)))</f>
        <v/>
      </c>
      <c r="BA81" s="74" t="str">
        <f t="shared" ca="1" si="67"/>
        <v/>
      </c>
      <c r="BB81" s="74" t="str">
        <f t="shared" ca="1" si="67"/>
        <v/>
      </c>
      <c r="BC81" s="74" t="str">
        <f t="shared" ca="1" si="67"/>
        <v/>
      </c>
      <c r="BD81" s="74" t="str">
        <f t="shared" ca="1" si="67"/>
        <v/>
      </c>
      <c r="BE81" s="74" t="str">
        <f t="shared" ca="1" si="67"/>
        <v/>
      </c>
      <c r="BF81" s="74" t="str">
        <f t="shared" ca="1" si="67"/>
        <v/>
      </c>
      <c r="BG81" s="74" t="str">
        <f t="shared" ca="1" si="67"/>
        <v/>
      </c>
      <c r="BH81" s="74" t="str">
        <f t="shared" ca="1" si="67"/>
        <v/>
      </c>
      <c r="BI81" s="74" t="str">
        <f t="shared" ca="1" si="67"/>
        <v/>
      </c>
      <c r="BJ81" s="74" t="str">
        <f t="shared" ca="1" si="67"/>
        <v/>
      </c>
      <c r="BK81" s="74" t="str">
        <f t="shared" ca="1" si="67"/>
        <v/>
      </c>
      <c r="BL81" s="74" t="str">
        <f t="shared" ca="1" si="67"/>
        <v/>
      </c>
      <c r="BM81" s="74" t="str">
        <f t="shared" ca="1" si="67"/>
        <v/>
      </c>
      <c r="BN81" s="75" t="str">
        <f t="shared" ca="1" si="67"/>
        <v/>
      </c>
      <c r="BO81" s="75" t="str">
        <f t="shared" ca="1" si="64"/>
        <v/>
      </c>
      <c r="BP81" s="75" t="str">
        <f t="shared" ca="1" si="64"/>
        <v/>
      </c>
      <c r="BQ81" s="75" t="str">
        <f t="shared" ca="1" si="64"/>
        <v/>
      </c>
      <c r="BR81" s="75" t="str">
        <f t="shared" ca="1" si="64"/>
        <v/>
      </c>
      <c r="BS81" s="75" t="str">
        <f t="shared" ca="1" si="64"/>
        <v/>
      </c>
      <c r="BT81" s="75" t="str">
        <f t="shared" ca="1" si="64"/>
        <v/>
      </c>
      <c r="BU81" s="75" t="str">
        <f t="shared" ca="1" si="64"/>
        <v/>
      </c>
      <c r="BV81" s="75" t="str">
        <f t="shared" ca="1" si="64"/>
        <v/>
      </c>
      <c r="BW81" s="75" t="str">
        <f t="shared" ca="1" si="64"/>
        <v/>
      </c>
      <c r="BX81" s="75" t="str">
        <f t="shared" ca="1" si="64"/>
        <v/>
      </c>
      <c r="BY81" s="75" t="str">
        <f t="shared" ca="1" si="64"/>
        <v/>
      </c>
      <c r="BZ81" s="75" t="str">
        <f t="shared" ca="1" si="64"/>
        <v/>
      </c>
      <c r="CA81" s="75" t="str">
        <f t="shared" ca="1" si="64"/>
        <v/>
      </c>
      <c r="CB81" s="75" t="str">
        <f t="shared" ca="1" si="64"/>
        <v/>
      </c>
      <c r="CC81" s="75" t="str">
        <f t="shared" ca="1" si="64"/>
        <v/>
      </c>
      <c r="CD81" s="75" t="str">
        <f t="shared" ca="1" si="64"/>
        <v/>
      </c>
      <c r="CE81" s="75" t="str">
        <f t="shared" ca="1" si="52"/>
        <v/>
      </c>
      <c r="CF81" s="75" t="str">
        <f t="shared" ref="CE81:CT96" ca="1" si="68">IF($A81="", "", IF(INDIRECT($A81&amp; "!"&amp; CF$2)="", "", INDIRECT($A81&amp; "!"&amp; CF$2)))</f>
        <v/>
      </c>
      <c r="CG81" s="74" t="str">
        <f t="shared" ca="1" si="68"/>
        <v/>
      </c>
      <c r="CH81" s="74" t="str">
        <f t="shared" ca="1" si="68"/>
        <v/>
      </c>
      <c r="CI81" s="74" t="str">
        <f t="shared" ca="1" si="68"/>
        <v/>
      </c>
      <c r="CJ81" s="74" t="str">
        <f t="shared" ca="1" si="68"/>
        <v/>
      </c>
      <c r="CK81" s="74" t="str">
        <f t="shared" ca="1" si="68"/>
        <v/>
      </c>
      <c r="CL81" s="74" t="str">
        <f t="shared" ca="1" si="68"/>
        <v/>
      </c>
      <c r="CM81" s="74" t="str">
        <f t="shared" ca="1" si="68"/>
        <v/>
      </c>
      <c r="CN81" s="74" t="str">
        <f t="shared" ca="1" si="68"/>
        <v/>
      </c>
      <c r="CO81" s="74" t="str">
        <f t="shared" ca="1" si="68"/>
        <v/>
      </c>
      <c r="CP81" s="74" t="str">
        <f t="shared" ca="1" si="68"/>
        <v/>
      </c>
      <c r="CQ81" s="74" t="str">
        <f t="shared" ca="1" si="68"/>
        <v/>
      </c>
      <c r="CR81" s="74" t="str">
        <f t="shared" ca="1" si="68"/>
        <v/>
      </c>
      <c r="CS81" s="74" t="str">
        <f t="shared" ca="1" si="68"/>
        <v/>
      </c>
      <c r="CT81" s="74" t="str">
        <f t="shared" ca="1" si="68"/>
        <v/>
      </c>
      <c r="CU81" s="74" t="str">
        <f t="shared" ca="1" si="65"/>
        <v/>
      </c>
      <c r="CV81" s="74" t="str">
        <f t="shared" ca="1" si="65"/>
        <v/>
      </c>
      <c r="CW81" s="74" t="str">
        <f t="shared" ca="1" si="65"/>
        <v/>
      </c>
      <c r="CX81" s="74" t="str">
        <f t="shared" ca="1" si="65"/>
        <v/>
      </c>
      <c r="CY81" s="74" t="str">
        <f t="shared" ca="1" si="65"/>
        <v/>
      </c>
      <c r="CZ81" s="75" t="str">
        <f t="shared" ca="1" si="65"/>
        <v/>
      </c>
      <c r="DA81" s="75" t="str">
        <f t="shared" ca="1" si="65"/>
        <v/>
      </c>
      <c r="DB81" s="75" t="str">
        <f t="shared" ca="1" si="65"/>
        <v/>
      </c>
      <c r="DC81" s="75" t="str">
        <f t="shared" ca="1" si="65"/>
        <v/>
      </c>
      <c r="DD81" s="75" t="str">
        <f t="shared" ca="1" si="65"/>
        <v/>
      </c>
      <c r="DE81" s="75" t="str">
        <f t="shared" ca="1" si="65"/>
        <v/>
      </c>
      <c r="DF81" s="75" t="str">
        <f t="shared" ca="1" si="65"/>
        <v/>
      </c>
      <c r="DG81" s="75" t="str">
        <f t="shared" ca="1" si="65"/>
        <v/>
      </c>
      <c r="DH81" s="75" t="str">
        <f t="shared" ca="1" si="65"/>
        <v/>
      </c>
      <c r="DI81" s="75" t="str">
        <f t="shared" ca="1" si="65"/>
        <v/>
      </c>
      <c r="DJ81" s="75" t="str">
        <f t="shared" ca="1" si="65"/>
        <v/>
      </c>
      <c r="DK81" s="75" t="str">
        <f t="shared" ca="1" si="54"/>
        <v/>
      </c>
      <c r="DL81" s="75" t="str">
        <f t="shared" ref="DK81:DZ96" ca="1" si="69">IF($A81="", "", IF(INDIRECT($A81&amp; "!"&amp; DL$2)="", "", INDIRECT($A81&amp; "!"&amp; DL$2)))</f>
        <v/>
      </c>
      <c r="DM81" s="75" t="str">
        <f t="shared" ca="1" si="69"/>
        <v/>
      </c>
      <c r="DN81" s="75" t="str">
        <f t="shared" ca="1" si="69"/>
        <v/>
      </c>
      <c r="DO81" s="75" t="str">
        <f t="shared" ca="1" si="69"/>
        <v/>
      </c>
      <c r="DP81" s="75" t="str">
        <f t="shared" ca="1" si="69"/>
        <v/>
      </c>
      <c r="DQ81" s="75" t="str">
        <f t="shared" ca="1" si="69"/>
        <v/>
      </c>
      <c r="DR81" s="75" t="str">
        <f t="shared" ca="1" si="69"/>
        <v/>
      </c>
      <c r="DS81" s="74" t="str">
        <f t="shared" ca="1" si="69"/>
        <v/>
      </c>
      <c r="DT81" s="74" t="str">
        <f t="shared" ca="1" si="69"/>
        <v/>
      </c>
      <c r="DU81" s="74" t="str">
        <f t="shared" ca="1" si="69"/>
        <v/>
      </c>
      <c r="DV81" s="74" t="str">
        <f t="shared" ca="1" si="69"/>
        <v/>
      </c>
      <c r="DW81" s="74" t="str">
        <f t="shared" ca="1" si="69"/>
        <v/>
      </c>
      <c r="DX81" s="74" t="str">
        <f t="shared" ca="1" si="69"/>
        <v/>
      </c>
      <c r="DY81" s="74" t="str">
        <f t="shared" ca="1" si="69"/>
        <v/>
      </c>
      <c r="DZ81" s="74" t="str">
        <f t="shared" ca="1" si="69"/>
        <v/>
      </c>
      <c r="EA81" s="74" t="str">
        <f t="shared" ca="1" si="66"/>
        <v/>
      </c>
      <c r="EB81" s="74" t="str">
        <f t="shared" ca="1" si="66"/>
        <v/>
      </c>
      <c r="EC81" s="74" t="str">
        <f t="shared" ca="1" si="66"/>
        <v/>
      </c>
      <c r="ED81" s="74" t="str">
        <f t="shared" ca="1" si="66"/>
        <v/>
      </c>
      <c r="EE81" s="74" t="str">
        <f t="shared" ca="1" si="66"/>
        <v/>
      </c>
      <c r="EF81" s="74" t="str">
        <f t="shared" ca="1" si="66"/>
        <v/>
      </c>
      <c r="EG81" s="74" t="str">
        <f t="shared" ca="1" si="66"/>
        <v/>
      </c>
      <c r="EH81" s="74" t="str">
        <f t="shared" ca="1" si="66"/>
        <v/>
      </c>
      <c r="EI81" s="74" t="str">
        <f t="shared" ca="1" si="66"/>
        <v/>
      </c>
      <c r="EJ81" s="74" t="str">
        <f t="shared" ca="1" si="66"/>
        <v/>
      </c>
      <c r="EK81" s="75" t="str">
        <f t="shared" ca="1" si="66"/>
        <v/>
      </c>
      <c r="EL81" s="75" t="str">
        <f t="shared" ca="1" si="66"/>
        <v/>
      </c>
      <c r="EM81" s="75" t="str">
        <f t="shared" ca="1" si="66"/>
        <v/>
      </c>
      <c r="EN81" s="75" t="str">
        <f t="shared" ca="1" si="66"/>
        <v/>
      </c>
      <c r="EO81" s="75" t="str">
        <f t="shared" ca="1" si="66"/>
        <v/>
      </c>
      <c r="EP81" s="75" t="str">
        <f t="shared" ca="1" si="66"/>
        <v/>
      </c>
      <c r="EQ81" s="75" t="str">
        <f t="shared" ca="1" si="56"/>
        <v/>
      </c>
      <c r="ER81" s="75" t="str">
        <f t="shared" ca="1" si="57"/>
        <v/>
      </c>
      <c r="ES81" s="75" t="str">
        <f t="shared" ca="1" si="57"/>
        <v/>
      </c>
      <c r="ET81" s="75" t="str">
        <f t="shared" ca="1" si="57"/>
        <v/>
      </c>
      <c r="EU81" s="75" t="str">
        <f t="shared" ca="1" si="57"/>
        <v/>
      </c>
      <c r="EV81" s="75" t="str">
        <f t="shared" ca="1" si="57"/>
        <v/>
      </c>
      <c r="EW81" s="75" t="str">
        <f t="shared" ca="1" si="57"/>
        <v/>
      </c>
      <c r="EX81" s="75" t="str">
        <f t="shared" ca="1" si="57"/>
        <v/>
      </c>
      <c r="EY81" s="75" t="str">
        <f t="shared" ca="1" si="57"/>
        <v/>
      </c>
      <c r="EZ81" s="75" t="str">
        <f t="shared" ca="1" si="57"/>
        <v/>
      </c>
      <c r="FA81" s="75" t="str">
        <f t="shared" ca="1" si="57"/>
        <v/>
      </c>
      <c r="FB81" s="75" t="str">
        <f t="shared" ca="1" si="57"/>
        <v/>
      </c>
      <c r="FC81" s="76" t="str">
        <f t="shared" ca="1" si="57"/>
        <v/>
      </c>
      <c r="FD81" s="74" t="str">
        <f t="shared" ca="1" si="57"/>
        <v/>
      </c>
      <c r="FE81" s="74" t="str">
        <f t="shared" ca="1" si="57"/>
        <v/>
      </c>
      <c r="FF81" s="74" t="str">
        <f t="shared" ref="EQ81:FF97" ca="1" si="70">IF($A81="", "", IF(INDIRECT($A81&amp; "!"&amp; FF$2)="", "", INDIRECT($A81&amp; "!"&amp; FF$2)))</f>
        <v/>
      </c>
      <c r="FG81" s="74" t="str">
        <f t="shared" ca="1" si="58"/>
        <v/>
      </c>
      <c r="FH81" s="74" t="str">
        <f t="shared" ca="1" si="58"/>
        <v/>
      </c>
      <c r="FI81" s="74" t="str">
        <f t="shared" ca="1" si="58"/>
        <v/>
      </c>
      <c r="FJ81" s="74" t="str">
        <f t="shared" ca="1" si="58"/>
        <v/>
      </c>
      <c r="FK81" s="74" t="str">
        <f t="shared" ca="1" si="58"/>
        <v/>
      </c>
      <c r="FL81" s="74" t="str">
        <f t="shared" ca="1" si="58"/>
        <v/>
      </c>
      <c r="FM81" s="74" t="str">
        <f t="shared" ca="1" si="58"/>
        <v/>
      </c>
      <c r="FN81" s="74" t="str">
        <f t="shared" ca="1" si="58"/>
        <v/>
      </c>
      <c r="FO81" s="74" t="str">
        <f t="shared" ca="1" si="58"/>
        <v/>
      </c>
      <c r="FP81" s="74" t="str">
        <f t="shared" ca="1" si="58"/>
        <v/>
      </c>
      <c r="FQ81" s="74" t="str">
        <f t="shared" ca="1" si="58"/>
        <v/>
      </c>
      <c r="FR81" s="74" t="str">
        <f t="shared" ca="1" si="58"/>
        <v/>
      </c>
      <c r="FS81" s="74" t="str">
        <f t="shared" ca="1" si="58"/>
        <v/>
      </c>
      <c r="FT81" s="74" t="str">
        <f t="shared" ca="1" si="58"/>
        <v/>
      </c>
    </row>
    <row r="82" spans="1:176" x14ac:dyDescent="0.35">
      <c r="A82" s="74"/>
      <c r="B82" s="74" t="str">
        <f t="shared" ca="1" si="62"/>
        <v/>
      </c>
      <c r="C82" s="74" t="str">
        <f t="shared" ca="1" si="62"/>
        <v/>
      </c>
      <c r="D82" s="74" t="str">
        <f t="shared" ca="1" si="62"/>
        <v/>
      </c>
      <c r="E82" s="74" t="str">
        <f t="shared" ca="1" si="62"/>
        <v/>
      </c>
      <c r="F82" t="str">
        <f t="shared" ca="1" si="63"/>
        <v/>
      </c>
      <c r="G82" t="str">
        <f t="shared" ca="1" si="63"/>
        <v/>
      </c>
      <c r="H82" t="str">
        <f t="shared" ca="1" si="63"/>
        <v/>
      </c>
      <c r="I82" s="74" t="str">
        <f t="shared" ca="1" si="62"/>
        <v/>
      </c>
      <c r="J82" s="74" t="str">
        <f t="shared" ca="1" si="62"/>
        <v/>
      </c>
      <c r="K82" s="74" t="str">
        <f t="shared" ca="1" si="62"/>
        <v/>
      </c>
      <c r="L82" s="74" t="str">
        <f t="shared" ca="1" si="62"/>
        <v/>
      </c>
      <c r="M82" s="74" t="str">
        <f t="shared" ca="1" si="62"/>
        <v/>
      </c>
      <c r="N82" s="74" t="str">
        <f t="shared" ca="1" si="62"/>
        <v/>
      </c>
      <c r="O82" s="74" t="str">
        <f t="shared" ca="1" si="62"/>
        <v/>
      </c>
      <c r="P82" s="74" t="str">
        <f t="shared" ca="1" si="62"/>
        <v/>
      </c>
      <c r="Q82" s="74" t="str">
        <f t="shared" ca="1" si="62"/>
        <v/>
      </c>
      <c r="R82" s="74" t="str">
        <f t="shared" ca="1" si="62"/>
        <v/>
      </c>
      <c r="S82" s="74" t="str">
        <f t="shared" ca="1" si="62"/>
        <v/>
      </c>
      <c r="T82" s="74" t="str">
        <f t="shared" ca="1" si="59"/>
        <v/>
      </c>
      <c r="U82" s="74" t="str">
        <f t="shared" ca="1" si="59"/>
        <v/>
      </c>
      <c r="V82" s="74" t="str">
        <f t="shared" ca="1" si="59"/>
        <v/>
      </c>
      <c r="W82" s="74" t="str">
        <f t="shared" ca="1" si="59"/>
        <v/>
      </c>
      <c r="X82" s="74" t="str">
        <f t="shared" ca="1" si="59"/>
        <v/>
      </c>
      <c r="Y82" s="74" t="str">
        <f t="shared" ca="1" si="59"/>
        <v/>
      </c>
      <c r="Z82" s="74" t="str">
        <f t="shared" ca="1" si="59"/>
        <v/>
      </c>
      <c r="AA82" s="74" t="str">
        <f t="shared" ca="1" si="59"/>
        <v/>
      </c>
      <c r="AB82" s="75" t="str">
        <f t="shared" ca="1" si="59"/>
        <v/>
      </c>
      <c r="AC82" s="75" t="str">
        <f t="shared" ca="1" si="59"/>
        <v/>
      </c>
      <c r="AD82" s="75" t="str">
        <f t="shared" ca="1" si="59"/>
        <v/>
      </c>
      <c r="AE82" s="75" t="str">
        <f t="shared" ca="1" si="59"/>
        <v/>
      </c>
      <c r="AF82" s="75" t="str">
        <f t="shared" ca="1" si="59"/>
        <v/>
      </c>
      <c r="AG82" s="75" t="str">
        <f t="shared" ca="1" si="59"/>
        <v/>
      </c>
      <c r="AH82" s="75" t="str">
        <f t="shared" ca="1" si="59"/>
        <v/>
      </c>
      <c r="AI82" s="75" t="str">
        <f t="shared" ca="1" si="60"/>
        <v/>
      </c>
      <c r="AJ82" s="75" t="str">
        <f t="shared" ca="1" si="60"/>
        <v/>
      </c>
      <c r="AK82" s="75" t="str">
        <f t="shared" ca="1" si="60"/>
        <v/>
      </c>
      <c r="AL82" s="75" t="str">
        <f t="shared" ca="1" si="60"/>
        <v/>
      </c>
      <c r="AM82" s="75" t="str">
        <f t="shared" ca="1" si="60"/>
        <v/>
      </c>
      <c r="AN82" s="75" t="str">
        <f t="shared" ca="1" si="60"/>
        <v/>
      </c>
      <c r="AO82" s="75" t="str">
        <f t="shared" ca="1" si="60"/>
        <v/>
      </c>
      <c r="AP82" s="75" t="str">
        <f t="shared" ca="1" si="60"/>
        <v/>
      </c>
      <c r="AQ82" s="75" t="str">
        <f t="shared" ca="1" si="60"/>
        <v/>
      </c>
      <c r="AR82" s="75" t="str">
        <f t="shared" ca="1" si="60"/>
        <v/>
      </c>
      <c r="AS82" s="75" t="str">
        <f t="shared" ca="1" si="60"/>
        <v/>
      </c>
      <c r="AT82" s="75" t="str">
        <f t="shared" ca="1" si="60"/>
        <v/>
      </c>
      <c r="AU82" s="74" t="str">
        <f t="shared" ca="1" si="60"/>
        <v/>
      </c>
      <c r="AV82" s="74" t="str">
        <f t="shared" ca="1" si="60"/>
        <v/>
      </c>
      <c r="AW82" s="74" t="str">
        <f t="shared" ca="1" si="60"/>
        <v/>
      </c>
      <c r="AX82" s="74" t="str">
        <f t="shared" ref="AI82:AX98" ca="1" si="71">IF($A82="", "", IF(INDIRECT($A82&amp; "!"&amp; AX$2)="", "", INDIRECT($A82&amp; "!"&amp; AX$2)))</f>
        <v/>
      </c>
      <c r="AY82" s="74" t="str">
        <f t="shared" ca="1" si="67"/>
        <v/>
      </c>
      <c r="AZ82" s="74" t="str">
        <f t="shared" ca="1" si="67"/>
        <v/>
      </c>
      <c r="BA82" s="74" t="str">
        <f t="shared" ca="1" si="67"/>
        <v/>
      </c>
      <c r="BB82" s="74" t="str">
        <f t="shared" ca="1" si="67"/>
        <v/>
      </c>
      <c r="BC82" s="74" t="str">
        <f t="shared" ca="1" si="67"/>
        <v/>
      </c>
      <c r="BD82" s="74" t="str">
        <f t="shared" ca="1" si="67"/>
        <v/>
      </c>
      <c r="BE82" s="74" t="str">
        <f t="shared" ca="1" si="67"/>
        <v/>
      </c>
      <c r="BF82" s="74" t="str">
        <f t="shared" ca="1" si="67"/>
        <v/>
      </c>
      <c r="BG82" s="74" t="str">
        <f t="shared" ca="1" si="67"/>
        <v/>
      </c>
      <c r="BH82" s="74" t="str">
        <f t="shared" ca="1" si="67"/>
        <v/>
      </c>
      <c r="BI82" s="74" t="str">
        <f t="shared" ca="1" si="67"/>
        <v/>
      </c>
      <c r="BJ82" s="74" t="str">
        <f t="shared" ca="1" si="67"/>
        <v/>
      </c>
      <c r="BK82" s="74" t="str">
        <f t="shared" ca="1" si="67"/>
        <v/>
      </c>
      <c r="BL82" s="74" t="str">
        <f t="shared" ca="1" si="67"/>
        <v/>
      </c>
      <c r="BM82" s="74" t="str">
        <f t="shared" ca="1" si="67"/>
        <v/>
      </c>
      <c r="BN82" s="75" t="str">
        <f t="shared" ca="1" si="67"/>
        <v/>
      </c>
      <c r="BO82" s="75" t="str">
        <f t="shared" ca="1" si="64"/>
        <v/>
      </c>
      <c r="BP82" s="75" t="str">
        <f t="shared" ca="1" si="64"/>
        <v/>
      </c>
      <c r="BQ82" s="75" t="str">
        <f t="shared" ca="1" si="64"/>
        <v/>
      </c>
      <c r="BR82" s="75" t="str">
        <f t="shared" ca="1" si="64"/>
        <v/>
      </c>
      <c r="BS82" s="75" t="str">
        <f t="shared" ca="1" si="64"/>
        <v/>
      </c>
      <c r="BT82" s="75" t="str">
        <f t="shared" ca="1" si="64"/>
        <v/>
      </c>
      <c r="BU82" s="75" t="str">
        <f t="shared" ca="1" si="64"/>
        <v/>
      </c>
      <c r="BV82" s="75" t="str">
        <f t="shared" ca="1" si="64"/>
        <v/>
      </c>
      <c r="BW82" s="75" t="str">
        <f t="shared" ca="1" si="64"/>
        <v/>
      </c>
      <c r="BX82" s="75" t="str">
        <f t="shared" ca="1" si="64"/>
        <v/>
      </c>
      <c r="BY82" s="75" t="str">
        <f t="shared" ca="1" si="64"/>
        <v/>
      </c>
      <c r="BZ82" s="75" t="str">
        <f t="shared" ca="1" si="64"/>
        <v/>
      </c>
      <c r="CA82" s="75" t="str">
        <f t="shared" ca="1" si="64"/>
        <v/>
      </c>
      <c r="CB82" s="75" t="str">
        <f t="shared" ca="1" si="64"/>
        <v/>
      </c>
      <c r="CC82" s="75" t="str">
        <f t="shared" ca="1" si="64"/>
        <v/>
      </c>
      <c r="CD82" s="75" t="str">
        <f t="shared" ca="1" si="64"/>
        <v/>
      </c>
      <c r="CE82" s="75" t="str">
        <f t="shared" ca="1" si="68"/>
        <v/>
      </c>
      <c r="CF82" s="75" t="str">
        <f t="shared" ca="1" si="68"/>
        <v/>
      </c>
      <c r="CG82" s="74" t="str">
        <f t="shared" ca="1" si="68"/>
        <v/>
      </c>
      <c r="CH82" s="74" t="str">
        <f t="shared" ca="1" si="68"/>
        <v/>
      </c>
      <c r="CI82" s="74" t="str">
        <f t="shared" ca="1" si="68"/>
        <v/>
      </c>
      <c r="CJ82" s="74" t="str">
        <f t="shared" ca="1" si="68"/>
        <v/>
      </c>
      <c r="CK82" s="74" t="str">
        <f t="shared" ca="1" si="68"/>
        <v/>
      </c>
      <c r="CL82" s="74" t="str">
        <f t="shared" ca="1" si="68"/>
        <v/>
      </c>
      <c r="CM82" s="74" t="str">
        <f t="shared" ca="1" si="68"/>
        <v/>
      </c>
      <c r="CN82" s="74" t="str">
        <f t="shared" ca="1" si="68"/>
        <v/>
      </c>
      <c r="CO82" s="74" t="str">
        <f t="shared" ca="1" si="68"/>
        <v/>
      </c>
      <c r="CP82" s="74" t="str">
        <f t="shared" ca="1" si="68"/>
        <v/>
      </c>
      <c r="CQ82" s="74" t="str">
        <f t="shared" ca="1" si="68"/>
        <v/>
      </c>
      <c r="CR82" s="74" t="str">
        <f t="shared" ca="1" si="68"/>
        <v/>
      </c>
      <c r="CS82" s="74" t="str">
        <f t="shared" ca="1" si="68"/>
        <v/>
      </c>
      <c r="CT82" s="74" t="str">
        <f t="shared" ca="1" si="68"/>
        <v/>
      </c>
      <c r="CU82" s="74" t="str">
        <f t="shared" ca="1" si="65"/>
        <v/>
      </c>
      <c r="CV82" s="74" t="str">
        <f t="shared" ca="1" si="65"/>
        <v/>
      </c>
      <c r="CW82" s="74" t="str">
        <f t="shared" ca="1" si="65"/>
        <v/>
      </c>
      <c r="CX82" s="74" t="str">
        <f t="shared" ca="1" si="65"/>
        <v/>
      </c>
      <c r="CY82" s="74" t="str">
        <f t="shared" ca="1" si="65"/>
        <v/>
      </c>
      <c r="CZ82" s="75" t="str">
        <f t="shared" ca="1" si="65"/>
        <v/>
      </c>
      <c r="DA82" s="75" t="str">
        <f t="shared" ca="1" si="65"/>
        <v/>
      </c>
      <c r="DB82" s="75" t="str">
        <f t="shared" ca="1" si="65"/>
        <v/>
      </c>
      <c r="DC82" s="75" t="str">
        <f t="shared" ca="1" si="65"/>
        <v/>
      </c>
      <c r="DD82" s="75" t="str">
        <f t="shared" ca="1" si="65"/>
        <v/>
      </c>
      <c r="DE82" s="75" t="str">
        <f t="shared" ca="1" si="65"/>
        <v/>
      </c>
      <c r="DF82" s="75" t="str">
        <f t="shared" ca="1" si="65"/>
        <v/>
      </c>
      <c r="DG82" s="75" t="str">
        <f t="shared" ca="1" si="65"/>
        <v/>
      </c>
      <c r="DH82" s="75" t="str">
        <f t="shared" ca="1" si="65"/>
        <v/>
      </c>
      <c r="DI82" s="75" t="str">
        <f t="shared" ca="1" si="65"/>
        <v/>
      </c>
      <c r="DJ82" s="75" t="str">
        <f t="shared" ca="1" si="65"/>
        <v/>
      </c>
      <c r="DK82" s="75" t="str">
        <f t="shared" ca="1" si="69"/>
        <v/>
      </c>
      <c r="DL82" s="75" t="str">
        <f t="shared" ca="1" si="69"/>
        <v/>
      </c>
      <c r="DM82" s="75" t="str">
        <f t="shared" ca="1" si="69"/>
        <v/>
      </c>
      <c r="DN82" s="75" t="str">
        <f t="shared" ca="1" si="69"/>
        <v/>
      </c>
      <c r="DO82" s="75" t="str">
        <f t="shared" ca="1" si="69"/>
        <v/>
      </c>
      <c r="DP82" s="75" t="str">
        <f t="shared" ca="1" si="69"/>
        <v/>
      </c>
      <c r="DQ82" s="75" t="str">
        <f t="shared" ca="1" si="69"/>
        <v/>
      </c>
      <c r="DR82" s="75" t="str">
        <f t="shared" ca="1" si="69"/>
        <v/>
      </c>
      <c r="DS82" s="74" t="str">
        <f t="shared" ca="1" si="69"/>
        <v/>
      </c>
      <c r="DT82" s="74" t="str">
        <f t="shared" ca="1" si="69"/>
        <v/>
      </c>
      <c r="DU82" s="74" t="str">
        <f t="shared" ca="1" si="69"/>
        <v/>
      </c>
      <c r="DV82" s="74" t="str">
        <f t="shared" ca="1" si="69"/>
        <v/>
      </c>
      <c r="DW82" s="74" t="str">
        <f t="shared" ca="1" si="69"/>
        <v/>
      </c>
      <c r="DX82" s="74" t="str">
        <f t="shared" ca="1" si="69"/>
        <v/>
      </c>
      <c r="DY82" s="74" t="str">
        <f t="shared" ca="1" si="69"/>
        <v/>
      </c>
      <c r="DZ82" s="74" t="str">
        <f t="shared" ca="1" si="69"/>
        <v/>
      </c>
      <c r="EA82" s="74" t="str">
        <f t="shared" ca="1" si="66"/>
        <v/>
      </c>
      <c r="EB82" s="74" t="str">
        <f t="shared" ca="1" si="66"/>
        <v/>
      </c>
      <c r="EC82" s="74" t="str">
        <f t="shared" ca="1" si="66"/>
        <v/>
      </c>
      <c r="ED82" s="74" t="str">
        <f t="shared" ca="1" si="66"/>
        <v/>
      </c>
      <c r="EE82" s="74" t="str">
        <f t="shared" ca="1" si="66"/>
        <v/>
      </c>
      <c r="EF82" s="74" t="str">
        <f t="shared" ca="1" si="66"/>
        <v/>
      </c>
      <c r="EG82" s="74" t="str">
        <f t="shared" ca="1" si="66"/>
        <v/>
      </c>
      <c r="EH82" s="74" t="str">
        <f t="shared" ca="1" si="66"/>
        <v/>
      </c>
      <c r="EI82" s="74" t="str">
        <f t="shared" ca="1" si="66"/>
        <v/>
      </c>
      <c r="EJ82" s="74" t="str">
        <f t="shared" ca="1" si="66"/>
        <v/>
      </c>
      <c r="EK82" s="75" t="str">
        <f t="shared" ca="1" si="66"/>
        <v/>
      </c>
      <c r="EL82" s="75" t="str">
        <f t="shared" ca="1" si="66"/>
        <v/>
      </c>
      <c r="EM82" s="75" t="str">
        <f t="shared" ca="1" si="66"/>
        <v/>
      </c>
      <c r="EN82" s="75" t="str">
        <f t="shared" ca="1" si="66"/>
        <v/>
      </c>
      <c r="EO82" s="75" t="str">
        <f t="shared" ca="1" si="66"/>
        <v/>
      </c>
      <c r="EP82" s="75" t="str">
        <f t="shared" ca="1" si="66"/>
        <v/>
      </c>
      <c r="EQ82" s="75" t="str">
        <f t="shared" ca="1" si="70"/>
        <v/>
      </c>
      <c r="ER82" s="75" t="str">
        <f t="shared" ca="1" si="70"/>
        <v/>
      </c>
      <c r="ES82" s="75" t="str">
        <f t="shared" ca="1" si="70"/>
        <v/>
      </c>
      <c r="ET82" s="75" t="str">
        <f t="shared" ca="1" si="70"/>
        <v/>
      </c>
      <c r="EU82" s="75" t="str">
        <f t="shared" ca="1" si="70"/>
        <v/>
      </c>
      <c r="EV82" s="75" t="str">
        <f t="shared" ca="1" si="70"/>
        <v/>
      </c>
      <c r="EW82" s="75" t="str">
        <f t="shared" ca="1" si="70"/>
        <v/>
      </c>
      <c r="EX82" s="75" t="str">
        <f t="shared" ca="1" si="70"/>
        <v/>
      </c>
      <c r="EY82" s="75" t="str">
        <f t="shared" ca="1" si="70"/>
        <v/>
      </c>
      <c r="EZ82" s="75" t="str">
        <f t="shared" ca="1" si="70"/>
        <v/>
      </c>
      <c r="FA82" s="75" t="str">
        <f t="shared" ca="1" si="70"/>
        <v/>
      </c>
      <c r="FB82" s="75" t="str">
        <f t="shared" ca="1" si="70"/>
        <v/>
      </c>
      <c r="FC82" s="76" t="str">
        <f t="shared" ca="1" si="70"/>
        <v/>
      </c>
      <c r="FD82" s="74" t="str">
        <f t="shared" ca="1" si="70"/>
        <v/>
      </c>
      <c r="FE82" s="74" t="str">
        <f t="shared" ca="1" si="70"/>
        <v/>
      </c>
      <c r="FF82" s="74" t="str">
        <f t="shared" ca="1" si="70"/>
        <v/>
      </c>
      <c r="FG82" s="74" t="str">
        <f t="shared" ca="1" si="58"/>
        <v/>
      </c>
      <c r="FH82" s="74" t="str">
        <f t="shared" ca="1" si="58"/>
        <v/>
      </c>
      <c r="FI82" s="74" t="str">
        <f t="shared" ca="1" si="58"/>
        <v/>
      </c>
      <c r="FJ82" s="74" t="str">
        <f t="shared" ca="1" si="58"/>
        <v/>
      </c>
      <c r="FK82" s="74" t="str">
        <f t="shared" ca="1" si="58"/>
        <v/>
      </c>
      <c r="FL82" s="74" t="str">
        <f t="shared" ca="1" si="58"/>
        <v/>
      </c>
      <c r="FM82" s="74" t="str">
        <f t="shared" ca="1" si="58"/>
        <v/>
      </c>
      <c r="FN82" s="74" t="str">
        <f t="shared" ca="1" si="58"/>
        <v/>
      </c>
      <c r="FO82" s="74" t="str">
        <f t="shared" ca="1" si="58"/>
        <v/>
      </c>
      <c r="FP82" s="74" t="str">
        <f t="shared" ca="1" si="58"/>
        <v/>
      </c>
      <c r="FQ82" s="74" t="str">
        <f t="shared" ca="1" si="58"/>
        <v/>
      </c>
      <c r="FR82" s="74" t="str">
        <f t="shared" ca="1" si="58"/>
        <v/>
      </c>
      <c r="FS82" s="74" t="str">
        <f t="shared" ca="1" si="58"/>
        <v/>
      </c>
      <c r="FT82" s="74" t="str">
        <f t="shared" ca="1" si="58"/>
        <v/>
      </c>
    </row>
    <row r="83" spans="1:176" x14ac:dyDescent="0.35">
      <c r="A83" s="74"/>
      <c r="B83" s="74" t="str">
        <f t="shared" ca="1" si="62"/>
        <v/>
      </c>
      <c r="C83" s="74" t="str">
        <f t="shared" ca="1" si="62"/>
        <v/>
      </c>
      <c r="D83" s="74" t="str">
        <f t="shared" ca="1" si="62"/>
        <v/>
      </c>
      <c r="E83" s="74" t="str">
        <f t="shared" ca="1" si="62"/>
        <v/>
      </c>
      <c r="F83" t="str">
        <f t="shared" ca="1" si="63"/>
        <v/>
      </c>
      <c r="G83" t="str">
        <f t="shared" ca="1" si="63"/>
        <v/>
      </c>
      <c r="H83" t="str">
        <f t="shared" ca="1" si="63"/>
        <v/>
      </c>
      <c r="I83" s="74" t="str">
        <f t="shared" ca="1" si="62"/>
        <v/>
      </c>
      <c r="J83" s="74" t="str">
        <f t="shared" ca="1" si="62"/>
        <v/>
      </c>
      <c r="K83" s="74" t="str">
        <f t="shared" ca="1" si="62"/>
        <v/>
      </c>
      <c r="L83" s="74" t="str">
        <f t="shared" ca="1" si="62"/>
        <v/>
      </c>
      <c r="M83" s="74" t="str">
        <f t="shared" ca="1" si="62"/>
        <v/>
      </c>
      <c r="N83" s="74" t="str">
        <f t="shared" ca="1" si="62"/>
        <v/>
      </c>
      <c r="O83" s="74" t="str">
        <f t="shared" ca="1" si="62"/>
        <v/>
      </c>
      <c r="P83" s="74" t="str">
        <f t="shared" ca="1" si="62"/>
        <v/>
      </c>
      <c r="Q83" s="74" t="str">
        <f t="shared" ca="1" si="62"/>
        <v/>
      </c>
      <c r="R83" s="74" t="str">
        <f t="shared" ca="1" si="62"/>
        <v/>
      </c>
      <c r="S83" s="74" t="str">
        <f t="shared" ref="B83:S99" ca="1" si="72">IF($A83="", "", IF(INDIRECT($A83&amp; "!"&amp; S$2)="", "", INDIRECT($A83&amp; "!"&amp; S$2)))</f>
        <v/>
      </c>
      <c r="T83" s="74" t="str">
        <f t="shared" ca="1" si="59"/>
        <v/>
      </c>
      <c r="U83" s="74" t="str">
        <f t="shared" ca="1" si="59"/>
        <v/>
      </c>
      <c r="V83" s="74" t="str">
        <f t="shared" ca="1" si="59"/>
        <v/>
      </c>
      <c r="W83" s="74" t="str">
        <f t="shared" ca="1" si="59"/>
        <v/>
      </c>
      <c r="X83" s="74" t="str">
        <f t="shared" ca="1" si="59"/>
        <v/>
      </c>
      <c r="Y83" s="74" t="str">
        <f t="shared" ca="1" si="59"/>
        <v/>
      </c>
      <c r="Z83" s="74" t="str">
        <f t="shared" ca="1" si="59"/>
        <v/>
      </c>
      <c r="AA83" s="74" t="str">
        <f t="shared" ca="1" si="59"/>
        <v/>
      </c>
      <c r="AB83" s="75" t="str">
        <f t="shared" ca="1" si="59"/>
        <v/>
      </c>
      <c r="AC83" s="75" t="str">
        <f t="shared" ca="1" si="59"/>
        <v/>
      </c>
      <c r="AD83" s="75" t="str">
        <f t="shared" ca="1" si="59"/>
        <v/>
      </c>
      <c r="AE83" s="75" t="str">
        <f t="shared" ca="1" si="59"/>
        <v/>
      </c>
      <c r="AF83" s="75" t="str">
        <f t="shared" ca="1" si="59"/>
        <v/>
      </c>
      <c r="AG83" s="75" t="str">
        <f t="shared" ca="1" si="59"/>
        <v/>
      </c>
      <c r="AH83" s="75" t="str">
        <f t="shared" ref="T83:AI99" ca="1" si="73">IF($A83="", "", IF(INDIRECT($A83&amp; "!"&amp; AH$2)="", "", INDIRECT($A83&amp; "!"&amp; AH$2)))</f>
        <v/>
      </c>
      <c r="AI83" s="75" t="str">
        <f t="shared" ca="1" si="71"/>
        <v/>
      </c>
      <c r="AJ83" s="75" t="str">
        <f t="shared" ca="1" si="71"/>
        <v/>
      </c>
      <c r="AK83" s="75" t="str">
        <f t="shared" ca="1" si="71"/>
        <v/>
      </c>
      <c r="AL83" s="75" t="str">
        <f t="shared" ca="1" si="71"/>
        <v/>
      </c>
      <c r="AM83" s="75" t="str">
        <f t="shared" ca="1" si="71"/>
        <v/>
      </c>
      <c r="AN83" s="75" t="str">
        <f t="shared" ca="1" si="71"/>
        <v/>
      </c>
      <c r="AO83" s="75" t="str">
        <f t="shared" ca="1" si="71"/>
        <v/>
      </c>
      <c r="AP83" s="75" t="str">
        <f t="shared" ca="1" si="71"/>
        <v/>
      </c>
      <c r="AQ83" s="75" t="str">
        <f t="shared" ca="1" si="71"/>
        <v/>
      </c>
      <c r="AR83" s="75" t="str">
        <f t="shared" ca="1" si="71"/>
        <v/>
      </c>
      <c r="AS83" s="75" t="str">
        <f t="shared" ca="1" si="71"/>
        <v/>
      </c>
      <c r="AT83" s="75" t="str">
        <f t="shared" ca="1" si="71"/>
        <v/>
      </c>
      <c r="AU83" s="74" t="str">
        <f t="shared" ca="1" si="71"/>
        <v/>
      </c>
      <c r="AV83" s="74" t="str">
        <f t="shared" ca="1" si="71"/>
        <v/>
      </c>
      <c r="AW83" s="74" t="str">
        <f t="shared" ca="1" si="71"/>
        <v/>
      </c>
      <c r="AX83" s="74" t="str">
        <f t="shared" ca="1" si="71"/>
        <v/>
      </c>
      <c r="AY83" s="74" t="str">
        <f t="shared" ca="1" si="67"/>
        <v/>
      </c>
      <c r="AZ83" s="74" t="str">
        <f t="shared" ca="1" si="67"/>
        <v/>
      </c>
      <c r="BA83" s="74" t="str">
        <f t="shared" ca="1" si="67"/>
        <v/>
      </c>
      <c r="BB83" s="74" t="str">
        <f t="shared" ca="1" si="67"/>
        <v/>
      </c>
      <c r="BC83" s="74" t="str">
        <f t="shared" ca="1" si="67"/>
        <v/>
      </c>
      <c r="BD83" s="74" t="str">
        <f t="shared" ca="1" si="67"/>
        <v/>
      </c>
      <c r="BE83" s="74" t="str">
        <f t="shared" ca="1" si="67"/>
        <v/>
      </c>
      <c r="BF83" s="74" t="str">
        <f t="shared" ca="1" si="67"/>
        <v/>
      </c>
      <c r="BG83" s="74" t="str">
        <f t="shared" ca="1" si="67"/>
        <v/>
      </c>
      <c r="BH83" s="74" t="str">
        <f t="shared" ca="1" si="67"/>
        <v/>
      </c>
      <c r="BI83" s="74" t="str">
        <f t="shared" ca="1" si="67"/>
        <v/>
      </c>
      <c r="BJ83" s="74" t="str">
        <f t="shared" ca="1" si="67"/>
        <v/>
      </c>
      <c r="BK83" s="74" t="str">
        <f t="shared" ca="1" si="67"/>
        <v/>
      </c>
      <c r="BL83" s="74" t="str">
        <f t="shared" ca="1" si="67"/>
        <v/>
      </c>
      <c r="BM83" s="74" t="str">
        <f t="shared" ca="1" si="67"/>
        <v/>
      </c>
      <c r="BN83" s="75" t="str">
        <f t="shared" ca="1" si="67"/>
        <v/>
      </c>
      <c r="BO83" s="75" t="str">
        <f t="shared" ca="1" si="64"/>
        <v/>
      </c>
      <c r="BP83" s="75" t="str">
        <f t="shared" ca="1" si="64"/>
        <v/>
      </c>
      <c r="BQ83" s="75" t="str">
        <f t="shared" ca="1" si="64"/>
        <v/>
      </c>
      <c r="BR83" s="75" t="str">
        <f t="shared" ca="1" si="64"/>
        <v/>
      </c>
      <c r="BS83" s="75" t="str">
        <f t="shared" ca="1" si="64"/>
        <v/>
      </c>
      <c r="BT83" s="75" t="str">
        <f t="shared" ca="1" si="64"/>
        <v/>
      </c>
      <c r="BU83" s="75" t="str">
        <f t="shared" ca="1" si="64"/>
        <v/>
      </c>
      <c r="BV83" s="75" t="str">
        <f t="shared" ca="1" si="64"/>
        <v/>
      </c>
      <c r="BW83" s="75" t="str">
        <f t="shared" ca="1" si="64"/>
        <v/>
      </c>
      <c r="BX83" s="75" t="str">
        <f t="shared" ca="1" si="64"/>
        <v/>
      </c>
      <c r="BY83" s="75" t="str">
        <f t="shared" ca="1" si="64"/>
        <v/>
      </c>
      <c r="BZ83" s="75" t="str">
        <f t="shared" ca="1" si="64"/>
        <v/>
      </c>
      <c r="CA83" s="75" t="str">
        <f t="shared" ca="1" si="64"/>
        <v/>
      </c>
      <c r="CB83" s="75" t="str">
        <f t="shared" ca="1" si="64"/>
        <v/>
      </c>
      <c r="CC83" s="75" t="str">
        <f t="shared" ca="1" si="64"/>
        <v/>
      </c>
      <c r="CD83" s="75" t="str">
        <f t="shared" ca="1" si="64"/>
        <v/>
      </c>
      <c r="CE83" s="75" t="str">
        <f t="shared" ca="1" si="68"/>
        <v/>
      </c>
      <c r="CF83" s="75" t="str">
        <f t="shared" ca="1" si="68"/>
        <v/>
      </c>
      <c r="CG83" s="74" t="str">
        <f t="shared" ca="1" si="68"/>
        <v/>
      </c>
      <c r="CH83" s="74" t="str">
        <f t="shared" ca="1" si="68"/>
        <v/>
      </c>
      <c r="CI83" s="74" t="str">
        <f t="shared" ca="1" si="68"/>
        <v/>
      </c>
      <c r="CJ83" s="74" t="str">
        <f t="shared" ca="1" si="68"/>
        <v/>
      </c>
      <c r="CK83" s="74" t="str">
        <f t="shared" ca="1" si="68"/>
        <v/>
      </c>
      <c r="CL83" s="74" t="str">
        <f t="shared" ca="1" si="68"/>
        <v/>
      </c>
      <c r="CM83" s="74" t="str">
        <f t="shared" ca="1" si="68"/>
        <v/>
      </c>
      <c r="CN83" s="74" t="str">
        <f t="shared" ca="1" si="68"/>
        <v/>
      </c>
      <c r="CO83" s="74" t="str">
        <f t="shared" ca="1" si="68"/>
        <v/>
      </c>
      <c r="CP83" s="74" t="str">
        <f t="shared" ca="1" si="68"/>
        <v/>
      </c>
      <c r="CQ83" s="74" t="str">
        <f t="shared" ca="1" si="68"/>
        <v/>
      </c>
      <c r="CR83" s="74" t="str">
        <f t="shared" ca="1" si="68"/>
        <v/>
      </c>
      <c r="CS83" s="74" t="str">
        <f t="shared" ca="1" si="68"/>
        <v/>
      </c>
      <c r="CT83" s="74" t="str">
        <f t="shared" ca="1" si="68"/>
        <v/>
      </c>
      <c r="CU83" s="74" t="str">
        <f t="shared" ca="1" si="65"/>
        <v/>
      </c>
      <c r="CV83" s="74" t="str">
        <f t="shared" ca="1" si="65"/>
        <v/>
      </c>
      <c r="CW83" s="74" t="str">
        <f t="shared" ca="1" si="65"/>
        <v/>
      </c>
      <c r="CX83" s="74" t="str">
        <f t="shared" ca="1" si="65"/>
        <v/>
      </c>
      <c r="CY83" s="74" t="str">
        <f t="shared" ca="1" si="65"/>
        <v/>
      </c>
      <c r="CZ83" s="75" t="str">
        <f t="shared" ca="1" si="65"/>
        <v/>
      </c>
      <c r="DA83" s="75" t="str">
        <f t="shared" ca="1" si="65"/>
        <v/>
      </c>
      <c r="DB83" s="75" t="str">
        <f t="shared" ca="1" si="65"/>
        <v/>
      </c>
      <c r="DC83" s="75" t="str">
        <f t="shared" ca="1" si="65"/>
        <v/>
      </c>
      <c r="DD83" s="75" t="str">
        <f t="shared" ca="1" si="65"/>
        <v/>
      </c>
      <c r="DE83" s="75" t="str">
        <f t="shared" ca="1" si="65"/>
        <v/>
      </c>
      <c r="DF83" s="75" t="str">
        <f t="shared" ca="1" si="65"/>
        <v/>
      </c>
      <c r="DG83" s="75" t="str">
        <f t="shared" ca="1" si="65"/>
        <v/>
      </c>
      <c r="DH83" s="75" t="str">
        <f t="shared" ca="1" si="65"/>
        <v/>
      </c>
      <c r="DI83" s="75" t="str">
        <f t="shared" ca="1" si="65"/>
        <v/>
      </c>
      <c r="DJ83" s="75" t="str">
        <f t="shared" ca="1" si="65"/>
        <v/>
      </c>
      <c r="DK83" s="75" t="str">
        <f t="shared" ca="1" si="69"/>
        <v/>
      </c>
      <c r="DL83" s="75" t="str">
        <f t="shared" ca="1" si="69"/>
        <v/>
      </c>
      <c r="DM83" s="75" t="str">
        <f t="shared" ca="1" si="69"/>
        <v/>
      </c>
      <c r="DN83" s="75" t="str">
        <f t="shared" ca="1" si="69"/>
        <v/>
      </c>
      <c r="DO83" s="75" t="str">
        <f t="shared" ca="1" si="69"/>
        <v/>
      </c>
      <c r="DP83" s="75" t="str">
        <f t="shared" ca="1" si="69"/>
        <v/>
      </c>
      <c r="DQ83" s="75" t="str">
        <f t="shared" ca="1" si="69"/>
        <v/>
      </c>
      <c r="DR83" s="75" t="str">
        <f t="shared" ca="1" si="69"/>
        <v/>
      </c>
      <c r="DS83" s="74" t="str">
        <f t="shared" ca="1" si="69"/>
        <v/>
      </c>
      <c r="DT83" s="74" t="str">
        <f t="shared" ca="1" si="69"/>
        <v/>
      </c>
      <c r="DU83" s="74" t="str">
        <f t="shared" ca="1" si="69"/>
        <v/>
      </c>
      <c r="DV83" s="74" t="str">
        <f t="shared" ca="1" si="69"/>
        <v/>
      </c>
      <c r="DW83" s="74" t="str">
        <f t="shared" ca="1" si="69"/>
        <v/>
      </c>
      <c r="DX83" s="74" t="str">
        <f t="shared" ca="1" si="69"/>
        <v/>
      </c>
      <c r="DY83" s="74" t="str">
        <f t="shared" ca="1" si="69"/>
        <v/>
      </c>
      <c r="DZ83" s="74" t="str">
        <f t="shared" ca="1" si="69"/>
        <v/>
      </c>
      <c r="EA83" s="74" t="str">
        <f t="shared" ca="1" si="66"/>
        <v/>
      </c>
      <c r="EB83" s="74" t="str">
        <f t="shared" ca="1" si="66"/>
        <v/>
      </c>
      <c r="EC83" s="74" t="str">
        <f t="shared" ca="1" si="66"/>
        <v/>
      </c>
      <c r="ED83" s="74" t="str">
        <f t="shared" ca="1" si="66"/>
        <v/>
      </c>
      <c r="EE83" s="74" t="str">
        <f t="shared" ca="1" si="66"/>
        <v/>
      </c>
      <c r="EF83" s="74" t="str">
        <f t="shared" ca="1" si="66"/>
        <v/>
      </c>
      <c r="EG83" s="74" t="str">
        <f t="shared" ca="1" si="66"/>
        <v/>
      </c>
      <c r="EH83" s="74" t="str">
        <f t="shared" ca="1" si="66"/>
        <v/>
      </c>
      <c r="EI83" s="74" t="str">
        <f t="shared" ca="1" si="66"/>
        <v/>
      </c>
      <c r="EJ83" s="74" t="str">
        <f t="shared" ca="1" si="66"/>
        <v/>
      </c>
      <c r="EK83" s="75" t="str">
        <f t="shared" ca="1" si="66"/>
        <v/>
      </c>
      <c r="EL83" s="75" t="str">
        <f t="shared" ca="1" si="66"/>
        <v/>
      </c>
      <c r="EM83" s="75" t="str">
        <f t="shared" ca="1" si="66"/>
        <v/>
      </c>
      <c r="EN83" s="75" t="str">
        <f t="shared" ca="1" si="66"/>
        <v/>
      </c>
      <c r="EO83" s="75" t="str">
        <f t="shared" ca="1" si="66"/>
        <v/>
      </c>
      <c r="EP83" s="75" t="str">
        <f t="shared" ca="1" si="66"/>
        <v/>
      </c>
      <c r="EQ83" s="75" t="str">
        <f t="shared" ca="1" si="70"/>
        <v/>
      </c>
      <c r="ER83" s="75" t="str">
        <f t="shared" ca="1" si="70"/>
        <v/>
      </c>
      <c r="ES83" s="75" t="str">
        <f t="shared" ca="1" si="70"/>
        <v/>
      </c>
      <c r="ET83" s="75" t="str">
        <f t="shared" ca="1" si="70"/>
        <v/>
      </c>
      <c r="EU83" s="75" t="str">
        <f t="shared" ca="1" si="70"/>
        <v/>
      </c>
      <c r="EV83" s="75" t="str">
        <f t="shared" ca="1" si="70"/>
        <v/>
      </c>
      <c r="EW83" s="75" t="str">
        <f t="shared" ca="1" si="70"/>
        <v/>
      </c>
      <c r="EX83" s="75" t="str">
        <f t="shared" ca="1" si="70"/>
        <v/>
      </c>
      <c r="EY83" s="75" t="str">
        <f t="shared" ca="1" si="70"/>
        <v/>
      </c>
      <c r="EZ83" s="75" t="str">
        <f t="shared" ca="1" si="70"/>
        <v/>
      </c>
      <c r="FA83" s="75" t="str">
        <f t="shared" ca="1" si="70"/>
        <v/>
      </c>
      <c r="FB83" s="75" t="str">
        <f t="shared" ca="1" si="70"/>
        <v/>
      </c>
      <c r="FC83" s="76" t="str">
        <f t="shared" ca="1" si="70"/>
        <v/>
      </c>
      <c r="FD83" s="74" t="str">
        <f t="shared" ca="1" si="70"/>
        <v/>
      </c>
      <c r="FE83" s="74" t="str">
        <f t="shared" ca="1" si="70"/>
        <v/>
      </c>
      <c r="FF83" s="74" t="str">
        <f t="shared" ca="1" si="70"/>
        <v/>
      </c>
      <c r="FG83" s="74" t="str">
        <f t="shared" ca="1" si="58"/>
        <v/>
      </c>
      <c r="FH83" s="74" t="str">
        <f t="shared" ca="1" si="58"/>
        <v/>
      </c>
      <c r="FI83" s="74" t="str">
        <f t="shared" ca="1" si="58"/>
        <v/>
      </c>
      <c r="FJ83" s="74" t="str">
        <f t="shared" ca="1" si="58"/>
        <v/>
      </c>
      <c r="FK83" s="74" t="str">
        <f t="shared" ref="FG83:FT99" ca="1" si="74">IF($A83="", "", IF(INDIRECT($A83&amp; "!"&amp; FK$2)="", "", INDIRECT($A83&amp; "!"&amp; FK$2)))</f>
        <v/>
      </c>
      <c r="FL83" s="74" t="str">
        <f t="shared" ca="1" si="74"/>
        <v/>
      </c>
      <c r="FM83" s="74" t="str">
        <f t="shared" ca="1" si="74"/>
        <v/>
      </c>
      <c r="FN83" s="74" t="str">
        <f t="shared" ca="1" si="74"/>
        <v/>
      </c>
      <c r="FO83" s="74" t="str">
        <f t="shared" ca="1" si="74"/>
        <v/>
      </c>
      <c r="FP83" s="74" t="str">
        <f t="shared" ca="1" si="74"/>
        <v/>
      </c>
      <c r="FQ83" s="74" t="str">
        <f t="shared" ca="1" si="74"/>
        <v/>
      </c>
      <c r="FR83" s="74" t="str">
        <f t="shared" ca="1" si="74"/>
        <v/>
      </c>
      <c r="FS83" s="74" t="str">
        <f t="shared" ca="1" si="74"/>
        <v/>
      </c>
      <c r="FT83" s="74" t="str">
        <f t="shared" ca="1" si="74"/>
        <v/>
      </c>
    </row>
    <row r="84" spans="1:176" x14ac:dyDescent="0.35">
      <c r="A84" s="74"/>
      <c r="B84" s="74" t="str">
        <f t="shared" ca="1" si="72"/>
        <v/>
      </c>
      <c r="C84" s="74" t="str">
        <f t="shared" ca="1" si="72"/>
        <v/>
      </c>
      <c r="D84" s="74" t="str">
        <f t="shared" ca="1" si="72"/>
        <v/>
      </c>
      <c r="E84" s="74" t="str">
        <f t="shared" ca="1" si="72"/>
        <v/>
      </c>
      <c r="F84" t="str">
        <f t="shared" ca="1" si="63"/>
        <v/>
      </c>
      <c r="G84" t="str">
        <f t="shared" ca="1" si="63"/>
        <v/>
      </c>
      <c r="H84" t="str">
        <f t="shared" ca="1" si="63"/>
        <v/>
      </c>
      <c r="I84" s="74" t="str">
        <f t="shared" ca="1" si="72"/>
        <v/>
      </c>
      <c r="J84" s="74" t="str">
        <f t="shared" ca="1" si="72"/>
        <v/>
      </c>
      <c r="K84" s="74" t="str">
        <f t="shared" ca="1" si="72"/>
        <v/>
      </c>
      <c r="L84" s="74" t="str">
        <f t="shared" ca="1" si="72"/>
        <v/>
      </c>
      <c r="M84" s="74" t="str">
        <f t="shared" ca="1" si="72"/>
        <v/>
      </c>
      <c r="N84" s="74" t="str">
        <f t="shared" ca="1" si="72"/>
        <v/>
      </c>
      <c r="O84" s="74" t="str">
        <f t="shared" ca="1" si="72"/>
        <v/>
      </c>
      <c r="P84" s="74" t="str">
        <f t="shared" ca="1" si="72"/>
        <v/>
      </c>
      <c r="Q84" s="74" t="str">
        <f t="shared" ca="1" si="72"/>
        <v/>
      </c>
      <c r="R84" s="74" t="str">
        <f t="shared" ca="1" si="72"/>
        <v/>
      </c>
      <c r="S84" s="74" t="str">
        <f t="shared" ca="1" si="72"/>
        <v/>
      </c>
      <c r="T84" s="74" t="str">
        <f t="shared" ca="1" si="73"/>
        <v/>
      </c>
      <c r="U84" s="74" t="str">
        <f t="shared" ca="1" si="73"/>
        <v/>
      </c>
      <c r="V84" s="74" t="str">
        <f t="shared" ca="1" si="73"/>
        <v/>
      </c>
      <c r="W84" s="74" t="str">
        <f t="shared" ca="1" si="73"/>
        <v/>
      </c>
      <c r="X84" s="74" t="str">
        <f t="shared" ca="1" si="73"/>
        <v/>
      </c>
      <c r="Y84" s="74" t="str">
        <f t="shared" ca="1" si="73"/>
        <v/>
      </c>
      <c r="Z84" s="74" t="str">
        <f t="shared" ca="1" si="73"/>
        <v/>
      </c>
      <c r="AA84" s="74" t="str">
        <f t="shared" ca="1" si="73"/>
        <v/>
      </c>
      <c r="AB84" s="75" t="str">
        <f t="shared" ca="1" si="73"/>
        <v/>
      </c>
      <c r="AC84" s="75" t="str">
        <f t="shared" ca="1" si="73"/>
        <v/>
      </c>
      <c r="AD84" s="75" t="str">
        <f t="shared" ca="1" si="73"/>
        <v/>
      </c>
      <c r="AE84" s="75" t="str">
        <f t="shared" ca="1" si="73"/>
        <v/>
      </c>
      <c r="AF84" s="75" t="str">
        <f t="shared" ca="1" si="73"/>
        <v/>
      </c>
      <c r="AG84" s="75" t="str">
        <f t="shared" ca="1" si="73"/>
        <v/>
      </c>
      <c r="AH84" s="75" t="str">
        <f t="shared" ca="1" si="73"/>
        <v/>
      </c>
      <c r="AI84" s="75" t="str">
        <f t="shared" ca="1" si="71"/>
        <v/>
      </c>
      <c r="AJ84" s="75" t="str">
        <f t="shared" ca="1" si="71"/>
        <v/>
      </c>
      <c r="AK84" s="75" t="str">
        <f t="shared" ca="1" si="71"/>
        <v/>
      </c>
      <c r="AL84" s="75" t="str">
        <f t="shared" ca="1" si="71"/>
        <v/>
      </c>
      <c r="AM84" s="75" t="str">
        <f t="shared" ca="1" si="71"/>
        <v/>
      </c>
      <c r="AN84" s="75" t="str">
        <f t="shared" ca="1" si="71"/>
        <v/>
      </c>
      <c r="AO84" s="75" t="str">
        <f t="shared" ca="1" si="71"/>
        <v/>
      </c>
      <c r="AP84" s="75" t="str">
        <f t="shared" ca="1" si="71"/>
        <v/>
      </c>
      <c r="AQ84" s="75" t="str">
        <f t="shared" ca="1" si="71"/>
        <v/>
      </c>
      <c r="AR84" s="75" t="str">
        <f t="shared" ca="1" si="71"/>
        <v/>
      </c>
      <c r="AS84" s="75" t="str">
        <f t="shared" ca="1" si="71"/>
        <v/>
      </c>
      <c r="AT84" s="75" t="str">
        <f t="shared" ca="1" si="71"/>
        <v/>
      </c>
      <c r="AU84" s="74" t="str">
        <f t="shared" ca="1" si="71"/>
        <v/>
      </c>
      <c r="AV84" s="74" t="str">
        <f t="shared" ca="1" si="71"/>
        <v/>
      </c>
      <c r="AW84" s="74" t="str">
        <f t="shared" ca="1" si="71"/>
        <v/>
      </c>
      <c r="AX84" s="74" t="str">
        <f t="shared" ca="1" si="71"/>
        <v/>
      </c>
      <c r="AY84" s="74" t="str">
        <f t="shared" ca="1" si="67"/>
        <v/>
      </c>
      <c r="AZ84" s="74" t="str">
        <f t="shared" ca="1" si="67"/>
        <v/>
      </c>
      <c r="BA84" s="74" t="str">
        <f t="shared" ca="1" si="67"/>
        <v/>
      </c>
      <c r="BB84" s="74" t="str">
        <f t="shared" ca="1" si="67"/>
        <v/>
      </c>
      <c r="BC84" s="74" t="str">
        <f t="shared" ca="1" si="67"/>
        <v/>
      </c>
      <c r="BD84" s="74" t="str">
        <f t="shared" ca="1" si="67"/>
        <v/>
      </c>
      <c r="BE84" s="74" t="str">
        <f t="shared" ca="1" si="67"/>
        <v/>
      </c>
      <c r="BF84" s="74" t="str">
        <f t="shared" ca="1" si="67"/>
        <v/>
      </c>
      <c r="BG84" s="74" t="str">
        <f t="shared" ca="1" si="67"/>
        <v/>
      </c>
      <c r="BH84" s="74" t="str">
        <f t="shared" ca="1" si="67"/>
        <v/>
      </c>
      <c r="BI84" s="74" t="str">
        <f t="shared" ca="1" si="67"/>
        <v/>
      </c>
      <c r="BJ84" s="74" t="str">
        <f t="shared" ca="1" si="67"/>
        <v/>
      </c>
      <c r="BK84" s="74" t="str">
        <f t="shared" ca="1" si="67"/>
        <v/>
      </c>
      <c r="BL84" s="74" t="str">
        <f t="shared" ca="1" si="67"/>
        <v/>
      </c>
      <c r="BM84" s="74" t="str">
        <f t="shared" ca="1" si="67"/>
        <v/>
      </c>
      <c r="BN84" s="75" t="str">
        <f t="shared" ca="1" si="67"/>
        <v/>
      </c>
      <c r="BO84" s="75" t="str">
        <f t="shared" ca="1" si="64"/>
        <v/>
      </c>
      <c r="BP84" s="75" t="str">
        <f t="shared" ca="1" si="64"/>
        <v/>
      </c>
      <c r="BQ84" s="75" t="str">
        <f t="shared" ca="1" si="64"/>
        <v/>
      </c>
      <c r="BR84" s="75" t="str">
        <f t="shared" ca="1" si="64"/>
        <v/>
      </c>
      <c r="BS84" s="75" t="str">
        <f t="shared" ca="1" si="64"/>
        <v/>
      </c>
      <c r="BT84" s="75" t="str">
        <f t="shared" ca="1" si="64"/>
        <v/>
      </c>
      <c r="BU84" s="75" t="str">
        <f t="shared" ca="1" si="64"/>
        <v/>
      </c>
      <c r="BV84" s="75" t="str">
        <f t="shared" ca="1" si="64"/>
        <v/>
      </c>
      <c r="BW84" s="75" t="str">
        <f t="shared" ca="1" si="64"/>
        <v/>
      </c>
      <c r="BX84" s="75" t="str">
        <f t="shared" ca="1" si="64"/>
        <v/>
      </c>
      <c r="BY84" s="75" t="str">
        <f t="shared" ca="1" si="64"/>
        <v/>
      </c>
      <c r="BZ84" s="75" t="str">
        <f t="shared" ca="1" si="64"/>
        <v/>
      </c>
      <c r="CA84" s="75" t="str">
        <f t="shared" ca="1" si="64"/>
        <v/>
      </c>
      <c r="CB84" s="75" t="str">
        <f t="shared" ca="1" si="64"/>
        <v/>
      </c>
      <c r="CC84" s="75" t="str">
        <f t="shared" ca="1" si="64"/>
        <v/>
      </c>
      <c r="CD84" s="75" t="str">
        <f t="shared" ca="1" si="64"/>
        <v/>
      </c>
      <c r="CE84" s="75" t="str">
        <f t="shared" ca="1" si="68"/>
        <v/>
      </c>
      <c r="CF84" s="75" t="str">
        <f t="shared" ca="1" si="68"/>
        <v/>
      </c>
      <c r="CG84" s="74" t="str">
        <f t="shared" ca="1" si="68"/>
        <v/>
      </c>
      <c r="CH84" s="74" t="str">
        <f t="shared" ca="1" si="68"/>
        <v/>
      </c>
      <c r="CI84" s="74" t="str">
        <f t="shared" ca="1" si="68"/>
        <v/>
      </c>
      <c r="CJ84" s="74" t="str">
        <f t="shared" ca="1" si="68"/>
        <v/>
      </c>
      <c r="CK84" s="74" t="str">
        <f t="shared" ca="1" si="68"/>
        <v/>
      </c>
      <c r="CL84" s="74" t="str">
        <f t="shared" ca="1" si="68"/>
        <v/>
      </c>
      <c r="CM84" s="74" t="str">
        <f t="shared" ca="1" si="68"/>
        <v/>
      </c>
      <c r="CN84" s="74" t="str">
        <f t="shared" ca="1" si="68"/>
        <v/>
      </c>
      <c r="CO84" s="74" t="str">
        <f t="shared" ca="1" si="68"/>
        <v/>
      </c>
      <c r="CP84" s="74" t="str">
        <f t="shared" ca="1" si="68"/>
        <v/>
      </c>
      <c r="CQ84" s="74" t="str">
        <f t="shared" ca="1" si="68"/>
        <v/>
      </c>
      <c r="CR84" s="74" t="str">
        <f t="shared" ca="1" si="68"/>
        <v/>
      </c>
      <c r="CS84" s="74" t="str">
        <f t="shared" ca="1" si="68"/>
        <v/>
      </c>
      <c r="CT84" s="74" t="str">
        <f t="shared" ca="1" si="68"/>
        <v/>
      </c>
      <c r="CU84" s="74" t="str">
        <f t="shared" ca="1" si="65"/>
        <v/>
      </c>
      <c r="CV84" s="74" t="str">
        <f t="shared" ca="1" si="65"/>
        <v/>
      </c>
      <c r="CW84" s="74" t="str">
        <f t="shared" ca="1" si="65"/>
        <v/>
      </c>
      <c r="CX84" s="74" t="str">
        <f t="shared" ca="1" si="65"/>
        <v/>
      </c>
      <c r="CY84" s="74" t="str">
        <f t="shared" ca="1" si="65"/>
        <v/>
      </c>
      <c r="CZ84" s="75" t="str">
        <f t="shared" ca="1" si="65"/>
        <v/>
      </c>
      <c r="DA84" s="75" t="str">
        <f t="shared" ca="1" si="65"/>
        <v/>
      </c>
      <c r="DB84" s="75" t="str">
        <f t="shared" ca="1" si="65"/>
        <v/>
      </c>
      <c r="DC84" s="75" t="str">
        <f t="shared" ca="1" si="65"/>
        <v/>
      </c>
      <c r="DD84" s="75" t="str">
        <f t="shared" ca="1" si="65"/>
        <v/>
      </c>
      <c r="DE84" s="75" t="str">
        <f t="shared" ca="1" si="65"/>
        <v/>
      </c>
      <c r="DF84" s="75" t="str">
        <f t="shared" ca="1" si="65"/>
        <v/>
      </c>
      <c r="DG84" s="75" t="str">
        <f t="shared" ca="1" si="65"/>
        <v/>
      </c>
      <c r="DH84" s="75" t="str">
        <f t="shared" ca="1" si="65"/>
        <v/>
      </c>
      <c r="DI84" s="75" t="str">
        <f t="shared" ca="1" si="65"/>
        <v/>
      </c>
      <c r="DJ84" s="75" t="str">
        <f t="shared" ca="1" si="65"/>
        <v/>
      </c>
      <c r="DK84" s="75" t="str">
        <f t="shared" ca="1" si="69"/>
        <v/>
      </c>
      <c r="DL84" s="75" t="str">
        <f t="shared" ca="1" si="69"/>
        <v/>
      </c>
      <c r="DM84" s="75" t="str">
        <f t="shared" ca="1" si="69"/>
        <v/>
      </c>
      <c r="DN84" s="75" t="str">
        <f t="shared" ca="1" si="69"/>
        <v/>
      </c>
      <c r="DO84" s="75" t="str">
        <f t="shared" ca="1" si="69"/>
        <v/>
      </c>
      <c r="DP84" s="75" t="str">
        <f t="shared" ca="1" si="69"/>
        <v/>
      </c>
      <c r="DQ84" s="75" t="str">
        <f t="shared" ca="1" si="69"/>
        <v/>
      </c>
      <c r="DR84" s="75" t="str">
        <f t="shared" ca="1" si="69"/>
        <v/>
      </c>
      <c r="DS84" s="74" t="str">
        <f t="shared" ca="1" si="69"/>
        <v/>
      </c>
      <c r="DT84" s="74" t="str">
        <f t="shared" ca="1" si="69"/>
        <v/>
      </c>
      <c r="DU84" s="74" t="str">
        <f t="shared" ca="1" si="69"/>
        <v/>
      </c>
      <c r="DV84" s="74" t="str">
        <f t="shared" ca="1" si="69"/>
        <v/>
      </c>
      <c r="DW84" s="74" t="str">
        <f t="shared" ca="1" si="69"/>
        <v/>
      </c>
      <c r="DX84" s="74" t="str">
        <f t="shared" ca="1" si="69"/>
        <v/>
      </c>
      <c r="DY84" s="74" t="str">
        <f t="shared" ca="1" si="69"/>
        <v/>
      </c>
      <c r="DZ84" s="74" t="str">
        <f t="shared" ca="1" si="69"/>
        <v/>
      </c>
      <c r="EA84" s="74" t="str">
        <f t="shared" ca="1" si="66"/>
        <v/>
      </c>
      <c r="EB84" s="74" t="str">
        <f t="shared" ca="1" si="66"/>
        <v/>
      </c>
      <c r="EC84" s="74" t="str">
        <f t="shared" ca="1" si="66"/>
        <v/>
      </c>
      <c r="ED84" s="74" t="str">
        <f t="shared" ca="1" si="66"/>
        <v/>
      </c>
      <c r="EE84" s="74" t="str">
        <f t="shared" ca="1" si="66"/>
        <v/>
      </c>
      <c r="EF84" s="74" t="str">
        <f t="shared" ca="1" si="66"/>
        <v/>
      </c>
      <c r="EG84" s="74" t="str">
        <f t="shared" ca="1" si="66"/>
        <v/>
      </c>
      <c r="EH84" s="74" t="str">
        <f t="shared" ca="1" si="66"/>
        <v/>
      </c>
      <c r="EI84" s="74" t="str">
        <f t="shared" ca="1" si="66"/>
        <v/>
      </c>
      <c r="EJ84" s="74" t="str">
        <f t="shared" ca="1" si="66"/>
        <v/>
      </c>
      <c r="EK84" s="75" t="str">
        <f t="shared" ca="1" si="66"/>
        <v/>
      </c>
      <c r="EL84" s="75" t="str">
        <f t="shared" ca="1" si="66"/>
        <v/>
      </c>
      <c r="EM84" s="75" t="str">
        <f t="shared" ca="1" si="66"/>
        <v/>
      </c>
      <c r="EN84" s="75" t="str">
        <f t="shared" ca="1" si="66"/>
        <v/>
      </c>
      <c r="EO84" s="75" t="str">
        <f t="shared" ca="1" si="66"/>
        <v/>
      </c>
      <c r="EP84" s="75" t="str">
        <f t="shared" ca="1" si="66"/>
        <v/>
      </c>
      <c r="EQ84" s="75" t="str">
        <f t="shared" ca="1" si="70"/>
        <v/>
      </c>
      <c r="ER84" s="75" t="str">
        <f t="shared" ca="1" si="70"/>
        <v/>
      </c>
      <c r="ES84" s="75" t="str">
        <f t="shared" ca="1" si="70"/>
        <v/>
      </c>
      <c r="ET84" s="75" t="str">
        <f t="shared" ca="1" si="70"/>
        <v/>
      </c>
      <c r="EU84" s="75" t="str">
        <f t="shared" ca="1" si="70"/>
        <v/>
      </c>
      <c r="EV84" s="75" t="str">
        <f t="shared" ca="1" si="70"/>
        <v/>
      </c>
      <c r="EW84" s="75" t="str">
        <f t="shared" ca="1" si="70"/>
        <v/>
      </c>
      <c r="EX84" s="75" t="str">
        <f t="shared" ca="1" si="70"/>
        <v/>
      </c>
      <c r="EY84" s="75" t="str">
        <f t="shared" ca="1" si="70"/>
        <v/>
      </c>
      <c r="EZ84" s="75" t="str">
        <f t="shared" ca="1" si="70"/>
        <v/>
      </c>
      <c r="FA84" s="75" t="str">
        <f t="shared" ca="1" si="70"/>
        <v/>
      </c>
      <c r="FB84" s="75" t="str">
        <f t="shared" ca="1" si="70"/>
        <v/>
      </c>
      <c r="FC84" s="76" t="str">
        <f t="shared" ca="1" si="70"/>
        <v/>
      </c>
      <c r="FD84" s="74" t="str">
        <f t="shared" ca="1" si="70"/>
        <v/>
      </c>
      <c r="FE84" s="74" t="str">
        <f t="shared" ca="1" si="70"/>
        <v/>
      </c>
      <c r="FF84" s="74" t="str">
        <f t="shared" ca="1" si="70"/>
        <v/>
      </c>
      <c r="FG84" s="74" t="str">
        <f t="shared" ca="1" si="74"/>
        <v/>
      </c>
      <c r="FH84" s="74" t="str">
        <f t="shared" ca="1" si="74"/>
        <v/>
      </c>
      <c r="FI84" s="74" t="str">
        <f t="shared" ca="1" si="74"/>
        <v/>
      </c>
      <c r="FJ84" s="74" t="str">
        <f t="shared" ca="1" si="74"/>
        <v/>
      </c>
      <c r="FK84" s="74" t="str">
        <f t="shared" ca="1" si="74"/>
        <v/>
      </c>
      <c r="FL84" s="74" t="str">
        <f t="shared" ca="1" si="74"/>
        <v/>
      </c>
      <c r="FM84" s="74" t="str">
        <f t="shared" ca="1" si="74"/>
        <v/>
      </c>
      <c r="FN84" s="74" t="str">
        <f t="shared" ca="1" si="74"/>
        <v/>
      </c>
      <c r="FO84" s="74" t="str">
        <f t="shared" ca="1" si="74"/>
        <v/>
      </c>
      <c r="FP84" s="74" t="str">
        <f t="shared" ca="1" si="74"/>
        <v/>
      </c>
      <c r="FQ84" s="74" t="str">
        <f t="shared" ca="1" si="74"/>
        <v/>
      </c>
      <c r="FR84" s="74" t="str">
        <f t="shared" ca="1" si="74"/>
        <v/>
      </c>
      <c r="FS84" s="74" t="str">
        <f t="shared" ca="1" si="74"/>
        <v/>
      </c>
      <c r="FT84" s="74" t="str">
        <f t="shared" ca="1" si="74"/>
        <v/>
      </c>
    </row>
    <row r="85" spans="1:176" x14ac:dyDescent="0.35">
      <c r="A85" s="74"/>
      <c r="B85" s="74" t="str">
        <f t="shared" ca="1" si="72"/>
        <v/>
      </c>
      <c r="C85" s="74" t="str">
        <f t="shared" ca="1" si="72"/>
        <v/>
      </c>
      <c r="D85" s="74" t="str">
        <f t="shared" ca="1" si="72"/>
        <v/>
      </c>
      <c r="E85" s="74" t="str">
        <f t="shared" ca="1" si="72"/>
        <v/>
      </c>
      <c r="F85" t="str">
        <f t="shared" ca="1" si="63"/>
        <v/>
      </c>
      <c r="G85" t="str">
        <f t="shared" ca="1" si="63"/>
        <v/>
      </c>
      <c r="H85" t="str">
        <f t="shared" ca="1" si="63"/>
        <v/>
      </c>
      <c r="I85" s="74" t="str">
        <f t="shared" ca="1" si="72"/>
        <v/>
      </c>
      <c r="J85" s="74" t="str">
        <f t="shared" ca="1" si="72"/>
        <v/>
      </c>
      <c r="K85" s="74" t="str">
        <f t="shared" ca="1" si="72"/>
        <v/>
      </c>
      <c r="L85" s="74" t="str">
        <f t="shared" ca="1" si="72"/>
        <v/>
      </c>
      <c r="M85" s="74" t="str">
        <f t="shared" ca="1" si="72"/>
        <v/>
      </c>
      <c r="N85" s="74" t="str">
        <f t="shared" ca="1" si="72"/>
        <v/>
      </c>
      <c r="O85" s="74" t="str">
        <f t="shared" ca="1" si="72"/>
        <v/>
      </c>
      <c r="P85" s="74" t="str">
        <f t="shared" ca="1" si="72"/>
        <v/>
      </c>
      <c r="Q85" s="74" t="str">
        <f t="shared" ca="1" si="72"/>
        <v/>
      </c>
      <c r="R85" s="74" t="str">
        <f t="shared" ca="1" si="72"/>
        <v/>
      </c>
      <c r="S85" s="74" t="str">
        <f t="shared" ca="1" si="72"/>
        <v/>
      </c>
      <c r="T85" s="74" t="str">
        <f t="shared" ca="1" si="73"/>
        <v/>
      </c>
      <c r="U85" s="74" t="str">
        <f t="shared" ca="1" si="73"/>
        <v/>
      </c>
      <c r="V85" s="74" t="str">
        <f t="shared" ca="1" si="73"/>
        <v/>
      </c>
      <c r="W85" s="74" t="str">
        <f t="shared" ca="1" si="73"/>
        <v/>
      </c>
      <c r="X85" s="74" t="str">
        <f t="shared" ca="1" si="73"/>
        <v/>
      </c>
      <c r="Y85" s="74" t="str">
        <f t="shared" ca="1" si="73"/>
        <v/>
      </c>
      <c r="Z85" s="74" t="str">
        <f t="shared" ca="1" si="73"/>
        <v/>
      </c>
      <c r="AA85" s="74" t="str">
        <f t="shared" ca="1" si="73"/>
        <v/>
      </c>
      <c r="AB85" s="75" t="str">
        <f t="shared" ca="1" si="73"/>
        <v/>
      </c>
      <c r="AC85" s="75" t="str">
        <f t="shared" ca="1" si="73"/>
        <v/>
      </c>
      <c r="AD85" s="75" t="str">
        <f t="shared" ca="1" si="73"/>
        <v/>
      </c>
      <c r="AE85" s="75" t="str">
        <f t="shared" ca="1" si="73"/>
        <v/>
      </c>
      <c r="AF85" s="75" t="str">
        <f t="shared" ca="1" si="73"/>
        <v/>
      </c>
      <c r="AG85" s="75" t="str">
        <f t="shared" ca="1" si="73"/>
        <v/>
      </c>
      <c r="AH85" s="75" t="str">
        <f t="shared" ca="1" si="73"/>
        <v/>
      </c>
      <c r="AI85" s="75" t="str">
        <f t="shared" ca="1" si="71"/>
        <v/>
      </c>
      <c r="AJ85" s="75" t="str">
        <f t="shared" ca="1" si="71"/>
        <v/>
      </c>
      <c r="AK85" s="75" t="str">
        <f t="shared" ca="1" si="71"/>
        <v/>
      </c>
      <c r="AL85" s="75" t="str">
        <f t="shared" ca="1" si="71"/>
        <v/>
      </c>
      <c r="AM85" s="75" t="str">
        <f t="shared" ca="1" si="71"/>
        <v/>
      </c>
      <c r="AN85" s="75" t="str">
        <f t="shared" ca="1" si="71"/>
        <v/>
      </c>
      <c r="AO85" s="75" t="str">
        <f t="shared" ca="1" si="71"/>
        <v/>
      </c>
      <c r="AP85" s="75" t="str">
        <f t="shared" ca="1" si="71"/>
        <v/>
      </c>
      <c r="AQ85" s="75" t="str">
        <f t="shared" ca="1" si="71"/>
        <v/>
      </c>
      <c r="AR85" s="75" t="str">
        <f t="shared" ca="1" si="71"/>
        <v/>
      </c>
      <c r="AS85" s="75" t="str">
        <f t="shared" ca="1" si="71"/>
        <v/>
      </c>
      <c r="AT85" s="75" t="str">
        <f t="shared" ca="1" si="71"/>
        <v/>
      </c>
      <c r="AU85" s="74" t="str">
        <f t="shared" ca="1" si="71"/>
        <v/>
      </c>
      <c r="AV85" s="74" t="str">
        <f t="shared" ca="1" si="71"/>
        <v/>
      </c>
      <c r="AW85" s="74" t="str">
        <f t="shared" ca="1" si="71"/>
        <v/>
      </c>
      <c r="AX85" s="74" t="str">
        <f t="shared" ca="1" si="71"/>
        <v/>
      </c>
      <c r="AY85" s="74" t="str">
        <f t="shared" ca="1" si="67"/>
        <v/>
      </c>
      <c r="AZ85" s="74" t="str">
        <f t="shared" ca="1" si="67"/>
        <v/>
      </c>
      <c r="BA85" s="74" t="str">
        <f t="shared" ca="1" si="67"/>
        <v/>
      </c>
      <c r="BB85" s="74" t="str">
        <f t="shared" ca="1" si="67"/>
        <v/>
      </c>
      <c r="BC85" s="74" t="str">
        <f t="shared" ca="1" si="67"/>
        <v/>
      </c>
      <c r="BD85" s="74" t="str">
        <f t="shared" ca="1" si="67"/>
        <v/>
      </c>
      <c r="BE85" s="74" t="str">
        <f t="shared" ca="1" si="67"/>
        <v/>
      </c>
      <c r="BF85" s="74" t="str">
        <f t="shared" ca="1" si="67"/>
        <v/>
      </c>
      <c r="BG85" s="74" t="str">
        <f t="shared" ca="1" si="67"/>
        <v/>
      </c>
      <c r="BH85" s="74" t="str">
        <f t="shared" ca="1" si="67"/>
        <v/>
      </c>
      <c r="BI85" s="74" t="str">
        <f t="shared" ca="1" si="67"/>
        <v/>
      </c>
      <c r="BJ85" s="74" t="str">
        <f t="shared" ca="1" si="67"/>
        <v/>
      </c>
      <c r="BK85" s="74" t="str">
        <f t="shared" ca="1" si="67"/>
        <v/>
      </c>
      <c r="BL85" s="74" t="str">
        <f t="shared" ca="1" si="67"/>
        <v/>
      </c>
      <c r="BM85" s="74" t="str">
        <f t="shared" ca="1" si="67"/>
        <v/>
      </c>
      <c r="BN85" s="75" t="str">
        <f t="shared" ca="1" si="67"/>
        <v/>
      </c>
      <c r="BO85" s="75" t="str">
        <f t="shared" ca="1" si="64"/>
        <v/>
      </c>
      <c r="BP85" s="75" t="str">
        <f t="shared" ca="1" si="64"/>
        <v/>
      </c>
      <c r="BQ85" s="75" t="str">
        <f t="shared" ca="1" si="64"/>
        <v/>
      </c>
      <c r="BR85" s="75" t="str">
        <f t="shared" ca="1" si="64"/>
        <v/>
      </c>
      <c r="BS85" s="75" t="str">
        <f t="shared" ca="1" si="64"/>
        <v/>
      </c>
      <c r="BT85" s="75" t="str">
        <f t="shared" ca="1" si="64"/>
        <v/>
      </c>
      <c r="BU85" s="75" t="str">
        <f t="shared" ca="1" si="64"/>
        <v/>
      </c>
      <c r="BV85" s="75" t="str">
        <f t="shared" ca="1" si="64"/>
        <v/>
      </c>
      <c r="BW85" s="75" t="str">
        <f t="shared" ca="1" si="64"/>
        <v/>
      </c>
      <c r="BX85" s="75" t="str">
        <f t="shared" ca="1" si="64"/>
        <v/>
      </c>
      <c r="BY85" s="75" t="str">
        <f t="shared" ca="1" si="64"/>
        <v/>
      </c>
      <c r="BZ85" s="75" t="str">
        <f t="shared" ca="1" si="64"/>
        <v/>
      </c>
      <c r="CA85" s="75" t="str">
        <f t="shared" ca="1" si="64"/>
        <v/>
      </c>
      <c r="CB85" s="75" t="str">
        <f t="shared" ca="1" si="64"/>
        <v/>
      </c>
      <c r="CC85" s="75" t="str">
        <f t="shared" ca="1" si="64"/>
        <v/>
      </c>
      <c r="CD85" s="75" t="str">
        <f t="shared" ca="1" si="64"/>
        <v/>
      </c>
      <c r="CE85" s="75" t="str">
        <f t="shared" ca="1" si="68"/>
        <v/>
      </c>
      <c r="CF85" s="75" t="str">
        <f t="shared" ca="1" si="68"/>
        <v/>
      </c>
      <c r="CG85" s="74" t="str">
        <f t="shared" ca="1" si="68"/>
        <v/>
      </c>
      <c r="CH85" s="74" t="str">
        <f t="shared" ca="1" si="68"/>
        <v/>
      </c>
      <c r="CI85" s="74" t="str">
        <f t="shared" ca="1" si="68"/>
        <v/>
      </c>
      <c r="CJ85" s="74" t="str">
        <f t="shared" ca="1" si="68"/>
        <v/>
      </c>
      <c r="CK85" s="74" t="str">
        <f t="shared" ca="1" si="68"/>
        <v/>
      </c>
      <c r="CL85" s="74" t="str">
        <f t="shared" ca="1" si="68"/>
        <v/>
      </c>
      <c r="CM85" s="74" t="str">
        <f t="shared" ca="1" si="68"/>
        <v/>
      </c>
      <c r="CN85" s="74" t="str">
        <f t="shared" ca="1" si="68"/>
        <v/>
      </c>
      <c r="CO85" s="74" t="str">
        <f t="shared" ca="1" si="68"/>
        <v/>
      </c>
      <c r="CP85" s="74" t="str">
        <f t="shared" ca="1" si="68"/>
        <v/>
      </c>
      <c r="CQ85" s="74" t="str">
        <f t="shared" ca="1" si="68"/>
        <v/>
      </c>
      <c r="CR85" s="74" t="str">
        <f t="shared" ca="1" si="68"/>
        <v/>
      </c>
      <c r="CS85" s="74" t="str">
        <f t="shared" ca="1" si="68"/>
        <v/>
      </c>
      <c r="CT85" s="74" t="str">
        <f t="shared" ca="1" si="68"/>
        <v/>
      </c>
      <c r="CU85" s="74" t="str">
        <f t="shared" ca="1" si="65"/>
        <v/>
      </c>
      <c r="CV85" s="74" t="str">
        <f t="shared" ca="1" si="65"/>
        <v/>
      </c>
      <c r="CW85" s="74" t="str">
        <f t="shared" ca="1" si="65"/>
        <v/>
      </c>
      <c r="CX85" s="74" t="str">
        <f t="shared" ca="1" si="65"/>
        <v/>
      </c>
      <c r="CY85" s="74" t="str">
        <f t="shared" ca="1" si="65"/>
        <v/>
      </c>
      <c r="CZ85" s="75" t="str">
        <f t="shared" ca="1" si="65"/>
        <v/>
      </c>
      <c r="DA85" s="75" t="str">
        <f t="shared" ca="1" si="65"/>
        <v/>
      </c>
      <c r="DB85" s="75" t="str">
        <f t="shared" ca="1" si="65"/>
        <v/>
      </c>
      <c r="DC85" s="75" t="str">
        <f t="shared" ca="1" si="65"/>
        <v/>
      </c>
      <c r="DD85" s="75" t="str">
        <f t="shared" ca="1" si="65"/>
        <v/>
      </c>
      <c r="DE85" s="75" t="str">
        <f t="shared" ca="1" si="65"/>
        <v/>
      </c>
      <c r="DF85" s="75" t="str">
        <f t="shared" ca="1" si="65"/>
        <v/>
      </c>
      <c r="DG85" s="75" t="str">
        <f t="shared" ca="1" si="65"/>
        <v/>
      </c>
      <c r="DH85" s="75" t="str">
        <f t="shared" ca="1" si="65"/>
        <v/>
      </c>
      <c r="DI85" s="75" t="str">
        <f t="shared" ca="1" si="65"/>
        <v/>
      </c>
      <c r="DJ85" s="75" t="str">
        <f t="shared" ca="1" si="65"/>
        <v/>
      </c>
      <c r="DK85" s="75" t="str">
        <f t="shared" ca="1" si="69"/>
        <v/>
      </c>
      <c r="DL85" s="75" t="str">
        <f t="shared" ca="1" si="69"/>
        <v/>
      </c>
      <c r="DM85" s="75" t="str">
        <f t="shared" ca="1" si="69"/>
        <v/>
      </c>
      <c r="DN85" s="75" t="str">
        <f t="shared" ca="1" si="69"/>
        <v/>
      </c>
      <c r="DO85" s="75" t="str">
        <f t="shared" ca="1" si="69"/>
        <v/>
      </c>
      <c r="DP85" s="75" t="str">
        <f t="shared" ca="1" si="69"/>
        <v/>
      </c>
      <c r="DQ85" s="75" t="str">
        <f t="shared" ca="1" si="69"/>
        <v/>
      </c>
      <c r="DR85" s="75" t="str">
        <f t="shared" ca="1" si="69"/>
        <v/>
      </c>
      <c r="DS85" s="74" t="str">
        <f t="shared" ca="1" si="69"/>
        <v/>
      </c>
      <c r="DT85" s="74" t="str">
        <f t="shared" ca="1" si="69"/>
        <v/>
      </c>
      <c r="DU85" s="74" t="str">
        <f t="shared" ca="1" si="69"/>
        <v/>
      </c>
      <c r="DV85" s="74" t="str">
        <f t="shared" ca="1" si="69"/>
        <v/>
      </c>
      <c r="DW85" s="74" t="str">
        <f t="shared" ca="1" si="69"/>
        <v/>
      </c>
      <c r="DX85" s="74" t="str">
        <f t="shared" ca="1" si="69"/>
        <v/>
      </c>
      <c r="DY85" s="74" t="str">
        <f t="shared" ca="1" si="69"/>
        <v/>
      </c>
      <c r="DZ85" s="74" t="str">
        <f t="shared" ca="1" si="69"/>
        <v/>
      </c>
      <c r="EA85" s="74" t="str">
        <f t="shared" ca="1" si="66"/>
        <v/>
      </c>
      <c r="EB85" s="74" t="str">
        <f t="shared" ca="1" si="66"/>
        <v/>
      </c>
      <c r="EC85" s="74" t="str">
        <f t="shared" ca="1" si="66"/>
        <v/>
      </c>
      <c r="ED85" s="74" t="str">
        <f t="shared" ca="1" si="66"/>
        <v/>
      </c>
      <c r="EE85" s="74" t="str">
        <f t="shared" ca="1" si="66"/>
        <v/>
      </c>
      <c r="EF85" s="74" t="str">
        <f t="shared" ca="1" si="66"/>
        <v/>
      </c>
      <c r="EG85" s="74" t="str">
        <f t="shared" ca="1" si="66"/>
        <v/>
      </c>
      <c r="EH85" s="74" t="str">
        <f t="shared" ca="1" si="66"/>
        <v/>
      </c>
      <c r="EI85" s="74" t="str">
        <f t="shared" ca="1" si="66"/>
        <v/>
      </c>
      <c r="EJ85" s="74" t="str">
        <f t="shared" ca="1" si="66"/>
        <v/>
      </c>
      <c r="EK85" s="75" t="str">
        <f t="shared" ca="1" si="66"/>
        <v/>
      </c>
      <c r="EL85" s="75" t="str">
        <f t="shared" ca="1" si="66"/>
        <v/>
      </c>
      <c r="EM85" s="75" t="str">
        <f t="shared" ca="1" si="66"/>
        <v/>
      </c>
      <c r="EN85" s="75" t="str">
        <f t="shared" ca="1" si="66"/>
        <v/>
      </c>
      <c r="EO85" s="75" t="str">
        <f t="shared" ca="1" si="66"/>
        <v/>
      </c>
      <c r="EP85" s="75" t="str">
        <f t="shared" ca="1" si="66"/>
        <v/>
      </c>
      <c r="EQ85" s="75" t="str">
        <f t="shared" ca="1" si="70"/>
        <v/>
      </c>
      <c r="ER85" s="75" t="str">
        <f t="shared" ca="1" si="70"/>
        <v/>
      </c>
      <c r="ES85" s="75" t="str">
        <f t="shared" ca="1" si="70"/>
        <v/>
      </c>
      <c r="ET85" s="75" t="str">
        <f t="shared" ca="1" si="70"/>
        <v/>
      </c>
      <c r="EU85" s="75" t="str">
        <f t="shared" ca="1" si="70"/>
        <v/>
      </c>
      <c r="EV85" s="75" t="str">
        <f t="shared" ca="1" si="70"/>
        <v/>
      </c>
      <c r="EW85" s="75" t="str">
        <f t="shared" ca="1" si="70"/>
        <v/>
      </c>
      <c r="EX85" s="75" t="str">
        <f t="shared" ca="1" si="70"/>
        <v/>
      </c>
      <c r="EY85" s="75" t="str">
        <f t="shared" ca="1" si="70"/>
        <v/>
      </c>
      <c r="EZ85" s="75" t="str">
        <f t="shared" ca="1" si="70"/>
        <v/>
      </c>
      <c r="FA85" s="75" t="str">
        <f t="shared" ca="1" si="70"/>
        <v/>
      </c>
      <c r="FB85" s="75" t="str">
        <f t="shared" ca="1" si="70"/>
        <v/>
      </c>
      <c r="FC85" s="76" t="str">
        <f t="shared" ca="1" si="70"/>
        <v/>
      </c>
      <c r="FD85" s="74" t="str">
        <f t="shared" ca="1" si="70"/>
        <v/>
      </c>
      <c r="FE85" s="74" t="str">
        <f t="shared" ca="1" si="70"/>
        <v/>
      </c>
      <c r="FF85" s="74" t="str">
        <f t="shared" ca="1" si="70"/>
        <v/>
      </c>
      <c r="FG85" s="74" t="str">
        <f t="shared" ca="1" si="74"/>
        <v/>
      </c>
      <c r="FH85" s="74" t="str">
        <f t="shared" ca="1" si="74"/>
        <v/>
      </c>
      <c r="FI85" s="74" t="str">
        <f t="shared" ca="1" si="74"/>
        <v/>
      </c>
      <c r="FJ85" s="74" t="str">
        <f t="shared" ca="1" si="74"/>
        <v/>
      </c>
      <c r="FK85" s="74" t="str">
        <f t="shared" ca="1" si="74"/>
        <v/>
      </c>
      <c r="FL85" s="74" t="str">
        <f t="shared" ca="1" si="74"/>
        <v/>
      </c>
      <c r="FM85" s="74" t="str">
        <f t="shared" ca="1" si="74"/>
        <v/>
      </c>
      <c r="FN85" s="74" t="str">
        <f t="shared" ca="1" si="74"/>
        <v/>
      </c>
      <c r="FO85" s="74" t="str">
        <f t="shared" ca="1" si="74"/>
        <v/>
      </c>
      <c r="FP85" s="74" t="str">
        <f t="shared" ca="1" si="74"/>
        <v/>
      </c>
      <c r="FQ85" s="74" t="str">
        <f t="shared" ca="1" si="74"/>
        <v/>
      </c>
      <c r="FR85" s="74" t="str">
        <f t="shared" ca="1" si="74"/>
        <v/>
      </c>
      <c r="FS85" s="74" t="str">
        <f t="shared" ca="1" si="74"/>
        <v/>
      </c>
      <c r="FT85" s="74" t="str">
        <f t="shared" ca="1" si="74"/>
        <v/>
      </c>
    </row>
    <row r="86" spans="1:176" x14ac:dyDescent="0.35">
      <c r="A86" s="74"/>
      <c r="B86" s="74" t="str">
        <f t="shared" ca="1" si="72"/>
        <v/>
      </c>
      <c r="C86" s="74" t="str">
        <f t="shared" ca="1" si="72"/>
        <v/>
      </c>
      <c r="D86" s="74" t="str">
        <f t="shared" ca="1" si="72"/>
        <v/>
      </c>
      <c r="E86" s="74" t="str">
        <f t="shared" ca="1" si="72"/>
        <v/>
      </c>
      <c r="F86" t="str">
        <f t="shared" ca="1" si="63"/>
        <v/>
      </c>
      <c r="G86" t="str">
        <f t="shared" ca="1" si="63"/>
        <v/>
      </c>
      <c r="H86" t="str">
        <f t="shared" ca="1" si="63"/>
        <v/>
      </c>
      <c r="I86" s="74" t="str">
        <f t="shared" ca="1" si="72"/>
        <v/>
      </c>
      <c r="J86" s="74" t="str">
        <f t="shared" ca="1" si="72"/>
        <v/>
      </c>
      <c r="K86" s="74" t="str">
        <f t="shared" ca="1" si="72"/>
        <v/>
      </c>
      <c r="L86" s="74" t="str">
        <f t="shared" ca="1" si="72"/>
        <v/>
      </c>
      <c r="M86" s="74" t="str">
        <f t="shared" ca="1" si="72"/>
        <v/>
      </c>
      <c r="N86" s="74" t="str">
        <f t="shared" ca="1" si="72"/>
        <v/>
      </c>
      <c r="O86" s="74" t="str">
        <f t="shared" ca="1" si="72"/>
        <v/>
      </c>
      <c r="P86" s="74" t="str">
        <f t="shared" ca="1" si="72"/>
        <v/>
      </c>
      <c r="Q86" s="74" t="str">
        <f t="shared" ca="1" si="72"/>
        <v/>
      </c>
      <c r="R86" s="74" t="str">
        <f t="shared" ca="1" si="72"/>
        <v/>
      </c>
      <c r="S86" s="74" t="str">
        <f t="shared" ca="1" si="72"/>
        <v/>
      </c>
      <c r="T86" s="74" t="str">
        <f t="shared" ca="1" si="73"/>
        <v/>
      </c>
      <c r="U86" s="74" t="str">
        <f t="shared" ca="1" si="73"/>
        <v/>
      </c>
      <c r="V86" s="74" t="str">
        <f t="shared" ca="1" si="73"/>
        <v/>
      </c>
      <c r="W86" s="74" t="str">
        <f t="shared" ca="1" si="73"/>
        <v/>
      </c>
      <c r="X86" s="74" t="str">
        <f t="shared" ca="1" si="73"/>
        <v/>
      </c>
      <c r="Y86" s="74" t="str">
        <f t="shared" ca="1" si="73"/>
        <v/>
      </c>
      <c r="Z86" s="74" t="str">
        <f t="shared" ca="1" si="73"/>
        <v/>
      </c>
      <c r="AA86" s="74" t="str">
        <f t="shared" ca="1" si="73"/>
        <v/>
      </c>
      <c r="AB86" s="75" t="str">
        <f t="shared" ca="1" si="73"/>
        <v/>
      </c>
      <c r="AC86" s="75" t="str">
        <f t="shared" ca="1" si="73"/>
        <v/>
      </c>
      <c r="AD86" s="75" t="str">
        <f t="shared" ca="1" si="73"/>
        <v/>
      </c>
      <c r="AE86" s="75" t="str">
        <f t="shared" ca="1" si="73"/>
        <v/>
      </c>
      <c r="AF86" s="75" t="str">
        <f t="shared" ca="1" si="73"/>
        <v/>
      </c>
      <c r="AG86" s="75" t="str">
        <f t="shared" ca="1" si="73"/>
        <v/>
      </c>
      <c r="AH86" s="75" t="str">
        <f t="shared" ca="1" si="73"/>
        <v/>
      </c>
      <c r="AI86" s="75" t="str">
        <f t="shared" ca="1" si="71"/>
        <v/>
      </c>
      <c r="AJ86" s="75" t="str">
        <f t="shared" ca="1" si="71"/>
        <v/>
      </c>
      <c r="AK86" s="75" t="str">
        <f t="shared" ca="1" si="71"/>
        <v/>
      </c>
      <c r="AL86" s="75" t="str">
        <f t="shared" ca="1" si="71"/>
        <v/>
      </c>
      <c r="AM86" s="75" t="str">
        <f t="shared" ca="1" si="71"/>
        <v/>
      </c>
      <c r="AN86" s="75" t="str">
        <f t="shared" ca="1" si="71"/>
        <v/>
      </c>
      <c r="AO86" s="75" t="str">
        <f t="shared" ca="1" si="71"/>
        <v/>
      </c>
      <c r="AP86" s="75" t="str">
        <f t="shared" ca="1" si="71"/>
        <v/>
      </c>
      <c r="AQ86" s="75" t="str">
        <f t="shared" ca="1" si="71"/>
        <v/>
      </c>
      <c r="AR86" s="75" t="str">
        <f t="shared" ca="1" si="71"/>
        <v/>
      </c>
      <c r="AS86" s="75" t="str">
        <f t="shared" ca="1" si="71"/>
        <v/>
      </c>
      <c r="AT86" s="75" t="str">
        <f t="shared" ca="1" si="71"/>
        <v/>
      </c>
      <c r="AU86" s="74" t="str">
        <f t="shared" ca="1" si="71"/>
        <v/>
      </c>
      <c r="AV86" s="74" t="str">
        <f t="shared" ca="1" si="71"/>
        <v/>
      </c>
      <c r="AW86" s="74" t="str">
        <f t="shared" ca="1" si="71"/>
        <v/>
      </c>
      <c r="AX86" s="74" t="str">
        <f t="shared" ca="1" si="71"/>
        <v/>
      </c>
      <c r="AY86" s="74" t="str">
        <f t="shared" ca="1" si="67"/>
        <v/>
      </c>
      <c r="AZ86" s="74" t="str">
        <f t="shared" ca="1" si="67"/>
        <v/>
      </c>
      <c r="BA86" s="74" t="str">
        <f t="shared" ca="1" si="67"/>
        <v/>
      </c>
      <c r="BB86" s="74" t="str">
        <f t="shared" ca="1" si="67"/>
        <v/>
      </c>
      <c r="BC86" s="74" t="str">
        <f t="shared" ca="1" si="67"/>
        <v/>
      </c>
      <c r="BD86" s="74" t="str">
        <f t="shared" ca="1" si="67"/>
        <v/>
      </c>
      <c r="BE86" s="74" t="str">
        <f t="shared" ca="1" si="67"/>
        <v/>
      </c>
      <c r="BF86" s="74" t="str">
        <f t="shared" ca="1" si="67"/>
        <v/>
      </c>
      <c r="BG86" s="74" t="str">
        <f t="shared" ca="1" si="67"/>
        <v/>
      </c>
      <c r="BH86" s="74" t="str">
        <f t="shared" ca="1" si="67"/>
        <v/>
      </c>
      <c r="BI86" s="74" t="str">
        <f t="shared" ca="1" si="67"/>
        <v/>
      </c>
      <c r="BJ86" s="74" t="str">
        <f t="shared" ca="1" si="67"/>
        <v/>
      </c>
      <c r="BK86" s="74" t="str">
        <f t="shared" ca="1" si="67"/>
        <v/>
      </c>
      <c r="BL86" s="74" t="str">
        <f t="shared" ca="1" si="67"/>
        <v/>
      </c>
      <c r="BM86" s="74" t="str">
        <f t="shared" ca="1" si="67"/>
        <v/>
      </c>
      <c r="BN86" s="75" t="str">
        <f t="shared" ca="1" si="67"/>
        <v/>
      </c>
      <c r="BO86" s="75" t="str">
        <f t="shared" ca="1" si="64"/>
        <v/>
      </c>
      <c r="BP86" s="75" t="str">
        <f t="shared" ca="1" si="64"/>
        <v/>
      </c>
      <c r="BQ86" s="75" t="str">
        <f t="shared" ca="1" si="64"/>
        <v/>
      </c>
      <c r="BR86" s="75" t="str">
        <f t="shared" ca="1" si="64"/>
        <v/>
      </c>
      <c r="BS86" s="75" t="str">
        <f t="shared" ca="1" si="64"/>
        <v/>
      </c>
      <c r="BT86" s="75" t="str">
        <f t="shared" ca="1" si="64"/>
        <v/>
      </c>
      <c r="BU86" s="75" t="str">
        <f t="shared" ca="1" si="64"/>
        <v/>
      </c>
      <c r="BV86" s="75" t="str">
        <f t="shared" ca="1" si="64"/>
        <v/>
      </c>
      <c r="BW86" s="75" t="str">
        <f t="shared" ca="1" si="64"/>
        <v/>
      </c>
      <c r="BX86" s="75" t="str">
        <f t="shared" ca="1" si="64"/>
        <v/>
      </c>
      <c r="BY86" s="75" t="str">
        <f t="shared" ca="1" si="64"/>
        <v/>
      </c>
      <c r="BZ86" s="75" t="str">
        <f t="shared" ca="1" si="64"/>
        <v/>
      </c>
      <c r="CA86" s="75" t="str">
        <f t="shared" ca="1" si="64"/>
        <v/>
      </c>
      <c r="CB86" s="75" t="str">
        <f t="shared" ca="1" si="64"/>
        <v/>
      </c>
      <c r="CC86" s="75" t="str">
        <f t="shared" ca="1" si="64"/>
        <v/>
      </c>
      <c r="CD86" s="75" t="str">
        <f t="shared" ca="1" si="64"/>
        <v/>
      </c>
      <c r="CE86" s="75" t="str">
        <f t="shared" ca="1" si="68"/>
        <v/>
      </c>
      <c r="CF86" s="75" t="str">
        <f t="shared" ca="1" si="68"/>
        <v/>
      </c>
      <c r="CG86" s="74" t="str">
        <f t="shared" ca="1" si="68"/>
        <v/>
      </c>
      <c r="CH86" s="74" t="str">
        <f t="shared" ca="1" si="68"/>
        <v/>
      </c>
      <c r="CI86" s="74" t="str">
        <f t="shared" ca="1" si="68"/>
        <v/>
      </c>
      <c r="CJ86" s="74" t="str">
        <f t="shared" ca="1" si="68"/>
        <v/>
      </c>
      <c r="CK86" s="74" t="str">
        <f t="shared" ca="1" si="68"/>
        <v/>
      </c>
      <c r="CL86" s="74" t="str">
        <f t="shared" ca="1" si="68"/>
        <v/>
      </c>
      <c r="CM86" s="74" t="str">
        <f t="shared" ca="1" si="68"/>
        <v/>
      </c>
      <c r="CN86" s="74" t="str">
        <f t="shared" ca="1" si="68"/>
        <v/>
      </c>
      <c r="CO86" s="74" t="str">
        <f t="shared" ca="1" si="68"/>
        <v/>
      </c>
      <c r="CP86" s="74" t="str">
        <f t="shared" ca="1" si="68"/>
        <v/>
      </c>
      <c r="CQ86" s="74" t="str">
        <f t="shared" ca="1" si="68"/>
        <v/>
      </c>
      <c r="CR86" s="74" t="str">
        <f t="shared" ca="1" si="68"/>
        <v/>
      </c>
      <c r="CS86" s="74" t="str">
        <f t="shared" ca="1" si="68"/>
        <v/>
      </c>
      <c r="CT86" s="74" t="str">
        <f t="shared" ca="1" si="68"/>
        <v/>
      </c>
      <c r="CU86" s="74" t="str">
        <f t="shared" ca="1" si="65"/>
        <v/>
      </c>
      <c r="CV86" s="74" t="str">
        <f t="shared" ca="1" si="65"/>
        <v/>
      </c>
      <c r="CW86" s="74" t="str">
        <f t="shared" ca="1" si="65"/>
        <v/>
      </c>
      <c r="CX86" s="74" t="str">
        <f t="shared" ca="1" si="65"/>
        <v/>
      </c>
      <c r="CY86" s="74" t="str">
        <f t="shared" ca="1" si="65"/>
        <v/>
      </c>
      <c r="CZ86" s="75" t="str">
        <f t="shared" ca="1" si="65"/>
        <v/>
      </c>
      <c r="DA86" s="75" t="str">
        <f t="shared" ca="1" si="65"/>
        <v/>
      </c>
      <c r="DB86" s="75" t="str">
        <f t="shared" ca="1" si="65"/>
        <v/>
      </c>
      <c r="DC86" s="75" t="str">
        <f t="shared" ca="1" si="65"/>
        <v/>
      </c>
      <c r="DD86" s="75" t="str">
        <f t="shared" ca="1" si="65"/>
        <v/>
      </c>
      <c r="DE86" s="75" t="str">
        <f t="shared" ca="1" si="65"/>
        <v/>
      </c>
      <c r="DF86" s="75" t="str">
        <f t="shared" ca="1" si="65"/>
        <v/>
      </c>
      <c r="DG86" s="75" t="str">
        <f t="shared" ca="1" si="65"/>
        <v/>
      </c>
      <c r="DH86" s="75" t="str">
        <f t="shared" ca="1" si="65"/>
        <v/>
      </c>
      <c r="DI86" s="75" t="str">
        <f t="shared" ca="1" si="65"/>
        <v/>
      </c>
      <c r="DJ86" s="75" t="str">
        <f t="shared" ca="1" si="65"/>
        <v/>
      </c>
      <c r="DK86" s="75" t="str">
        <f t="shared" ca="1" si="69"/>
        <v/>
      </c>
      <c r="DL86" s="75" t="str">
        <f t="shared" ca="1" si="69"/>
        <v/>
      </c>
      <c r="DM86" s="75" t="str">
        <f t="shared" ca="1" si="69"/>
        <v/>
      </c>
      <c r="DN86" s="75" t="str">
        <f t="shared" ca="1" si="69"/>
        <v/>
      </c>
      <c r="DO86" s="75" t="str">
        <f t="shared" ca="1" si="69"/>
        <v/>
      </c>
      <c r="DP86" s="75" t="str">
        <f t="shared" ca="1" si="69"/>
        <v/>
      </c>
      <c r="DQ86" s="75" t="str">
        <f t="shared" ca="1" si="69"/>
        <v/>
      </c>
      <c r="DR86" s="75" t="str">
        <f t="shared" ca="1" si="69"/>
        <v/>
      </c>
      <c r="DS86" s="74" t="str">
        <f t="shared" ca="1" si="69"/>
        <v/>
      </c>
      <c r="DT86" s="74" t="str">
        <f t="shared" ca="1" si="69"/>
        <v/>
      </c>
      <c r="DU86" s="74" t="str">
        <f t="shared" ca="1" si="69"/>
        <v/>
      </c>
      <c r="DV86" s="74" t="str">
        <f t="shared" ca="1" si="69"/>
        <v/>
      </c>
      <c r="DW86" s="74" t="str">
        <f t="shared" ca="1" si="69"/>
        <v/>
      </c>
      <c r="DX86" s="74" t="str">
        <f t="shared" ca="1" si="69"/>
        <v/>
      </c>
      <c r="DY86" s="74" t="str">
        <f t="shared" ca="1" si="69"/>
        <v/>
      </c>
      <c r="DZ86" s="74" t="str">
        <f t="shared" ca="1" si="69"/>
        <v/>
      </c>
      <c r="EA86" s="74" t="str">
        <f t="shared" ca="1" si="66"/>
        <v/>
      </c>
      <c r="EB86" s="74" t="str">
        <f t="shared" ca="1" si="66"/>
        <v/>
      </c>
      <c r="EC86" s="74" t="str">
        <f t="shared" ca="1" si="66"/>
        <v/>
      </c>
      <c r="ED86" s="74" t="str">
        <f t="shared" ca="1" si="66"/>
        <v/>
      </c>
      <c r="EE86" s="74" t="str">
        <f t="shared" ca="1" si="66"/>
        <v/>
      </c>
      <c r="EF86" s="74" t="str">
        <f t="shared" ca="1" si="66"/>
        <v/>
      </c>
      <c r="EG86" s="74" t="str">
        <f t="shared" ca="1" si="66"/>
        <v/>
      </c>
      <c r="EH86" s="74" t="str">
        <f t="shared" ca="1" si="66"/>
        <v/>
      </c>
      <c r="EI86" s="74" t="str">
        <f t="shared" ca="1" si="66"/>
        <v/>
      </c>
      <c r="EJ86" s="74" t="str">
        <f t="shared" ca="1" si="66"/>
        <v/>
      </c>
      <c r="EK86" s="75" t="str">
        <f t="shared" ca="1" si="66"/>
        <v/>
      </c>
      <c r="EL86" s="75" t="str">
        <f t="shared" ca="1" si="66"/>
        <v/>
      </c>
      <c r="EM86" s="75" t="str">
        <f t="shared" ca="1" si="66"/>
        <v/>
      </c>
      <c r="EN86" s="75" t="str">
        <f t="shared" ca="1" si="66"/>
        <v/>
      </c>
      <c r="EO86" s="75" t="str">
        <f t="shared" ca="1" si="66"/>
        <v/>
      </c>
      <c r="EP86" s="75" t="str">
        <f t="shared" ca="1" si="66"/>
        <v/>
      </c>
      <c r="EQ86" s="75" t="str">
        <f t="shared" ca="1" si="70"/>
        <v/>
      </c>
      <c r="ER86" s="75" t="str">
        <f t="shared" ca="1" si="70"/>
        <v/>
      </c>
      <c r="ES86" s="75" t="str">
        <f t="shared" ca="1" si="70"/>
        <v/>
      </c>
      <c r="ET86" s="75" t="str">
        <f t="shared" ca="1" si="70"/>
        <v/>
      </c>
      <c r="EU86" s="75" t="str">
        <f t="shared" ca="1" si="70"/>
        <v/>
      </c>
      <c r="EV86" s="75" t="str">
        <f t="shared" ca="1" si="70"/>
        <v/>
      </c>
      <c r="EW86" s="75" t="str">
        <f t="shared" ca="1" si="70"/>
        <v/>
      </c>
      <c r="EX86" s="75" t="str">
        <f t="shared" ca="1" si="70"/>
        <v/>
      </c>
      <c r="EY86" s="75" t="str">
        <f t="shared" ca="1" si="70"/>
        <v/>
      </c>
      <c r="EZ86" s="75" t="str">
        <f t="shared" ca="1" si="70"/>
        <v/>
      </c>
      <c r="FA86" s="75" t="str">
        <f t="shared" ca="1" si="70"/>
        <v/>
      </c>
      <c r="FB86" s="75" t="str">
        <f t="shared" ca="1" si="70"/>
        <v/>
      </c>
      <c r="FC86" s="76" t="str">
        <f t="shared" ca="1" si="70"/>
        <v/>
      </c>
      <c r="FD86" s="74" t="str">
        <f t="shared" ca="1" si="70"/>
        <v/>
      </c>
      <c r="FE86" s="74" t="str">
        <f t="shared" ca="1" si="70"/>
        <v/>
      </c>
      <c r="FF86" s="74" t="str">
        <f t="shared" ca="1" si="70"/>
        <v/>
      </c>
      <c r="FG86" s="74" t="str">
        <f t="shared" ca="1" si="74"/>
        <v/>
      </c>
      <c r="FH86" s="74" t="str">
        <f t="shared" ca="1" si="74"/>
        <v/>
      </c>
      <c r="FI86" s="74" t="str">
        <f t="shared" ca="1" si="74"/>
        <v/>
      </c>
      <c r="FJ86" s="74" t="str">
        <f t="shared" ca="1" si="74"/>
        <v/>
      </c>
      <c r="FK86" s="74" t="str">
        <f t="shared" ca="1" si="74"/>
        <v/>
      </c>
      <c r="FL86" s="74" t="str">
        <f t="shared" ca="1" si="74"/>
        <v/>
      </c>
      <c r="FM86" s="74" t="str">
        <f t="shared" ca="1" si="74"/>
        <v/>
      </c>
      <c r="FN86" s="74" t="str">
        <f t="shared" ca="1" si="74"/>
        <v/>
      </c>
      <c r="FO86" s="74" t="str">
        <f t="shared" ca="1" si="74"/>
        <v/>
      </c>
      <c r="FP86" s="74" t="str">
        <f t="shared" ca="1" si="74"/>
        <v/>
      </c>
      <c r="FQ86" s="74" t="str">
        <f t="shared" ca="1" si="74"/>
        <v/>
      </c>
      <c r="FR86" s="74" t="str">
        <f t="shared" ca="1" si="74"/>
        <v/>
      </c>
      <c r="FS86" s="74" t="str">
        <f t="shared" ca="1" si="74"/>
        <v/>
      </c>
      <c r="FT86" s="74" t="str">
        <f t="shared" ca="1" si="74"/>
        <v/>
      </c>
    </row>
    <row r="87" spans="1:176" x14ac:dyDescent="0.35">
      <c r="A87" s="74"/>
      <c r="B87" s="74" t="str">
        <f t="shared" ca="1" si="72"/>
        <v/>
      </c>
      <c r="C87" s="74" t="str">
        <f t="shared" ca="1" si="72"/>
        <v/>
      </c>
      <c r="D87" s="74" t="str">
        <f t="shared" ca="1" si="72"/>
        <v/>
      </c>
      <c r="E87" s="74" t="str">
        <f t="shared" ca="1" si="72"/>
        <v/>
      </c>
      <c r="F87" t="str">
        <f t="shared" ca="1" si="63"/>
        <v/>
      </c>
      <c r="G87" t="str">
        <f t="shared" ca="1" si="63"/>
        <v/>
      </c>
      <c r="H87" t="str">
        <f t="shared" ca="1" si="63"/>
        <v/>
      </c>
      <c r="I87" s="74" t="str">
        <f t="shared" ca="1" si="72"/>
        <v/>
      </c>
      <c r="J87" s="74" t="str">
        <f t="shared" ca="1" si="72"/>
        <v/>
      </c>
      <c r="K87" s="74" t="str">
        <f t="shared" ca="1" si="72"/>
        <v/>
      </c>
      <c r="L87" s="74" t="str">
        <f t="shared" ca="1" si="72"/>
        <v/>
      </c>
      <c r="M87" s="74" t="str">
        <f t="shared" ca="1" si="72"/>
        <v/>
      </c>
      <c r="N87" s="74" t="str">
        <f t="shared" ca="1" si="72"/>
        <v/>
      </c>
      <c r="O87" s="74" t="str">
        <f t="shared" ca="1" si="72"/>
        <v/>
      </c>
      <c r="P87" s="74" t="str">
        <f t="shared" ca="1" si="72"/>
        <v/>
      </c>
      <c r="Q87" s="74" t="str">
        <f t="shared" ca="1" si="72"/>
        <v/>
      </c>
      <c r="R87" s="74" t="str">
        <f t="shared" ca="1" si="72"/>
        <v/>
      </c>
      <c r="S87" s="74" t="str">
        <f t="shared" ca="1" si="72"/>
        <v/>
      </c>
      <c r="T87" s="74" t="str">
        <f t="shared" ca="1" si="73"/>
        <v/>
      </c>
      <c r="U87" s="74" t="str">
        <f t="shared" ca="1" si="73"/>
        <v/>
      </c>
      <c r="V87" s="74" t="str">
        <f t="shared" ca="1" si="73"/>
        <v/>
      </c>
      <c r="W87" s="74" t="str">
        <f t="shared" ca="1" si="73"/>
        <v/>
      </c>
      <c r="X87" s="74" t="str">
        <f t="shared" ca="1" si="73"/>
        <v/>
      </c>
      <c r="Y87" s="74" t="str">
        <f t="shared" ca="1" si="73"/>
        <v/>
      </c>
      <c r="Z87" s="74" t="str">
        <f t="shared" ca="1" si="73"/>
        <v/>
      </c>
      <c r="AA87" s="74" t="str">
        <f t="shared" ca="1" si="73"/>
        <v/>
      </c>
      <c r="AB87" s="75" t="str">
        <f t="shared" ca="1" si="73"/>
        <v/>
      </c>
      <c r="AC87" s="75" t="str">
        <f t="shared" ca="1" si="73"/>
        <v/>
      </c>
      <c r="AD87" s="75" t="str">
        <f t="shared" ca="1" si="73"/>
        <v/>
      </c>
      <c r="AE87" s="75" t="str">
        <f t="shared" ca="1" si="73"/>
        <v/>
      </c>
      <c r="AF87" s="75" t="str">
        <f t="shared" ca="1" si="73"/>
        <v/>
      </c>
      <c r="AG87" s="75" t="str">
        <f t="shared" ca="1" si="73"/>
        <v/>
      </c>
      <c r="AH87" s="75" t="str">
        <f t="shared" ca="1" si="73"/>
        <v/>
      </c>
      <c r="AI87" s="75" t="str">
        <f t="shared" ca="1" si="71"/>
        <v/>
      </c>
      <c r="AJ87" s="75" t="str">
        <f t="shared" ca="1" si="71"/>
        <v/>
      </c>
      <c r="AK87" s="75" t="str">
        <f t="shared" ca="1" si="71"/>
        <v/>
      </c>
      <c r="AL87" s="75" t="str">
        <f t="shared" ca="1" si="71"/>
        <v/>
      </c>
      <c r="AM87" s="75" t="str">
        <f t="shared" ca="1" si="71"/>
        <v/>
      </c>
      <c r="AN87" s="75" t="str">
        <f t="shared" ca="1" si="71"/>
        <v/>
      </c>
      <c r="AO87" s="75" t="str">
        <f t="shared" ca="1" si="71"/>
        <v/>
      </c>
      <c r="AP87" s="75" t="str">
        <f t="shared" ca="1" si="71"/>
        <v/>
      </c>
      <c r="AQ87" s="75" t="str">
        <f t="shared" ca="1" si="71"/>
        <v/>
      </c>
      <c r="AR87" s="75" t="str">
        <f t="shared" ca="1" si="71"/>
        <v/>
      </c>
      <c r="AS87" s="75" t="str">
        <f t="shared" ca="1" si="71"/>
        <v/>
      </c>
      <c r="AT87" s="75" t="str">
        <f t="shared" ca="1" si="71"/>
        <v/>
      </c>
      <c r="AU87" s="74" t="str">
        <f t="shared" ca="1" si="71"/>
        <v/>
      </c>
      <c r="AV87" s="74" t="str">
        <f t="shared" ca="1" si="71"/>
        <v/>
      </c>
      <c r="AW87" s="74" t="str">
        <f t="shared" ca="1" si="71"/>
        <v/>
      </c>
      <c r="AX87" s="74" t="str">
        <f t="shared" ca="1" si="71"/>
        <v/>
      </c>
      <c r="AY87" s="74" t="str">
        <f t="shared" ca="1" si="67"/>
        <v/>
      </c>
      <c r="AZ87" s="74" t="str">
        <f t="shared" ca="1" si="67"/>
        <v/>
      </c>
      <c r="BA87" s="74" t="str">
        <f t="shared" ca="1" si="67"/>
        <v/>
      </c>
      <c r="BB87" s="74" t="str">
        <f t="shared" ca="1" si="67"/>
        <v/>
      </c>
      <c r="BC87" s="74" t="str">
        <f t="shared" ca="1" si="67"/>
        <v/>
      </c>
      <c r="BD87" s="74" t="str">
        <f t="shared" ca="1" si="67"/>
        <v/>
      </c>
      <c r="BE87" s="74" t="str">
        <f t="shared" ca="1" si="67"/>
        <v/>
      </c>
      <c r="BF87" s="74" t="str">
        <f t="shared" ca="1" si="67"/>
        <v/>
      </c>
      <c r="BG87" s="74" t="str">
        <f t="shared" ca="1" si="67"/>
        <v/>
      </c>
      <c r="BH87" s="74" t="str">
        <f t="shared" ca="1" si="67"/>
        <v/>
      </c>
      <c r="BI87" s="74" t="str">
        <f t="shared" ca="1" si="67"/>
        <v/>
      </c>
      <c r="BJ87" s="74" t="str">
        <f t="shared" ca="1" si="67"/>
        <v/>
      </c>
      <c r="BK87" s="74" t="str">
        <f t="shared" ca="1" si="67"/>
        <v/>
      </c>
      <c r="BL87" s="74" t="str">
        <f t="shared" ca="1" si="67"/>
        <v/>
      </c>
      <c r="BM87" s="74" t="str">
        <f t="shared" ca="1" si="67"/>
        <v/>
      </c>
      <c r="BN87" s="75" t="str">
        <f t="shared" ca="1" si="67"/>
        <v/>
      </c>
      <c r="BO87" s="75" t="str">
        <f t="shared" ca="1" si="64"/>
        <v/>
      </c>
      <c r="BP87" s="75" t="str">
        <f t="shared" ca="1" si="64"/>
        <v/>
      </c>
      <c r="BQ87" s="75" t="str">
        <f t="shared" ca="1" si="64"/>
        <v/>
      </c>
      <c r="BR87" s="75" t="str">
        <f t="shared" ca="1" si="64"/>
        <v/>
      </c>
      <c r="BS87" s="75" t="str">
        <f t="shared" ca="1" si="64"/>
        <v/>
      </c>
      <c r="BT87" s="75" t="str">
        <f t="shared" ca="1" si="64"/>
        <v/>
      </c>
      <c r="BU87" s="75" t="str">
        <f t="shared" ca="1" si="64"/>
        <v/>
      </c>
      <c r="BV87" s="75" t="str">
        <f t="shared" ca="1" si="64"/>
        <v/>
      </c>
      <c r="BW87" s="75" t="str">
        <f t="shared" ca="1" si="64"/>
        <v/>
      </c>
      <c r="BX87" s="75" t="str">
        <f t="shared" ca="1" si="64"/>
        <v/>
      </c>
      <c r="BY87" s="75" t="str">
        <f t="shared" ca="1" si="64"/>
        <v/>
      </c>
      <c r="BZ87" s="75" t="str">
        <f t="shared" ca="1" si="64"/>
        <v/>
      </c>
      <c r="CA87" s="75" t="str">
        <f t="shared" ca="1" si="64"/>
        <v/>
      </c>
      <c r="CB87" s="75" t="str">
        <f t="shared" ca="1" si="64"/>
        <v/>
      </c>
      <c r="CC87" s="75" t="str">
        <f t="shared" ca="1" si="64"/>
        <v/>
      </c>
      <c r="CD87" s="75" t="str">
        <f t="shared" ca="1" si="64"/>
        <v/>
      </c>
      <c r="CE87" s="75" t="str">
        <f t="shared" ca="1" si="68"/>
        <v/>
      </c>
      <c r="CF87" s="75" t="str">
        <f t="shared" ca="1" si="68"/>
        <v/>
      </c>
      <c r="CG87" s="74" t="str">
        <f t="shared" ca="1" si="68"/>
        <v/>
      </c>
      <c r="CH87" s="74" t="str">
        <f t="shared" ca="1" si="68"/>
        <v/>
      </c>
      <c r="CI87" s="74" t="str">
        <f t="shared" ca="1" si="68"/>
        <v/>
      </c>
      <c r="CJ87" s="74" t="str">
        <f t="shared" ca="1" si="68"/>
        <v/>
      </c>
      <c r="CK87" s="74" t="str">
        <f t="shared" ca="1" si="68"/>
        <v/>
      </c>
      <c r="CL87" s="74" t="str">
        <f t="shared" ca="1" si="68"/>
        <v/>
      </c>
      <c r="CM87" s="74" t="str">
        <f t="shared" ca="1" si="68"/>
        <v/>
      </c>
      <c r="CN87" s="74" t="str">
        <f t="shared" ca="1" si="68"/>
        <v/>
      </c>
      <c r="CO87" s="74" t="str">
        <f t="shared" ca="1" si="68"/>
        <v/>
      </c>
      <c r="CP87" s="74" t="str">
        <f t="shared" ca="1" si="68"/>
        <v/>
      </c>
      <c r="CQ87" s="74" t="str">
        <f t="shared" ca="1" si="68"/>
        <v/>
      </c>
      <c r="CR87" s="74" t="str">
        <f t="shared" ca="1" si="68"/>
        <v/>
      </c>
      <c r="CS87" s="74" t="str">
        <f t="shared" ca="1" si="68"/>
        <v/>
      </c>
      <c r="CT87" s="74" t="str">
        <f t="shared" ca="1" si="68"/>
        <v/>
      </c>
      <c r="CU87" s="74" t="str">
        <f t="shared" ca="1" si="65"/>
        <v/>
      </c>
      <c r="CV87" s="74" t="str">
        <f t="shared" ca="1" si="65"/>
        <v/>
      </c>
      <c r="CW87" s="74" t="str">
        <f t="shared" ca="1" si="65"/>
        <v/>
      </c>
      <c r="CX87" s="74" t="str">
        <f t="shared" ca="1" si="65"/>
        <v/>
      </c>
      <c r="CY87" s="74" t="str">
        <f t="shared" ca="1" si="65"/>
        <v/>
      </c>
      <c r="CZ87" s="75" t="str">
        <f t="shared" ca="1" si="65"/>
        <v/>
      </c>
      <c r="DA87" s="75" t="str">
        <f t="shared" ca="1" si="65"/>
        <v/>
      </c>
      <c r="DB87" s="75" t="str">
        <f t="shared" ca="1" si="65"/>
        <v/>
      </c>
      <c r="DC87" s="75" t="str">
        <f t="shared" ca="1" si="65"/>
        <v/>
      </c>
      <c r="DD87" s="75" t="str">
        <f t="shared" ca="1" si="65"/>
        <v/>
      </c>
      <c r="DE87" s="75" t="str">
        <f t="shared" ca="1" si="65"/>
        <v/>
      </c>
      <c r="DF87" s="75" t="str">
        <f t="shared" ca="1" si="65"/>
        <v/>
      </c>
      <c r="DG87" s="75" t="str">
        <f t="shared" ca="1" si="65"/>
        <v/>
      </c>
      <c r="DH87" s="75" t="str">
        <f t="shared" ca="1" si="65"/>
        <v/>
      </c>
      <c r="DI87" s="75" t="str">
        <f t="shared" ca="1" si="65"/>
        <v/>
      </c>
      <c r="DJ87" s="75" t="str">
        <f t="shared" ca="1" si="65"/>
        <v/>
      </c>
      <c r="DK87" s="75" t="str">
        <f t="shared" ca="1" si="69"/>
        <v/>
      </c>
      <c r="DL87" s="75" t="str">
        <f t="shared" ca="1" si="69"/>
        <v/>
      </c>
      <c r="DM87" s="75" t="str">
        <f t="shared" ca="1" si="69"/>
        <v/>
      </c>
      <c r="DN87" s="75" t="str">
        <f t="shared" ca="1" si="69"/>
        <v/>
      </c>
      <c r="DO87" s="75" t="str">
        <f t="shared" ca="1" si="69"/>
        <v/>
      </c>
      <c r="DP87" s="75" t="str">
        <f t="shared" ca="1" si="69"/>
        <v/>
      </c>
      <c r="DQ87" s="75" t="str">
        <f t="shared" ca="1" si="69"/>
        <v/>
      </c>
      <c r="DR87" s="75" t="str">
        <f t="shared" ca="1" si="69"/>
        <v/>
      </c>
      <c r="DS87" s="74" t="str">
        <f t="shared" ca="1" si="69"/>
        <v/>
      </c>
      <c r="DT87" s="74" t="str">
        <f t="shared" ca="1" si="69"/>
        <v/>
      </c>
      <c r="DU87" s="74" t="str">
        <f t="shared" ca="1" si="69"/>
        <v/>
      </c>
      <c r="DV87" s="74" t="str">
        <f t="shared" ca="1" si="69"/>
        <v/>
      </c>
      <c r="DW87" s="74" t="str">
        <f t="shared" ca="1" si="69"/>
        <v/>
      </c>
      <c r="DX87" s="74" t="str">
        <f t="shared" ca="1" si="69"/>
        <v/>
      </c>
      <c r="DY87" s="74" t="str">
        <f t="shared" ca="1" si="69"/>
        <v/>
      </c>
      <c r="DZ87" s="74" t="str">
        <f t="shared" ca="1" si="69"/>
        <v/>
      </c>
      <c r="EA87" s="74" t="str">
        <f t="shared" ca="1" si="66"/>
        <v/>
      </c>
      <c r="EB87" s="74" t="str">
        <f t="shared" ca="1" si="66"/>
        <v/>
      </c>
      <c r="EC87" s="74" t="str">
        <f t="shared" ca="1" si="66"/>
        <v/>
      </c>
      <c r="ED87" s="74" t="str">
        <f t="shared" ca="1" si="66"/>
        <v/>
      </c>
      <c r="EE87" s="74" t="str">
        <f t="shared" ca="1" si="66"/>
        <v/>
      </c>
      <c r="EF87" s="74" t="str">
        <f t="shared" ca="1" si="66"/>
        <v/>
      </c>
      <c r="EG87" s="74" t="str">
        <f t="shared" ca="1" si="66"/>
        <v/>
      </c>
      <c r="EH87" s="74" t="str">
        <f t="shared" ca="1" si="66"/>
        <v/>
      </c>
      <c r="EI87" s="74" t="str">
        <f t="shared" ca="1" si="66"/>
        <v/>
      </c>
      <c r="EJ87" s="74" t="str">
        <f t="shared" ca="1" si="66"/>
        <v/>
      </c>
      <c r="EK87" s="75" t="str">
        <f t="shared" ca="1" si="66"/>
        <v/>
      </c>
      <c r="EL87" s="75" t="str">
        <f t="shared" ca="1" si="66"/>
        <v/>
      </c>
      <c r="EM87" s="75" t="str">
        <f t="shared" ca="1" si="66"/>
        <v/>
      </c>
      <c r="EN87" s="75" t="str">
        <f t="shared" ca="1" si="66"/>
        <v/>
      </c>
      <c r="EO87" s="75" t="str">
        <f t="shared" ca="1" si="66"/>
        <v/>
      </c>
      <c r="EP87" s="75" t="str">
        <f t="shared" ca="1" si="66"/>
        <v/>
      </c>
      <c r="EQ87" s="75" t="str">
        <f t="shared" ca="1" si="70"/>
        <v/>
      </c>
      <c r="ER87" s="75" t="str">
        <f t="shared" ca="1" si="70"/>
        <v/>
      </c>
      <c r="ES87" s="75" t="str">
        <f t="shared" ca="1" si="70"/>
        <v/>
      </c>
      <c r="ET87" s="75" t="str">
        <f t="shared" ca="1" si="70"/>
        <v/>
      </c>
      <c r="EU87" s="75" t="str">
        <f t="shared" ca="1" si="70"/>
        <v/>
      </c>
      <c r="EV87" s="75" t="str">
        <f t="shared" ca="1" si="70"/>
        <v/>
      </c>
      <c r="EW87" s="75" t="str">
        <f t="shared" ca="1" si="70"/>
        <v/>
      </c>
      <c r="EX87" s="75" t="str">
        <f t="shared" ca="1" si="70"/>
        <v/>
      </c>
      <c r="EY87" s="75" t="str">
        <f t="shared" ca="1" si="70"/>
        <v/>
      </c>
      <c r="EZ87" s="75" t="str">
        <f t="shared" ca="1" si="70"/>
        <v/>
      </c>
      <c r="FA87" s="75" t="str">
        <f t="shared" ca="1" si="70"/>
        <v/>
      </c>
      <c r="FB87" s="75" t="str">
        <f t="shared" ca="1" si="70"/>
        <v/>
      </c>
      <c r="FC87" s="76" t="str">
        <f t="shared" ca="1" si="70"/>
        <v/>
      </c>
      <c r="FD87" s="74" t="str">
        <f t="shared" ca="1" si="70"/>
        <v/>
      </c>
      <c r="FE87" s="74" t="str">
        <f t="shared" ca="1" si="70"/>
        <v/>
      </c>
      <c r="FF87" s="74" t="str">
        <f t="shared" ca="1" si="70"/>
        <v/>
      </c>
      <c r="FG87" s="74" t="str">
        <f t="shared" ca="1" si="74"/>
        <v/>
      </c>
      <c r="FH87" s="74" t="str">
        <f t="shared" ca="1" si="74"/>
        <v/>
      </c>
      <c r="FI87" s="74" t="str">
        <f t="shared" ca="1" si="74"/>
        <v/>
      </c>
      <c r="FJ87" s="74" t="str">
        <f t="shared" ca="1" si="74"/>
        <v/>
      </c>
      <c r="FK87" s="74" t="str">
        <f t="shared" ca="1" si="74"/>
        <v/>
      </c>
      <c r="FL87" s="74" t="str">
        <f t="shared" ca="1" si="74"/>
        <v/>
      </c>
      <c r="FM87" s="74" t="str">
        <f t="shared" ca="1" si="74"/>
        <v/>
      </c>
      <c r="FN87" s="74" t="str">
        <f t="shared" ca="1" si="74"/>
        <v/>
      </c>
      <c r="FO87" s="74" t="str">
        <f t="shared" ca="1" si="74"/>
        <v/>
      </c>
      <c r="FP87" s="74" t="str">
        <f t="shared" ca="1" si="74"/>
        <v/>
      </c>
      <c r="FQ87" s="74" t="str">
        <f t="shared" ca="1" si="74"/>
        <v/>
      </c>
      <c r="FR87" s="74" t="str">
        <f t="shared" ca="1" si="74"/>
        <v/>
      </c>
      <c r="FS87" s="74" t="str">
        <f t="shared" ca="1" si="74"/>
        <v/>
      </c>
      <c r="FT87" s="74" t="str">
        <f t="shared" ca="1" si="74"/>
        <v/>
      </c>
    </row>
    <row r="88" spans="1:176" x14ac:dyDescent="0.35">
      <c r="A88" s="74"/>
      <c r="B88" s="74" t="str">
        <f t="shared" ca="1" si="72"/>
        <v/>
      </c>
      <c r="C88" s="74" t="str">
        <f t="shared" ca="1" si="72"/>
        <v/>
      </c>
      <c r="D88" s="74" t="str">
        <f t="shared" ca="1" si="72"/>
        <v/>
      </c>
      <c r="E88" s="74" t="str">
        <f t="shared" ca="1" si="72"/>
        <v/>
      </c>
      <c r="F88" t="str">
        <f t="shared" ca="1" si="63"/>
        <v/>
      </c>
      <c r="G88" t="str">
        <f t="shared" ca="1" si="63"/>
        <v/>
      </c>
      <c r="H88" t="str">
        <f t="shared" ca="1" si="63"/>
        <v/>
      </c>
      <c r="I88" s="74" t="str">
        <f t="shared" ca="1" si="72"/>
        <v/>
      </c>
      <c r="J88" s="74" t="str">
        <f t="shared" ca="1" si="72"/>
        <v/>
      </c>
      <c r="K88" s="74" t="str">
        <f t="shared" ca="1" si="72"/>
        <v/>
      </c>
      <c r="L88" s="74" t="str">
        <f t="shared" ca="1" si="72"/>
        <v/>
      </c>
      <c r="M88" s="74" t="str">
        <f t="shared" ca="1" si="72"/>
        <v/>
      </c>
      <c r="N88" s="74" t="str">
        <f t="shared" ca="1" si="72"/>
        <v/>
      </c>
      <c r="O88" s="74" t="str">
        <f t="shared" ca="1" si="72"/>
        <v/>
      </c>
      <c r="P88" s="74" t="str">
        <f t="shared" ca="1" si="72"/>
        <v/>
      </c>
      <c r="Q88" s="74" t="str">
        <f t="shared" ca="1" si="72"/>
        <v/>
      </c>
      <c r="R88" s="74" t="str">
        <f t="shared" ca="1" si="72"/>
        <v/>
      </c>
      <c r="S88" s="74" t="str">
        <f t="shared" ca="1" si="72"/>
        <v/>
      </c>
      <c r="T88" s="74" t="str">
        <f t="shared" ca="1" si="73"/>
        <v/>
      </c>
      <c r="U88" s="74" t="str">
        <f t="shared" ca="1" si="73"/>
        <v/>
      </c>
      <c r="V88" s="74" t="str">
        <f t="shared" ca="1" si="73"/>
        <v/>
      </c>
      <c r="W88" s="74" t="str">
        <f t="shared" ca="1" si="73"/>
        <v/>
      </c>
      <c r="X88" s="74" t="str">
        <f t="shared" ca="1" si="73"/>
        <v/>
      </c>
      <c r="Y88" s="74" t="str">
        <f t="shared" ca="1" si="73"/>
        <v/>
      </c>
      <c r="Z88" s="74" t="str">
        <f t="shared" ca="1" si="73"/>
        <v/>
      </c>
      <c r="AA88" s="74" t="str">
        <f t="shared" ca="1" si="73"/>
        <v/>
      </c>
      <c r="AB88" s="75" t="str">
        <f t="shared" ca="1" si="73"/>
        <v/>
      </c>
      <c r="AC88" s="75" t="str">
        <f t="shared" ca="1" si="73"/>
        <v/>
      </c>
      <c r="AD88" s="75" t="str">
        <f t="shared" ca="1" si="73"/>
        <v/>
      </c>
      <c r="AE88" s="75" t="str">
        <f t="shared" ca="1" si="73"/>
        <v/>
      </c>
      <c r="AF88" s="75" t="str">
        <f t="shared" ca="1" si="73"/>
        <v/>
      </c>
      <c r="AG88" s="75" t="str">
        <f t="shared" ca="1" si="73"/>
        <v/>
      </c>
      <c r="AH88" s="75" t="str">
        <f t="shared" ca="1" si="73"/>
        <v/>
      </c>
      <c r="AI88" s="75" t="str">
        <f t="shared" ca="1" si="71"/>
        <v/>
      </c>
      <c r="AJ88" s="75" t="str">
        <f t="shared" ca="1" si="71"/>
        <v/>
      </c>
      <c r="AK88" s="75" t="str">
        <f t="shared" ca="1" si="71"/>
        <v/>
      </c>
      <c r="AL88" s="75" t="str">
        <f t="shared" ca="1" si="71"/>
        <v/>
      </c>
      <c r="AM88" s="75" t="str">
        <f t="shared" ca="1" si="71"/>
        <v/>
      </c>
      <c r="AN88" s="75" t="str">
        <f t="shared" ca="1" si="71"/>
        <v/>
      </c>
      <c r="AO88" s="75" t="str">
        <f t="shared" ca="1" si="71"/>
        <v/>
      </c>
      <c r="AP88" s="75" t="str">
        <f t="shared" ca="1" si="71"/>
        <v/>
      </c>
      <c r="AQ88" s="75" t="str">
        <f t="shared" ca="1" si="71"/>
        <v/>
      </c>
      <c r="AR88" s="75" t="str">
        <f t="shared" ca="1" si="71"/>
        <v/>
      </c>
      <c r="AS88" s="75" t="str">
        <f t="shared" ca="1" si="71"/>
        <v/>
      </c>
      <c r="AT88" s="75" t="str">
        <f t="shared" ca="1" si="71"/>
        <v/>
      </c>
      <c r="AU88" s="74" t="str">
        <f t="shared" ca="1" si="71"/>
        <v/>
      </c>
      <c r="AV88" s="74" t="str">
        <f t="shared" ca="1" si="71"/>
        <v/>
      </c>
      <c r="AW88" s="74" t="str">
        <f t="shared" ca="1" si="71"/>
        <v/>
      </c>
      <c r="AX88" s="74" t="str">
        <f t="shared" ca="1" si="71"/>
        <v/>
      </c>
      <c r="AY88" s="74" t="str">
        <f t="shared" ca="1" si="67"/>
        <v/>
      </c>
      <c r="AZ88" s="74" t="str">
        <f t="shared" ca="1" si="67"/>
        <v/>
      </c>
      <c r="BA88" s="74" t="str">
        <f t="shared" ca="1" si="67"/>
        <v/>
      </c>
      <c r="BB88" s="74" t="str">
        <f t="shared" ca="1" si="67"/>
        <v/>
      </c>
      <c r="BC88" s="74" t="str">
        <f t="shared" ca="1" si="67"/>
        <v/>
      </c>
      <c r="BD88" s="74" t="str">
        <f t="shared" ca="1" si="67"/>
        <v/>
      </c>
      <c r="BE88" s="74" t="str">
        <f t="shared" ca="1" si="67"/>
        <v/>
      </c>
      <c r="BF88" s="74" t="str">
        <f t="shared" ca="1" si="67"/>
        <v/>
      </c>
      <c r="BG88" s="74" t="str">
        <f t="shared" ca="1" si="67"/>
        <v/>
      </c>
      <c r="BH88" s="74" t="str">
        <f t="shared" ca="1" si="67"/>
        <v/>
      </c>
      <c r="BI88" s="74" t="str">
        <f t="shared" ca="1" si="67"/>
        <v/>
      </c>
      <c r="BJ88" s="74" t="str">
        <f t="shared" ca="1" si="67"/>
        <v/>
      </c>
      <c r="BK88" s="74" t="str">
        <f t="shared" ca="1" si="67"/>
        <v/>
      </c>
      <c r="BL88" s="74" t="str">
        <f t="shared" ca="1" si="67"/>
        <v/>
      </c>
      <c r="BM88" s="74" t="str">
        <f t="shared" ca="1" si="67"/>
        <v/>
      </c>
      <c r="BN88" s="75" t="str">
        <f t="shared" ca="1" si="67"/>
        <v/>
      </c>
      <c r="BO88" s="75" t="str">
        <f t="shared" ca="1" si="64"/>
        <v/>
      </c>
      <c r="BP88" s="75" t="str">
        <f t="shared" ca="1" si="64"/>
        <v/>
      </c>
      <c r="BQ88" s="75" t="str">
        <f t="shared" ca="1" si="64"/>
        <v/>
      </c>
      <c r="BR88" s="75" t="str">
        <f t="shared" ca="1" si="64"/>
        <v/>
      </c>
      <c r="BS88" s="75" t="str">
        <f t="shared" ca="1" si="64"/>
        <v/>
      </c>
      <c r="BT88" s="75" t="str">
        <f t="shared" ca="1" si="64"/>
        <v/>
      </c>
      <c r="BU88" s="75" t="str">
        <f t="shared" ca="1" si="64"/>
        <v/>
      </c>
      <c r="BV88" s="75" t="str">
        <f t="shared" ca="1" si="64"/>
        <v/>
      </c>
      <c r="BW88" s="75" t="str">
        <f t="shared" ca="1" si="64"/>
        <v/>
      </c>
      <c r="BX88" s="75" t="str">
        <f t="shared" ca="1" si="64"/>
        <v/>
      </c>
      <c r="BY88" s="75" t="str">
        <f t="shared" ca="1" si="64"/>
        <v/>
      </c>
      <c r="BZ88" s="75" t="str">
        <f t="shared" ca="1" si="64"/>
        <v/>
      </c>
      <c r="CA88" s="75" t="str">
        <f t="shared" ca="1" si="64"/>
        <v/>
      </c>
      <c r="CB88" s="75" t="str">
        <f t="shared" ca="1" si="64"/>
        <v/>
      </c>
      <c r="CC88" s="75" t="str">
        <f t="shared" ca="1" si="64"/>
        <v/>
      </c>
      <c r="CD88" s="75" t="str">
        <f t="shared" ca="1" si="64"/>
        <v/>
      </c>
      <c r="CE88" s="75" t="str">
        <f t="shared" ca="1" si="68"/>
        <v/>
      </c>
      <c r="CF88" s="75" t="str">
        <f t="shared" ca="1" si="68"/>
        <v/>
      </c>
      <c r="CG88" s="74" t="str">
        <f t="shared" ca="1" si="68"/>
        <v/>
      </c>
      <c r="CH88" s="74" t="str">
        <f t="shared" ca="1" si="68"/>
        <v/>
      </c>
      <c r="CI88" s="74" t="str">
        <f t="shared" ca="1" si="68"/>
        <v/>
      </c>
      <c r="CJ88" s="74" t="str">
        <f t="shared" ca="1" si="68"/>
        <v/>
      </c>
      <c r="CK88" s="74" t="str">
        <f t="shared" ca="1" si="68"/>
        <v/>
      </c>
      <c r="CL88" s="74" t="str">
        <f t="shared" ca="1" si="68"/>
        <v/>
      </c>
      <c r="CM88" s="74" t="str">
        <f t="shared" ca="1" si="68"/>
        <v/>
      </c>
      <c r="CN88" s="74" t="str">
        <f t="shared" ca="1" si="68"/>
        <v/>
      </c>
      <c r="CO88" s="74" t="str">
        <f t="shared" ca="1" si="68"/>
        <v/>
      </c>
      <c r="CP88" s="74" t="str">
        <f t="shared" ca="1" si="68"/>
        <v/>
      </c>
      <c r="CQ88" s="74" t="str">
        <f t="shared" ca="1" si="68"/>
        <v/>
      </c>
      <c r="CR88" s="74" t="str">
        <f t="shared" ca="1" si="68"/>
        <v/>
      </c>
      <c r="CS88" s="74" t="str">
        <f t="shared" ca="1" si="68"/>
        <v/>
      </c>
      <c r="CT88" s="74" t="str">
        <f t="shared" ca="1" si="68"/>
        <v/>
      </c>
      <c r="CU88" s="74" t="str">
        <f t="shared" ca="1" si="65"/>
        <v/>
      </c>
      <c r="CV88" s="74" t="str">
        <f t="shared" ca="1" si="65"/>
        <v/>
      </c>
      <c r="CW88" s="74" t="str">
        <f t="shared" ca="1" si="65"/>
        <v/>
      </c>
      <c r="CX88" s="74" t="str">
        <f t="shared" ca="1" si="65"/>
        <v/>
      </c>
      <c r="CY88" s="74" t="str">
        <f t="shared" ca="1" si="65"/>
        <v/>
      </c>
      <c r="CZ88" s="75" t="str">
        <f t="shared" ca="1" si="65"/>
        <v/>
      </c>
      <c r="DA88" s="75" t="str">
        <f t="shared" ca="1" si="65"/>
        <v/>
      </c>
      <c r="DB88" s="75" t="str">
        <f t="shared" ca="1" si="65"/>
        <v/>
      </c>
      <c r="DC88" s="75" t="str">
        <f t="shared" ca="1" si="65"/>
        <v/>
      </c>
      <c r="DD88" s="75" t="str">
        <f t="shared" ca="1" si="65"/>
        <v/>
      </c>
      <c r="DE88" s="75" t="str">
        <f t="shared" ca="1" si="65"/>
        <v/>
      </c>
      <c r="DF88" s="75" t="str">
        <f t="shared" ca="1" si="65"/>
        <v/>
      </c>
      <c r="DG88" s="75" t="str">
        <f t="shared" ca="1" si="65"/>
        <v/>
      </c>
      <c r="DH88" s="75" t="str">
        <f t="shared" ca="1" si="65"/>
        <v/>
      </c>
      <c r="DI88" s="75" t="str">
        <f t="shared" ca="1" si="65"/>
        <v/>
      </c>
      <c r="DJ88" s="75" t="str">
        <f t="shared" ca="1" si="65"/>
        <v/>
      </c>
      <c r="DK88" s="75" t="str">
        <f t="shared" ca="1" si="69"/>
        <v/>
      </c>
      <c r="DL88" s="75" t="str">
        <f t="shared" ca="1" si="69"/>
        <v/>
      </c>
      <c r="DM88" s="75" t="str">
        <f t="shared" ca="1" si="69"/>
        <v/>
      </c>
      <c r="DN88" s="75" t="str">
        <f t="shared" ca="1" si="69"/>
        <v/>
      </c>
      <c r="DO88" s="75" t="str">
        <f t="shared" ca="1" si="69"/>
        <v/>
      </c>
      <c r="DP88" s="75" t="str">
        <f t="shared" ca="1" si="69"/>
        <v/>
      </c>
      <c r="DQ88" s="75" t="str">
        <f t="shared" ca="1" si="69"/>
        <v/>
      </c>
      <c r="DR88" s="75" t="str">
        <f t="shared" ca="1" si="69"/>
        <v/>
      </c>
      <c r="DS88" s="74" t="str">
        <f t="shared" ca="1" si="69"/>
        <v/>
      </c>
      <c r="DT88" s="74" t="str">
        <f t="shared" ca="1" si="69"/>
        <v/>
      </c>
      <c r="DU88" s="74" t="str">
        <f t="shared" ca="1" si="69"/>
        <v/>
      </c>
      <c r="DV88" s="74" t="str">
        <f t="shared" ca="1" si="69"/>
        <v/>
      </c>
      <c r="DW88" s="74" t="str">
        <f t="shared" ca="1" si="69"/>
        <v/>
      </c>
      <c r="DX88" s="74" t="str">
        <f t="shared" ca="1" si="69"/>
        <v/>
      </c>
      <c r="DY88" s="74" t="str">
        <f t="shared" ca="1" si="69"/>
        <v/>
      </c>
      <c r="DZ88" s="74" t="str">
        <f t="shared" ca="1" si="69"/>
        <v/>
      </c>
      <c r="EA88" s="74" t="str">
        <f t="shared" ca="1" si="66"/>
        <v/>
      </c>
      <c r="EB88" s="74" t="str">
        <f t="shared" ca="1" si="66"/>
        <v/>
      </c>
      <c r="EC88" s="74" t="str">
        <f t="shared" ca="1" si="66"/>
        <v/>
      </c>
      <c r="ED88" s="74" t="str">
        <f t="shared" ca="1" si="66"/>
        <v/>
      </c>
      <c r="EE88" s="74" t="str">
        <f t="shared" ca="1" si="66"/>
        <v/>
      </c>
      <c r="EF88" s="74" t="str">
        <f t="shared" ca="1" si="66"/>
        <v/>
      </c>
      <c r="EG88" s="74" t="str">
        <f t="shared" ca="1" si="66"/>
        <v/>
      </c>
      <c r="EH88" s="74" t="str">
        <f t="shared" ca="1" si="66"/>
        <v/>
      </c>
      <c r="EI88" s="74" t="str">
        <f t="shared" ca="1" si="66"/>
        <v/>
      </c>
      <c r="EJ88" s="74" t="str">
        <f t="shared" ca="1" si="66"/>
        <v/>
      </c>
      <c r="EK88" s="75" t="str">
        <f t="shared" ca="1" si="66"/>
        <v/>
      </c>
      <c r="EL88" s="75" t="str">
        <f t="shared" ca="1" si="66"/>
        <v/>
      </c>
      <c r="EM88" s="75" t="str">
        <f t="shared" ca="1" si="66"/>
        <v/>
      </c>
      <c r="EN88" s="75" t="str">
        <f t="shared" ca="1" si="66"/>
        <v/>
      </c>
      <c r="EO88" s="75" t="str">
        <f t="shared" ca="1" si="66"/>
        <v/>
      </c>
      <c r="EP88" s="75" t="str">
        <f t="shared" ca="1" si="66"/>
        <v/>
      </c>
      <c r="EQ88" s="75" t="str">
        <f t="shared" ca="1" si="70"/>
        <v/>
      </c>
      <c r="ER88" s="75" t="str">
        <f t="shared" ca="1" si="70"/>
        <v/>
      </c>
      <c r="ES88" s="75" t="str">
        <f t="shared" ca="1" si="70"/>
        <v/>
      </c>
      <c r="ET88" s="75" t="str">
        <f t="shared" ca="1" si="70"/>
        <v/>
      </c>
      <c r="EU88" s="75" t="str">
        <f t="shared" ca="1" si="70"/>
        <v/>
      </c>
      <c r="EV88" s="75" t="str">
        <f t="shared" ca="1" si="70"/>
        <v/>
      </c>
      <c r="EW88" s="75" t="str">
        <f t="shared" ca="1" si="70"/>
        <v/>
      </c>
      <c r="EX88" s="75" t="str">
        <f t="shared" ca="1" si="70"/>
        <v/>
      </c>
      <c r="EY88" s="75" t="str">
        <f t="shared" ca="1" si="70"/>
        <v/>
      </c>
      <c r="EZ88" s="75" t="str">
        <f t="shared" ca="1" si="70"/>
        <v/>
      </c>
      <c r="FA88" s="75" t="str">
        <f t="shared" ca="1" si="70"/>
        <v/>
      </c>
      <c r="FB88" s="75" t="str">
        <f t="shared" ca="1" si="70"/>
        <v/>
      </c>
      <c r="FC88" s="76" t="str">
        <f t="shared" ca="1" si="70"/>
        <v/>
      </c>
      <c r="FD88" s="74" t="str">
        <f t="shared" ca="1" si="70"/>
        <v/>
      </c>
      <c r="FE88" s="74" t="str">
        <f t="shared" ca="1" si="70"/>
        <v/>
      </c>
      <c r="FF88" s="74" t="str">
        <f t="shared" ca="1" si="70"/>
        <v/>
      </c>
      <c r="FG88" s="74" t="str">
        <f t="shared" ca="1" si="74"/>
        <v/>
      </c>
      <c r="FH88" s="74" t="str">
        <f t="shared" ca="1" si="74"/>
        <v/>
      </c>
      <c r="FI88" s="74" t="str">
        <f t="shared" ca="1" si="74"/>
        <v/>
      </c>
      <c r="FJ88" s="74" t="str">
        <f t="shared" ca="1" si="74"/>
        <v/>
      </c>
      <c r="FK88" s="74" t="str">
        <f t="shared" ca="1" si="74"/>
        <v/>
      </c>
      <c r="FL88" s="74" t="str">
        <f t="shared" ca="1" si="74"/>
        <v/>
      </c>
      <c r="FM88" s="74" t="str">
        <f t="shared" ca="1" si="74"/>
        <v/>
      </c>
      <c r="FN88" s="74" t="str">
        <f t="shared" ca="1" si="74"/>
        <v/>
      </c>
      <c r="FO88" s="74" t="str">
        <f t="shared" ca="1" si="74"/>
        <v/>
      </c>
      <c r="FP88" s="74" t="str">
        <f t="shared" ca="1" si="74"/>
        <v/>
      </c>
      <c r="FQ88" s="74" t="str">
        <f t="shared" ca="1" si="74"/>
        <v/>
      </c>
      <c r="FR88" s="74" t="str">
        <f t="shared" ca="1" si="74"/>
        <v/>
      </c>
      <c r="FS88" s="74" t="str">
        <f t="shared" ca="1" si="74"/>
        <v/>
      </c>
      <c r="FT88" s="74" t="str">
        <f t="shared" ca="1" si="74"/>
        <v/>
      </c>
    </row>
    <row r="89" spans="1:176" x14ac:dyDescent="0.35">
      <c r="A89" s="74"/>
      <c r="B89" s="74" t="str">
        <f t="shared" ca="1" si="72"/>
        <v/>
      </c>
      <c r="C89" s="74" t="str">
        <f t="shared" ca="1" si="72"/>
        <v/>
      </c>
      <c r="D89" s="74" t="str">
        <f t="shared" ca="1" si="72"/>
        <v/>
      </c>
      <c r="E89" s="74" t="str">
        <f t="shared" ca="1" si="72"/>
        <v/>
      </c>
      <c r="F89" t="str">
        <f t="shared" ca="1" si="63"/>
        <v/>
      </c>
      <c r="G89" t="str">
        <f t="shared" ca="1" si="63"/>
        <v/>
      </c>
      <c r="H89" t="str">
        <f t="shared" ca="1" si="63"/>
        <v/>
      </c>
      <c r="I89" s="74" t="str">
        <f t="shared" ca="1" si="72"/>
        <v/>
      </c>
      <c r="J89" s="74" t="str">
        <f t="shared" ca="1" si="72"/>
        <v/>
      </c>
      <c r="K89" s="74" t="str">
        <f t="shared" ca="1" si="72"/>
        <v/>
      </c>
      <c r="L89" s="74" t="str">
        <f t="shared" ca="1" si="72"/>
        <v/>
      </c>
      <c r="M89" s="74" t="str">
        <f t="shared" ca="1" si="72"/>
        <v/>
      </c>
      <c r="N89" s="74" t="str">
        <f t="shared" ca="1" si="72"/>
        <v/>
      </c>
      <c r="O89" s="74" t="str">
        <f t="shared" ca="1" si="72"/>
        <v/>
      </c>
      <c r="P89" s="74" t="str">
        <f t="shared" ca="1" si="72"/>
        <v/>
      </c>
      <c r="Q89" s="74" t="str">
        <f t="shared" ca="1" si="72"/>
        <v/>
      </c>
      <c r="R89" s="74" t="str">
        <f t="shared" ca="1" si="72"/>
        <v/>
      </c>
      <c r="S89" s="74" t="str">
        <f t="shared" ca="1" si="72"/>
        <v/>
      </c>
      <c r="T89" s="74" t="str">
        <f t="shared" ca="1" si="73"/>
        <v/>
      </c>
      <c r="U89" s="74" t="str">
        <f t="shared" ca="1" si="73"/>
        <v/>
      </c>
      <c r="V89" s="74" t="str">
        <f t="shared" ca="1" si="73"/>
        <v/>
      </c>
      <c r="W89" s="74" t="str">
        <f t="shared" ca="1" si="73"/>
        <v/>
      </c>
      <c r="X89" s="74" t="str">
        <f t="shared" ca="1" si="73"/>
        <v/>
      </c>
      <c r="Y89" s="74" t="str">
        <f t="shared" ca="1" si="73"/>
        <v/>
      </c>
      <c r="Z89" s="74" t="str">
        <f t="shared" ca="1" si="73"/>
        <v/>
      </c>
      <c r="AA89" s="74" t="str">
        <f t="shared" ca="1" si="73"/>
        <v/>
      </c>
      <c r="AB89" s="75" t="str">
        <f t="shared" ca="1" si="73"/>
        <v/>
      </c>
      <c r="AC89" s="75" t="str">
        <f t="shared" ca="1" si="73"/>
        <v/>
      </c>
      <c r="AD89" s="75" t="str">
        <f t="shared" ca="1" si="73"/>
        <v/>
      </c>
      <c r="AE89" s="75" t="str">
        <f t="shared" ca="1" si="73"/>
        <v/>
      </c>
      <c r="AF89" s="75" t="str">
        <f t="shared" ca="1" si="73"/>
        <v/>
      </c>
      <c r="AG89" s="75" t="str">
        <f t="shared" ca="1" si="73"/>
        <v/>
      </c>
      <c r="AH89" s="75" t="str">
        <f t="shared" ca="1" si="73"/>
        <v/>
      </c>
      <c r="AI89" s="75" t="str">
        <f t="shared" ca="1" si="71"/>
        <v/>
      </c>
      <c r="AJ89" s="75" t="str">
        <f t="shared" ca="1" si="71"/>
        <v/>
      </c>
      <c r="AK89" s="75" t="str">
        <f t="shared" ca="1" si="71"/>
        <v/>
      </c>
      <c r="AL89" s="75" t="str">
        <f t="shared" ca="1" si="71"/>
        <v/>
      </c>
      <c r="AM89" s="75" t="str">
        <f t="shared" ca="1" si="71"/>
        <v/>
      </c>
      <c r="AN89" s="75" t="str">
        <f t="shared" ca="1" si="71"/>
        <v/>
      </c>
      <c r="AO89" s="75" t="str">
        <f t="shared" ca="1" si="71"/>
        <v/>
      </c>
      <c r="AP89" s="75" t="str">
        <f t="shared" ca="1" si="71"/>
        <v/>
      </c>
      <c r="AQ89" s="75" t="str">
        <f t="shared" ca="1" si="71"/>
        <v/>
      </c>
      <c r="AR89" s="75" t="str">
        <f t="shared" ca="1" si="71"/>
        <v/>
      </c>
      <c r="AS89" s="75" t="str">
        <f t="shared" ca="1" si="71"/>
        <v/>
      </c>
      <c r="AT89" s="75" t="str">
        <f t="shared" ca="1" si="71"/>
        <v/>
      </c>
      <c r="AU89" s="74" t="str">
        <f t="shared" ca="1" si="71"/>
        <v/>
      </c>
      <c r="AV89" s="74" t="str">
        <f t="shared" ca="1" si="71"/>
        <v/>
      </c>
      <c r="AW89" s="74" t="str">
        <f t="shared" ca="1" si="71"/>
        <v/>
      </c>
      <c r="AX89" s="74" t="str">
        <f t="shared" ca="1" si="71"/>
        <v/>
      </c>
      <c r="AY89" s="74" t="str">
        <f t="shared" ca="1" si="67"/>
        <v/>
      </c>
      <c r="AZ89" s="74" t="str">
        <f t="shared" ca="1" si="67"/>
        <v/>
      </c>
      <c r="BA89" s="74" t="str">
        <f t="shared" ca="1" si="67"/>
        <v/>
      </c>
      <c r="BB89" s="74" t="str">
        <f t="shared" ca="1" si="67"/>
        <v/>
      </c>
      <c r="BC89" s="74" t="str">
        <f t="shared" ca="1" si="67"/>
        <v/>
      </c>
      <c r="BD89" s="74" t="str">
        <f t="shared" ca="1" si="67"/>
        <v/>
      </c>
      <c r="BE89" s="74" t="str">
        <f t="shared" ca="1" si="67"/>
        <v/>
      </c>
      <c r="BF89" s="74" t="str">
        <f t="shared" ca="1" si="67"/>
        <v/>
      </c>
      <c r="BG89" s="74" t="str">
        <f t="shared" ca="1" si="67"/>
        <v/>
      </c>
      <c r="BH89" s="74" t="str">
        <f t="shared" ca="1" si="67"/>
        <v/>
      </c>
      <c r="BI89" s="74" t="str">
        <f t="shared" ca="1" si="67"/>
        <v/>
      </c>
      <c r="BJ89" s="74" t="str">
        <f t="shared" ca="1" si="67"/>
        <v/>
      </c>
      <c r="BK89" s="74" t="str">
        <f t="shared" ca="1" si="67"/>
        <v/>
      </c>
      <c r="BL89" s="74" t="str">
        <f t="shared" ca="1" si="67"/>
        <v/>
      </c>
      <c r="BM89" s="74" t="str">
        <f t="shared" ca="1" si="67"/>
        <v/>
      </c>
      <c r="BN89" s="75" t="str">
        <f t="shared" ca="1" si="67"/>
        <v/>
      </c>
      <c r="BO89" s="75" t="str">
        <f t="shared" ca="1" si="64"/>
        <v/>
      </c>
      <c r="BP89" s="75" t="str">
        <f t="shared" ca="1" si="64"/>
        <v/>
      </c>
      <c r="BQ89" s="75" t="str">
        <f t="shared" ca="1" si="64"/>
        <v/>
      </c>
      <c r="BR89" s="75" t="str">
        <f t="shared" ca="1" si="64"/>
        <v/>
      </c>
      <c r="BS89" s="75" t="str">
        <f t="shared" ca="1" si="64"/>
        <v/>
      </c>
      <c r="BT89" s="75" t="str">
        <f t="shared" ca="1" si="64"/>
        <v/>
      </c>
      <c r="BU89" s="75" t="str">
        <f t="shared" ca="1" si="64"/>
        <v/>
      </c>
      <c r="BV89" s="75" t="str">
        <f t="shared" ca="1" si="64"/>
        <v/>
      </c>
      <c r="BW89" s="75" t="str">
        <f t="shared" ca="1" si="64"/>
        <v/>
      </c>
      <c r="BX89" s="75" t="str">
        <f t="shared" ca="1" si="64"/>
        <v/>
      </c>
      <c r="BY89" s="75" t="str">
        <f t="shared" ca="1" si="64"/>
        <v/>
      </c>
      <c r="BZ89" s="75" t="str">
        <f t="shared" ca="1" si="64"/>
        <v/>
      </c>
      <c r="CA89" s="75" t="str">
        <f t="shared" ca="1" si="64"/>
        <v/>
      </c>
      <c r="CB89" s="75" t="str">
        <f t="shared" ca="1" si="64"/>
        <v/>
      </c>
      <c r="CC89" s="75" t="str">
        <f t="shared" ca="1" si="64"/>
        <v/>
      </c>
      <c r="CD89" s="75" t="str">
        <f t="shared" ca="1" si="64"/>
        <v/>
      </c>
      <c r="CE89" s="75" t="str">
        <f t="shared" ca="1" si="68"/>
        <v/>
      </c>
      <c r="CF89" s="75" t="str">
        <f t="shared" ca="1" si="68"/>
        <v/>
      </c>
      <c r="CG89" s="74" t="str">
        <f t="shared" ca="1" si="68"/>
        <v/>
      </c>
      <c r="CH89" s="74" t="str">
        <f t="shared" ca="1" si="68"/>
        <v/>
      </c>
      <c r="CI89" s="74" t="str">
        <f t="shared" ca="1" si="68"/>
        <v/>
      </c>
      <c r="CJ89" s="74" t="str">
        <f t="shared" ca="1" si="68"/>
        <v/>
      </c>
      <c r="CK89" s="74" t="str">
        <f t="shared" ca="1" si="68"/>
        <v/>
      </c>
      <c r="CL89" s="74" t="str">
        <f t="shared" ca="1" si="68"/>
        <v/>
      </c>
      <c r="CM89" s="74" t="str">
        <f t="shared" ca="1" si="68"/>
        <v/>
      </c>
      <c r="CN89" s="74" t="str">
        <f t="shared" ca="1" si="68"/>
        <v/>
      </c>
      <c r="CO89" s="74" t="str">
        <f t="shared" ca="1" si="68"/>
        <v/>
      </c>
      <c r="CP89" s="74" t="str">
        <f t="shared" ca="1" si="68"/>
        <v/>
      </c>
      <c r="CQ89" s="74" t="str">
        <f t="shared" ca="1" si="68"/>
        <v/>
      </c>
      <c r="CR89" s="74" t="str">
        <f t="shared" ca="1" si="68"/>
        <v/>
      </c>
      <c r="CS89" s="74" t="str">
        <f t="shared" ca="1" si="68"/>
        <v/>
      </c>
      <c r="CT89" s="74" t="str">
        <f t="shared" ca="1" si="68"/>
        <v/>
      </c>
      <c r="CU89" s="74" t="str">
        <f t="shared" ca="1" si="65"/>
        <v/>
      </c>
      <c r="CV89" s="74" t="str">
        <f t="shared" ca="1" si="65"/>
        <v/>
      </c>
      <c r="CW89" s="74" t="str">
        <f t="shared" ca="1" si="65"/>
        <v/>
      </c>
      <c r="CX89" s="74" t="str">
        <f t="shared" ca="1" si="65"/>
        <v/>
      </c>
      <c r="CY89" s="74" t="str">
        <f t="shared" ca="1" si="65"/>
        <v/>
      </c>
      <c r="CZ89" s="75" t="str">
        <f t="shared" ca="1" si="65"/>
        <v/>
      </c>
      <c r="DA89" s="75" t="str">
        <f t="shared" ca="1" si="65"/>
        <v/>
      </c>
      <c r="DB89" s="75" t="str">
        <f t="shared" ca="1" si="65"/>
        <v/>
      </c>
      <c r="DC89" s="75" t="str">
        <f t="shared" ca="1" si="65"/>
        <v/>
      </c>
      <c r="DD89" s="75" t="str">
        <f t="shared" ca="1" si="65"/>
        <v/>
      </c>
      <c r="DE89" s="75" t="str">
        <f t="shared" ca="1" si="65"/>
        <v/>
      </c>
      <c r="DF89" s="75" t="str">
        <f t="shared" ca="1" si="65"/>
        <v/>
      </c>
      <c r="DG89" s="75" t="str">
        <f t="shared" ca="1" si="65"/>
        <v/>
      </c>
      <c r="DH89" s="75" t="str">
        <f t="shared" ca="1" si="65"/>
        <v/>
      </c>
      <c r="DI89" s="75" t="str">
        <f t="shared" ca="1" si="65"/>
        <v/>
      </c>
      <c r="DJ89" s="75" t="str">
        <f t="shared" ca="1" si="65"/>
        <v/>
      </c>
      <c r="DK89" s="75" t="str">
        <f t="shared" ca="1" si="69"/>
        <v/>
      </c>
      <c r="DL89" s="75" t="str">
        <f t="shared" ca="1" si="69"/>
        <v/>
      </c>
      <c r="DM89" s="75" t="str">
        <f t="shared" ca="1" si="69"/>
        <v/>
      </c>
      <c r="DN89" s="75" t="str">
        <f t="shared" ca="1" si="69"/>
        <v/>
      </c>
      <c r="DO89" s="75" t="str">
        <f t="shared" ca="1" si="69"/>
        <v/>
      </c>
      <c r="DP89" s="75" t="str">
        <f t="shared" ca="1" si="69"/>
        <v/>
      </c>
      <c r="DQ89" s="75" t="str">
        <f t="shared" ca="1" si="69"/>
        <v/>
      </c>
      <c r="DR89" s="75" t="str">
        <f t="shared" ca="1" si="69"/>
        <v/>
      </c>
      <c r="DS89" s="74" t="str">
        <f t="shared" ca="1" si="69"/>
        <v/>
      </c>
      <c r="DT89" s="74" t="str">
        <f t="shared" ca="1" si="69"/>
        <v/>
      </c>
      <c r="DU89" s="74" t="str">
        <f t="shared" ca="1" si="69"/>
        <v/>
      </c>
      <c r="DV89" s="74" t="str">
        <f t="shared" ca="1" si="69"/>
        <v/>
      </c>
      <c r="DW89" s="74" t="str">
        <f t="shared" ca="1" si="69"/>
        <v/>
      </c>
      <c r="DX89" s="74" t="str">
        <f t="shared" ca="1" si="69"/>
        <v/>
      </c>
      <c r="DY89" s="74" t="str">
        <f t="shared" ca="1" si="69"/>
        <v/>
      </c>
      <c r="DZ89" s="74" t="str">
        <f t="shared" ca="1" si="69"/>
        <v/>
      </c>
      <c r="EA89" s="74" t="str">
        <f t="shared" ca="1" si="66"/>
        <v/>
      </c>
      <c r="EB89" s="74" t="str">
        <f t="shared" ca="1" si="66"/>
        <v/>
      </c>
      <c r="EC89" s="74" t="str">
        <f t="shared" ca="1" si="66"/>
        <v/>
      </c>
      <c r="ED89" s="74" t="str">
        <f t="shared" ca="1" si="66"/>
        <v/>
      </c>
      <c r="EE89" s="74" t="str">
        <f t="shared" ca="1" si="66"/>
        <v/>
      </c>
      <c r="EF89" s="74" t="str">
        <f t="shared" ca="1" si="66"/>
        <v/>
      </c>
      <c r="EG89" s="74" t="str">
        <f t="shared" ca="1" si="66"/>
        <v/>
      </c>
      <c r="EH89" s="74" t="str">
        <f t="shared" ca="1" si="66"/>
        <v/>
      </c>
      <c r="EI89" s="74" t="str">
        <f t="shared" ca="1" si="66"/>
        <v/>
      </c>
      <c r="EJ89" s="74" t="str">
        <f t="shared" ca="1" si="66"/>
        <v/>
      </c>
      <c r="EK89" s="75" t="str">
        <f t="shared" ca="1" si="66"/>
        <v/>
      </c>
      <c r="EL89" s="75" t="str">
        <f t="shared" ca="1" si="66"/>
        <v/>
      </c>
      <c r="EM89" s="75" t="str">
        <f t="shared" ca="1" si="66"/>
        <v/>
      </c>
      <c r="EN89" s="75" t="str">
        <f t="shared" ca="1" si="66"/>
        <v/>
      </c>
      <c r="EO89" s="75" t="str">
        <f t="shared" ca="1" si="66"/>
        <v/>
      </c>
      <c r="EP89" s="75" t="str">
        <f t="shared" ca="1" si="66"/>
        <v/>
      </c>
      <c r="EQ89" s="75" t="str">
        <f t="shared" ca="1" si="70"/>
        <v/>
      </c>
      <c r="ER89" s="75" t="str">
        <f t="shared" ca="1" si="70"/>
        <v/>
      </c>
      <c r="ES89" s="75" t="str">
        <f t="shared" ca="1" si="70"/>
        <v/>
      </c>
      <c r="ET89" s="75" t="str">
        <f t="shared" ca="1" si="70"/>
        <v/>
      </c>
      <c r="EU89" s="75" t="str">
        <f t="shared" ca="1" si="70"/>
        <v/>
      </c>
      <c r="EV89" s="75" t="str">
        <f t="shared" ca="1" si="70"/>
        <v/>
      </c>
      <c r="EW89" s="75" t="str">
        <f t="shared" ca="1" si="70"/>
        <v/>
      </c>
      <c r="EX89" s="75" t="str">
        <f t="shared" ca="1" si="70"/>
        <v/>
      </c>
      <c r="EY89" s="75" t="str">
        <f t="shared" ca="1" si="70"/>
        <v/>
      </c>
      <c r="EZ89" s="75" t="str">
        <f t="shared" ca="1" si="70"/>
        <v/>
      </c>
      <c r="FA89" s="75" t="str">
        <f t="shared" ca="1" si="70"/>
        <v/>
      </c>
      <c r="FB89" s="75" t="str">
        <f t="shared" ca="1" si="70"/>
        <v/>
      </c>
      <c r="FC89" s="76" t="str">
        <f t="shared" ca="1" si="70"/>
        <v/>
      </c>
      <c r="FD89" s="74" t="str">
        <f t="shared" ca="1" si="70"/>
        <v/>
      </c>
      <c r="FE89" s="74" t="str">
        <f t="shared" ca="1" si="70"/>
        <v/>
      </c>
      <c r="FF89" s="74" t="str">
        <f t="shared" ca="1" si="70"/>
        <v/>
      </c>
      <c r="FG89" s="74" t="str">
        <f t="shared" ca="1" si="74"/>
        <v/>
      </c>
      <c r="FH89" s="74" t="str">
        <f t="shared" ca="1" si="74"/>
        <v/>
      </c>
      <c r="FI89" s="74" t="str">
        <f t="shared" ca="1" si="74"/>
        <v/>
      </c>
      <c r="FJ89" s="74" t="str">
        <f t="shared" ca="1" si="74"/>
        <v/>
      </c>
      <c r="FK89" s="74" t="str">
        <f t="shared" ca="1" si="74"/>
        <v/>
      </c>
      <c r="FL89" s="74" t="str">
        <f t="shared" ca="1" si="74"/>
        <v/>
      </c>
      <c r="FM89" s="74" t="str">
        <f t="shared" ca="1" si="74"/>
        <v/>
      </c>
      <c r="FN89" s="74" t="str">
        <f t="shared" ca="1" si="74"/>
        <v/>
      </c>
      <c r="FO89" s="74" t="str">
        <f t="shared" ca="1" si="74"/>
        <v/>
      </c>
      <c r="FP89" s="74" t="str">
        <f t="shared" ca="1" si="74"/>
        <v/>
      </c>
      <c r="FQ89" s="74" t="str">
        <f t="shared" ca="1" si="74"/>
        <v/>
      </c>
      <c r="FR89" s="74" t="str">
        <f t="shared" ca="1" si="74"/>
        <v/>
      </c>
      <c r="FS89" s="74" t="str">
        <f t="shared" ca="1" si="74"/>
        <v/>
      </c>
      <c r="FT89" s="74" t="str">
        <f t="shared" ca="1" si="74"/>
        <v/>
      </c>
    </row>
    <row r="90" spans="1:176" x14ac:dyDescent="0.35">
      <c r="A90" s="74"/>
      <c r="B90" s="74" t="str">
        <f t="shared" ca="1" si="72"/>
        <v/>
      </c>
      <c r="C90" s="74" t="str">
        <f t="shared" ca="1" si="72"/>
        <v/>
      </c>
      <c r="D90" s="74" t="str">
        <f t="shared" ca="1" si="72"/>
        <v/>
      </c>
      <c r="E90" s="74" t="str">
        <f t="shared" ca="1" si="72"/>
        <v/>
      </c>
      <c r="F90" t="str">
        <f t="shared" ca="1" si="63"/>
        <v/>
      </c>
      <c r="G90" t="str">
        <f t="shared" ca="1" si="63"/>
        <v/>
      </c>
      <c r="H90" t="str">
        <f t="shared" ca="1" si="63"/>
        <v/>
      </c>
      <c r="I90" s="74" t="str">
        <f t="shared" ca="1" si="72"/>
        <v/>
      </c>
      <c r="J90" s="74" t="str">
        <f t="shared" ca="1" si="72"/>
        <v/>
      </c>
      <c r="K90" s="74" t="str">
        <f t="shared" ca="1" si="72"/>
        <v/>
      </c>
      <c r="L90" s="74" t="str">
        <f t="shared" ca="1" si="72"/>
        <v/>
      </c>
      <c r="M90" s="74" t="str">
        <f t="shared" ca="1" si="72"/>
        <v/>
      </c>
      <c r="N90" s="74" t="str">
        <f t="shared" ca="1" si="72"/>
        <v/>
      </c>
      <c r="O90" s="74" t="str">
        <f t="shared" ca="1" si="72"/>
        <v/>
      </c>
      <c r="P90" s="74" t="str">
        <f t="shared" ca="1" si="72"/>
        <v/>
      </c>
      <c r="Q90" s="74" t="str">
        <f t="shared" ca="1" si="72"/>
        <v/>
      </c>
      <c r="R90" s="74" t="str">
        <f t="shared" ca="1" si="72"/>
        <v/>
      </c>
      <c r="S90" s="74" t="str">
        <f t="shared" ca="1" si="72"/>
        <v/>
      </c>
      <c r="T90" s="74" t="str">
        <f t="shared" ca="1" si="73"/>
        <v/>
      </c>
      <c r="U90" s="74" t="str">
        <f t="shared" ca="1" si="73"/>
        <v/>
      </c>
      <c r="V90" s="74" t="str">
        <f t="shared" ca="1" si="73"/>
        <v/>
      </c>
      <c r="W90" s="74" t="str">
        <f t="shared" ca="1" si="73"/>
        <v/>
      </c>
      <c r="X90" s="74" t="str">
        <f t="shared" ca="1" si="73"/>
        <v/>
      </c>
      <c r="Y90" s="74" t="str">
        <f t="shared" ca="1" si="73"/>
        <v/>
      </c>
      <c r="Z90" s="74" t="str">
        <f t="shared" ca="1" si="73"/>
        <v/>
      </c>
      <c r="AA90" s="74" t="str">
        <f t="shared" ca="1" si="73"/>
        <v/>
      </c>
      <c r="AB90" s="75" t="str">
        <f t="shared" ca="1" si="73"/>
        <v/>
      </c>
      <c r="AC90" s="75" t="str">
        <f t="shared" ca="1" si="73"/>
        <v/>
      </c>
      <c r="AD90" s="75" t="str">
        <f t="shared" ca="1" si="73"/>
        <v/>
      </c>
      <c r="AE90" s="75" t="str">
        <f t="shared" ca="1" si="73"/>
        <v/>
      </c>
      <c r="AF90" s="75" t="str">
        <f t="shared" ca="1" si="73"/>
        <v/>
      </c>
      <c r="AG90" s="75" t="str">
        <f t="shared" ca="1" si="73"/>
        <v/>
      </c>
      <c r="AH90" s="75" t="str">
        <f t="shared" ca="1" si="73"/>
        <v/>
      </c>
      <c r="AI90" s="75" t="str">
        <f t="shared" ca="1" si="71"/>
        <v/>
      </c>
      <c r="AJ90" s="75" t="str">
        <f t="shared" ca="1" si="71"/>
        <v/>
      </c>
      <c r="AK90" s="75" t="str">
        <f t="shared" ca="1" si="71"/>
        <v/>
      </c>
      <c r="AL90" s="75" t="str">
        <f t="shared" ca="1" si="71"/>
        <v/>
      </c>
      <c r="AM90" s="75" t="str">
        <f t="shared" ca="1" si="71"/>
        <v/>
      </c>
      <c r="AN90" s="75" t="str">
        <f t="shared" ca="1" si="71"/>
        <v/>
      </c>
      <c r="AO90" s="75" t="str">
        <f t="shared" ca="1" si="71"/>
        <v/>
      </c>
      <c r="AP90" s="75" t="str">
        <f t="shared" ca="1" si="71"/>
        <v/>
      </c>
      <c r="AQ90" s="75" t="str">
        <f t="shared" ca="1" si="71"/>
        <v/>
      </c>
      <c r="AR90" s="75" t="str">
        <f t="shared" ca="1" si="71"/>
        <v/>
      </c>
      <c r="AS90" s="75" t="str">
        <f t="shared" ca="1" si="71"/>
        <v/>
      </c>
      <c r="AT90" s="75" t="str">
        <f t="shared" ca="1" si="71"/>
        <v/>
      </c>
      <c r="AU90" s="74" t="str">
        <f t="shared" ca="1" si="71"/>
        <v/>
      </c>
      <c r="AV90" s="74" t="str">
        <f t="shared" ca="1" si="71"/>
        <v/>
      </c>
      <c r="AW90" s="74" t="str">
        <f t="shared" ca="1" si="71"/>
        <v/>
      </c>
      <c r="AX90" s="74" t="str">
        <f t="shared" ca="1" si="71"/>
        <v/>
      </c>
      <c r="AY90" s="74" t="str">
        <f t="shared" ca="1" si="67"/>
        <v/>
      </c>
      <c r="AZ90" s="74" t="str">
        <f t="shared" ca="1" si="67"/>
        <v/>
      </c>
      <c r="BA90" s="74" t="str">
        <f t="shared" ca="1" si="67"/>
        <v/>
      </c>
      <c r="BB90" s="74" t="str">
        <f t="shared" ca="1" si="67"/>
        <v/>
      </c>
      <c r="BC90" s="74" t="str">
        <f t="shared" ca="1" si="67"/>
        <v/>
      </c>
      <c r="BD90" s="74" t="str">
        <f t="shared" ca="1" si="67"/>
        <v/>
      </c>
      <c r="BE90" s="74" t="str">
        <f t="shared" ca="1" si="67"/>
        <v/>
      </c>
      <c r="BF90" s="74" t="str">
        <f t="shared" ca="1" si="67"/>
        <v/>
      </c>
      <c r="BG90" s="74" t="str">
        <f t="shared" ca="1" si="67"/>
        <v/>
      </c>
      <c r="BH90" s="74" t="str">
        <f t="shared" ca="1" si="67"/>
        <v/>
      </c>
      <c r="BI90" s="74" t="str">
        <f t="shared" ca="1" si="67"/>
        <v/>
      </c>
      <c r="BJ90" s="74" t="str">
        <f t="shared" ca="1" si="67"/>
        <v/>
      </c>
      <c r="BK90" s="74" t="str">
        <f t="shared" ca="1" si="67"/>
        <v/>
      </c>
      <c r="BL90" s="74" t="str">
        <f t="shared" ca="1" si="67"/>
        <v/>
      </c>
      <c r="BM90" s="74" t="str">
        <f t="shared" ca="1" si="67"/>
        <v/>
      </c>
      <c r="BN90" s="75" t="str">
        <f t="shared" ca="1" si="67"/>
        <v/>
      </c>
      <c r="BO90" s="75" t="str">
        <f t="shared" ca="1" si="64"/>
        <v/>
      </c>
      <c r="BP90" s="75" t="str">
        <f t="shared" ca="1" si="64"/>
        <v/>
      </c>
      <c r="BQ90" s="75" t="str">
        <f t="shared" ca="1" si="64"/>
        <v/>
      </c>
      <c r="BR90" s="75" t="str">
        <f t="shared" ca="1" si="64"/>
        <v/>
      </c>
      <c r="BS90" s="75" t="str">
        <f t="shared" ca="1" si="64"/>
        <v/>
      </c>
      <c r="BT90" s="75" t="str">
        <f t="shared" ca="1" si="64"/>
        <v/>
      </c>
      <c r="BU90" s="75" t="str">
        <f t="shared" ca="1" si="64"/>
        <v/>
      </c>
      <c r="BV90" s="75" t="str">
        <f t="shared" ca="1" si="64"/>
        <v/>
      </c>
      <c r="BW90" s="75" t="str">
        <f t="shared" ca="1" si="64"/>
        <v/>
      </c>
      <c r="BX90" s="75" t="str">
        <f t="shared" ca="1" si="64"/>
        <v/>
      </c>
      <c r="BY90" s="75" t="str">
        <f t="shared" ca="1" si="64"/>
        <v/>
      </c>
      <c r="BZ90" s="75" t="str">
        <f t="shared" ca="1" si="64"/>
        <v/>
      </c>
      <c r="CA90" s="75" t="str">
        <f t="shared" ca="1" si="64"/>
        <v/>
      </c>
      <c r="CB90" s="75" t="str">
        <f t="shared" ca="1" si="64"/>
        <v/>
      </c>
      <c r="CC90" s="75" t="str">
        <f t="shared" ca="1" si="64"/>
        <v/>
      </c>
      <c r="CD90" s="75" t="str">
        <f t="shared" ca="1" si="64"/>
        <v/>
      </c>
      <c r="CE90" s="75" t="str">
        <f t="shared" ca="1" si="68"/>
        <v/>
      </c>
      <c r="CF90" s="75" t="str">
        <f t="shared" ca="1" si="68"/>
        <v/>
      </c>
      <c r="CG90" s="74" t="str">
        <f t="shared" ca="1" si="68"/>
        <v/>
      </c>
      <c r="CH90" s="74" t="str">
        <f t="shared" ca="1" si="68"/>
        <v/>
      </c>
      <c r="CI90" s="74" t="str">
        <f t="shared" ca="1" si="68"/>
        <v/>
      </c>
      <c r="CJ90" s="74" t="str">
        <f t="shared" ca="1" si="68"/>
        <v/>
      </c>
      <c r="CK90" s="74" t="str">
        <f t="shared" ca="1" si="68"/>
        <v/>
      </c>
      <c r="CL90" s="74" t="str">
        <f t="shared" ca="1" si="68"/>
        <v/>
      </c>
      <c r="CM90" s="74" t="str">
        <f t="shared" ca="1" si="68"/>
        <v/>
      </c>
      <c r="CN90" s="74" t="str">
        <f t="shared" ca="1" si="68"/>
        <v/>
      </c>
      <c r="CO90" s="74" t="str">
        <f t="shared" ca="1" si="68"/>
        <v/>
      </c>
      <c r="CP90" s="74" t="str">
        <f t="shared" ca="1" si="68"/>
        <v/>
      </c>
      <c r="CQ90" s="74" t="str">
        <f t="shared" ca="1" si="68"/>
        <v/>
      </c>
      <c r="CR90" s="74" t="str">
        <f t="shared" ca="1" si="68"/>
        <v/>
      </c>
      <c r="CS90" s="74" t="str">
        <f t="shared" ca="1" si="68"/>
        <v/>
      </c>
      <c r="CT90" s="74" t="str">
        <f t="shared" ca="1" si="68"/>
        <v/>
      </c>
      <c r="CU90" s="74" t="str">
        <f t="shared" ca="1" si="65"/>
        <v/>
      </c>
      <c r="CV90" s="74" t="str">
        <f t="shared" ca="1" si="65"/>
        <v/>
      </c>
      <c r="CW90" s="74" t="str">
        <f t="shared" ca="1" si="65"/>
        <v/>
      </c>
      <c r="CX90" s="74" t="str">
        <f t="shared" ca="1" si="65"/>
        <v/>
      </c>
      <c r="CY90" s="74" t="str">
        <f t="shared" ca="1" si="65"/>
        <v/>
      </c>
      <c r="CZ90" s="75" t="str">
        <f t="shared" ca="1" si="65"/>
        <v/>
      </c>
      <c r="DA90" s="75" t="str">
        <f t="shared" ca="1" si="65"/>
        <v/>
      </c>
      <c r="DB90" s="75" t="str">
        <f t="shared" ca="1" si="65"/>
        <v/>
      </c>
      <c r="DC90" s="75" t="str">
        <f t="shared" ca="1" si="65"/>
        <v/>
      </c>
      <c r="DD90" s="75" t="str">
        <f t="shared" ca="1" si="65"/>
        <v/>
      </c>
      <c r="DE90" s="75" t="str">
        <f t="shared" ca="1" si="65"/>
        <v/>
      </c>
      <c r="DF90" s="75" t="str">
        <f t="shared" ca="1" si="65"/>
        <v/>
      </c>
      <c r="DG90" s="75" t="str">
        <f t="shared" ca="1" si="65"/>
        <v/>
      </c>
      <c r="DH90" s="75" t="str">
        <f t="shared" ca="1" si="65"/>
        <v/>
      </c>
      <c r="DI90" s="75" t="str">
        <f t="shared" ca="1" si="65"/>
        <v/>
      </c>
      <c r="DJ90" s="75" t="str">
        <f t="shared" ca="1" si="65"/>
        <v/>
      </c>
      <c r="DK90" s="75" t="str">
        <f t="shared" ca="1" si="69"/>
        <v/>
      </c>
      <c r="DL90" s="75" t="str">
        <f t="shared" ca="1" si="69"/>
        <v/>
      </c>
      <c r="DM90" s="75" t="str">
        <f t="shared" ca="1" si="69"/>
        <v/>
      </c>
      <c r="DN90" s="75" t="str">
        <f t="shared" ca="1" si="69"/>
        <v/>
      </c>
      <c r="DO90" s="75" t="str">
        <f t="shared" ca="1" si="69"/>
        <v/>
      </c>
      <c r="DP90" s="75" t="str">
        <f t="shared" ca="1" si="69"/>
        <v/>
      </c>
      <c r="DQ90" s="75" t="str">
        <f t="shared" ca="1" si="69"/>
        <v/>
      </c>
      <c r="DR90" s="75" t="str">
        <f t="shared" ca="1" si="69"/>
        <v/>
      </c>
      <c r="DS90" s="74" t="str">
        <f t="shared" ca="1" si="69"/>
        <v/>
      </c>
      <c r="DT90" s="74" t="str">
        <f t="shared" ca="1" si="69"/>
        <v/>
      </c>
      <c r="DU90" s="74" t="str">
        <f t="shared" ca="1" si="69"/>
        <v/>
      </c>
      <c r="DV90" s="74" t="str">
        <f t="shared" ca="1" si="69"/>
        <v/>
      </c>
      <c r="DW90" s="74" t="str">
        <f t="shared" ca="1" si="69"/>
        <v/>
      </c>
      <c r="DX90" s="74" t="str">
        <f t="shared" ca="1" si="69"/>
        <v/>
      </c>
      <c r="DY90" s="74" t="str">
        <f t="shared" ca="1" si="69"/>
        <v/>
      </c>
      <c r="DZ90" s="74" t="str">
        <f t="shared" ca="1" si="69"/>
        <v/>
      </c>
      <c r="EA90" s="74" t="str">
        <f t="shared" ca="1" si="66"/>
        <v/>
      </c>
      <c r="EB90" s="74" t="str">
        <f t="shared" ca="1" si="66"/>
        <v/>
      </c>
      <c r="EC90" s="74" t="str">
        <f t="shared" ca="1" si="66"/>
        <v/>
      </c>
      <c r="ED90" s="74" t="str">
        <f t="shared" ca="1" si="66"/>
        <v/>
      </c>
      <c r="EE90" s="74" t="str">
        <f t="shared" ca="1" si="66"/>
        <v/>
      </c>
      <c r="EF90" s="74" t="str">
        <f t="shared" ca="1" si="66"/>
        <v/>
      </c>
      <c r="EG90" s="74" t="str">
        <f t="shared" ca="1" si="66"/>
        <v/>
      </c>
      <c r="EH90" s="74" t="str">
        <f t="shared" ca="1" si="66"/>
        <v/>
      </c>
      <c r="EI90" s="74" t="str">
        <f t="shared" ca="1" si="66"/>
        <v/>
      </c>
      <c r="EJ90" s="74" t="str">
        <f t="shared" ca="1" si="66"/>
        <v/>
      </c>
      <c r="EK90" s="75" t="str">
        <f t="shared" ca="1" si="66"/>
        <v/>
      </c>
      <c r="EL90" s="75" t="str">
        <f t="shared" ca="1" si="66"/>
        <v/>
      </c>
      <c r="EM90" s="75" t="str">
        <f t="shared" ca="1" si="66"/>
        <v/>
      </c>
      <c r="EN90" s="75" t="str">
        <f t="shared" ca="1" si="66"/>
        <v/>
      </c>
      <c r="EO90" s="75" t="str">
        <f t="shared" ca="1" si="66"/>
        <v/>
      </c>
      <c r="EP90" s="75" t="str">
        <f t="shared" ca="1" si="66"/>
        <v/>
      </c>
      <c r="EQ90" s="75" t="str">
        <f t="shared" ca="1" si="70"/>
        <v/>
      </c>
      <c r="ER90" s="75" t="str">
        <f t="shared" ca="1" si="70"/>
        <v/>
      </c>
      <c r="ES90" s="75" t="str">
        <f t="shared" ca="1" si="70"/>
        <v/>
      </c>
      <c r="ET90" s="75" t="str">
        <f t="shared" ca="1" si="70"/>
        <v/>
      </c>
      <c r="EU90" s="75" t="str">
        <f t="shared" ca="1" si="70"/>
        <v/>
      </c>
      <c r="EV90" s="75" t="str">
        <f t="shared" ca="1" si="70"/>
        <v/>
      </c>
      <c r="EW90" s="75" t="str">
        <f t="shared" ca="1" si="70"/>
        <v/>
      </c>
      <c r="EX90" s="75" t="str">
        <f t="shared" ca="1" si="70"/>
        <v/>
      </c>
      <c r="EY90" s="75" t="str">
        <f t="shared" ca="1" si="70"/>
        <v/>
      </c>
      <c r="EZ90" s="75" t="str">
        <f t="shared" ca="1" si="70"/>
        <v/>
      </c>
      <c r="FA90" s="75" t="str">
        <f t="shared" ca="1" si="70"/>
        <v/>
      </c>
      <c r="FB90" s="75" t="str">
        <f t="shared" ca="1" si="70"/>
        <v/>
      </c>
      <c r="FC90" s="76" t="str">
        <f t="shared" ca="1" si="70"/>
        <v/>
      </c>
      <c r="FD90" s="74" t="str">
        <f t="shared" ca="1" si="70"/>
        <v/>
      </c>
      <c r="FE90" s="74" t="str">
        <f t="shared" ca="1" si="70"/>
        <v/>
      </c>
      <c r="FF90" s="74" t="str">
        <f t="shared" ca="1" si="70"/>
        <v/>
      </c>
      <c r="FG90" s="74" t="str">
        <f t="shared" ca="1" si="74"/>
        <v/>
      </c>
      <c r="FH90" s="74" t="str">
        <f t="shared" ca="1" si="74"/>
        <v/>
      </c>
      <c r="FI90" s="74" t="str">
        <f t="shared" ca="1" si="74"/>
        <v/>
      </c>
      <c r="FJ90" s="74" t="str">
        <f t="shared" ca="1" si="74"/>
        <v/>
      </c>
      <c r="FK90" s="74" t="str">
        <f t="shared" ca="1" si="74"/>
        <v/>
      </c>
      <c r="FL90" s="74" t="str">
        <f t="shared" ca="1" si="74"/>
        <v/>
      </c>
      <c r="FM90" s="74" t="str">
        <f t="shared" ca="1" si="74"/>
        <v/>
      </c>
      <c r="FN90" s="74" t="str">
        <f t="shared" ca="1" si="74"/>
        <v/>
      </c>
      <c r="FO90" s="74" t="str">
        <f t="shared" ca="1" si="74"/>
        <v/>
      </c>
      <c r="FP90" s="74" t="str">
        <f t="shared" ca="1" si="74"/>
        <v/>
      </c>
      <c r="FQ90" s="74" t="str">
        <f t="shared" ca="1" si="74"/>
        <v/>
      </c>
      <c r="FR90" s="74" t="str">
        <f t="shared" ca="1" si="74"/>
        <v/>
      </c>
      <c r="FS90" s="74" t="str">
        <f t="shared" ca="1" si="74"/>
        <v/>
      </c>
      <c r="FT90" s="74" t="str">
        <f t="shared" ca="1" si="74"/>
        <v/>
      </c>
    </row>
    <row r="91" spans="1:176" x14ac:dyDescent="0.35">
      <c r="A91" s="74"/>
      <c r="B91" s="74" t="str">
        <f t="shared" ca="1" si="72"/>
        <v/>
      </c>
      <c r="C91" s="74" t="str">
        <f t="shared" ca="1" si="72"/>
        <v/>
      </c>
      <c r="D91" s="74" t="str">
        <f t="shared" ca="1" si="72"/>
        <v/>
      </c>
      <c r="E91" s="74" t="str">
        <f t="shared" ca="1" si="72"/>
        <v/>
      </c>
      <c r="F91" t="str">
        <f t="shared" ca="1" si="63"/>
        <v/>
      </c>
      <c r="G91" t="str">
        <f t="shared" ca="1" si="63"/>
        <v/>
      </c>
      <c r="H91" t="str">
        <f t="shared" ca="1" si="63"/>
        <v/>
      </c>
      <c r="I91" s="74" t="str">
        <f t="shared" ca="1" si="72"/>
        <v/>
      </c>
      <c r="J91" s="74" t="str">
        <f t="shared" ca="1" si="72"/>
        <v/>
      </c>
      <c r="K91" s="74" t="str">
        <f t="shared" ca="1" si="72"/>
        <v/>
      </c>
      <c r="L91" s="74" t="str">
        <f t="shared" ca="1" si="72"/>
        <v/>
      </c>
      <c r="M91" s="74" t="str">
        <f t="shared" ca="1" si="72"/>
        <v/>
      </c>
      <c r="N91" s="74" t="str">
        <f t="shared" ca="1" si="72"/>
        <v/>
      </c>
      <c r="O91" s="74" t="str">
        <f t="shared" ca="1" si="72"/>
        <v/>
      </c>
      <c r="P91" s="74" t="str">
        <f t="shared" ca="1" si="72"/>
        <v/>
      </c>
      <c r="Q91" s="74" t="str">
        <f t="shared" ca="1" si="72"/>
        <v/>
      </c>
      <c r="R91" s="74" t="str">
        <f t="shared" ca="1" si="72"/>
        <v/>
      </c>
      <c r="S91" s="74" t="str">
        <f t="shared" ca="1" si="72"/>
        <v/>
      </c>
      <c r="T91" s="74" t="str">
        <f t="shared" ca="1" si="73"/>
        <v/>
      </c>
      <c r="U91" s="74" t="str">
        <f t="shared" ca="1" si="73"/>
        <v/>
      </c>
      <c r="V91" s="74" t="str">
        <f t="shared" ca="1" si="73"/>
        <v/>
      </c>
      <c r="W91" s="74" t="str">
        <f t="shared" ca="1" si="73"/>
        <v/>
      </c>
      <c r="X91" s="74" t="str">
        <f t="shared" ca="1" si="73"/>
        <v/>
      </c>
      <c r="Y91" s="74" t="str">
        <f t="shared" ca="1" si="73"/>
        <v/>
      </c>
      <c r="Z91" s="74" t="str">
        <f t="shared" ca="1" si="73"/>
        <v/>
      </c>
      <c r="AA91" s="74" t="str">
        <f t="shared" ca="1" si="73"/>
        <v/>
      </c>
      <c r="AB91" s="75" t="str">
        <f t="shared" ca="1" si="73"/>
        <v/>
      </c>
      <c r="AC91" s="75" t="str">
        <f t="shared" ca="1" si="73"/>
        <v/>
      </c>
      <c r="AD91" s="75" t="str">
        <f t="shared" ca="1" si="73"/>
        <v/>
      </c>
      <c r="AE91" s="75" t="str">
        <f t="shared" ca="1" si="73"/>
        <v/>
      </c>
      <c r="AF91" s="75" t="str">
        <f t="shared" ca="1" si="73"/>
        <v/>
      </c>
      <c r="AG91" s="75" t="str">
        <f t="shared" ca="1" si="73"/>
        <v/>
      </c>
      <c r="AH91" s="75" t="str">
        <f t="shared" ca="1" si="73"/>
        <v/>
      </c>
      <c r="AI91" s="75" t="str">
        <f t="shared" ca="1" si="71"/>
        <v/>
      </c>
      <c r="AJ91" s="75" t="str">
        <f t="shared" ca="1" si="71"/>
        <v/>
      </c>
      <c r="AK91" s="75" t="str">
        <f t="shared" ca="1" si="71"/>
        <v/>
      </c>
      <c r="AL91" s="75" t="str">
        <f t="shared" ca="1" si="71"/>
        <v/>
      </c>
      <c r="AM91" s="75" t="str">
        <f t="shared" ca="1" si="71"/>
        <v/>
      </c>
      <c r="AN91" s="75" t="str">
        <f t="shared" ca="1" si="71"/>
        <v/>
      </c>
      <c r="AO91" s="75" t="str">
        <f t="shared" ca="1" si="71"/>
        <v/>
      </c>
      <c r="AP91" s="75" t="str">
        <f t="shared" ca="1" si="71"/>
        <v/>
      </c>
      <c r="AQ91" s="75" t="str">
        <f t="shared" ca="1" si="71"/>
        <v/>
      </c>
      <c r="AR91" s="75" t="str">
        <f t="shared" ca="1" si="71"/>
        <v/>
      </c>
      <c r="AS91" s="75" t="str">
        <f t="shared" ca="1" si="71"/>
        <v/>
      </c>
      <c r="AT91" s="75" t="str">
        <f t="shared" ca="1" si="71"/>
        <v/>
      </c>
      <c r="AU91" s="74" t="str">
        <f t="shared" ca="1" si="71"/>
        <v/>
      </c>
      <c r="AV91" s="74" t="str">
        <f t="shared" ca="1" si="71"/>
        <v/>
      </c>
      <c r="AW91" s="74" t="str">
        <f t="shared" ca="1" si="71"/>
        <v/>
      </c>
      <c r="AX91" s="74" t="str">
        <f t="shared" ca="1" si="71"/>
        <v/>
      </c>
      <c r="AY91" s="74" t="str">
        <f t="shared" ca="1" si="67"/>
        <v/>
      </c>
      <c r="AZ91" s="74" t="str">
        <f t="shared" ca="1" si="67"/>
        <v/>
      </c>
      <c r="BA91" s="74" t="str">
        <f t="shared" ca="1" si="67"/>
        <v/>
      </c>
      <c r="BB91" s="74" t="str">
        <f t="shared" ca="1" si="67"/>
        <v/>
      </c>
      <c r="BC91" s="74" t="str">
        <f t="shared" ca="1" si="67"/>
        <v/>
      </c>
      <c r="BD91" s="74" t="str">
        <f t="shared" ca="1" si="67"/>
        <v/>
      </c>
      <c r="BE91" s="74" t="str">
        <f t="shared" ca="1" si="67"/>
        <v/>
      </c>
      <c r="BF91" s="74" t="str">
        <f t="shared" ca="1" si="67"/>
        <v/>
      </c>
      <c r="BG91" s="74" t="str">
        <f t="shared" ca="1" si="67"/>
        <v/>
      </c>
      <c r="BH91" s="74" t="str">
        <f t="shared" ca="1" si="67"/>
        <v/>
      </c>
      <c r="BI91" s="74" t="str">
        <f t="shared" ca="1" si="67"/>
        <v/>
      </c>
      <c r="BJ91" s="74" t="str">
        <f t="shared" ca="1" si="67"/>
        <v/>
      </c>
      <c r="BK91" s="74" t="str">
        <f t="shared" ca="1" si="67"/>
        <v/>
      </c>
      <c r="BL91" s="74" t="str">
        <f t="shared" ca="1" si="67"/>
        <v/>
      </c>
      <c r="BM91" s="74" t="str">
        <f t="shared" ca="1" si="67"/>
        <v/>
      </c>
      <c r="BN91" s="75" t="str">
        <f t="shared" ca="1" si="67"/>
        <v/>
      </c>
      <c r="BO91" s="75" t="str">
        <f t="shared" ca="1" si="64"/>
        <v/>
      </c>
      <c r="BP91" s="75" t="str">
        <f t="shared" ca="1" si="64"/>
        <v/>
      </c>
      <c r="BQ91" s="75" t="str">
        <f t="shared" ca="1" si="64"/>
        <v/>
      </c>
      <c r="BR91" s="75" t="str">
        <f t="shared" ca="1" si="64"/>
        <v/>
      </c>
      <c r="BS91" s="75" t="str">
        <f t="shared" ca="1" si="64"/>
        <v/>
      </c>
      <c r="BT91" s="75" t="str">
        <f t="shared" ca="1" si="64"/>
        <v/>
      </c>
      <c r="BU91" s="75" t="str">
        <f t="shared" ca="1" si="64"/>
        <v/>
      </c>
      <c r="BV91" s="75" t="str">
        <f t="shared" ca="1" si="64"/>
        <v/>
      </c>
      <c r="BW91" s="75" t="str">
        <f t="shared" ca="1" si="64"/>
        <v/>
      </c>
      <c r="BX91" s="75" t="str">
        <f t="shared" ca="1" si="64"/>
        <v/>
      </c>
      <c r="BY91" s="75" t="str">
        <f t="shared" ca="1" si="64"/>
        <v/>
      </c>
      <c r="BZ91" s="75" t="str">
        <f t="shared" ca="1" si="64"/>
        <v/>
      </c>
      <c r="CA91" s="75" t="str">
        <f t="shared" ca="1" si="64"/>
        <v/>
      </c>
      <c r="CB91" s="75" t="str">
        <f t="shared" ca="1" si="64"/>
        <v/>
      </c>
      <c r="CC91" s="75" t="str">
        <f t="shared" ca="1" si="64"/>
        <v/>
      </c>
      <c r="CD91" s="75" t="str">
        <f t="shared" ca="1" si="64"/>
        <v/>
      </c>
      <c r="CE91" s="75" t="str">
        <f t="shared" ca="1" si="68"/>
        <v/>
      </c>
      <c r="CF91" s="75" t="str">
        <f t="shared" ca="1" si="68"/>
        <v/>
      </c>
      <c r="CG91" s="74" t="str">
        <f t="shared" ca="1" si="68"/>
        <v/>
      </c>
      <c r="CH91" s="74" t="str">
        <f t="shared" ca="1" si="68"/>
        <v/>
      </c>
      <c r="CI91" s="74" t="str">
        <f t="shared" ca="1" si="68"/>
        <v/>
      </c>
      <c r="CJ91" s="74" t="str">
        <f t="shared" ca="1" si="68"/>
        <v/>
      </c>
      <c r="CK91" s="74" t="str">
        <f t="shared" ca="1" si="68"/>
        <v/>
      </c>
      <c r="CL91" s="74" t="str">
        <f t="shared" ca="1" si="68"/>
        <v/>
      </c>
      <c r="CM91" s="74" t="str">
        <f t="shared" ca="1" si="68"/>
        <v/>
      </c>
      <c r="CN91" s="74" t="str">
        <f t="shared" ca="1" si="68"/>
        <v/>
      </c>
      <c r="CO91" s="74" t="str">
        <f t="shared" ca="1" si="68"/>
        <v/>
      </c>
      <c r="CP91" s="74" t="str">
        <f t="shared" ca="1" si="68"/>
        <v/>
      </c>
      <c r="CQ91" s="74" t="str">
        <f t="shared" ca="1" si="68"/>
        <v/>
      </c>
      <c r="CR91" s="74" t="str">
        <f t="shared" ca="1" si="68"/>
        <v/>
      </c>
      <c r="CS91" s="74" t="str">
        <f t="shared" ca="1" si="68"/>
        <v/>
      </c>
      <c r="CT91" s="74" t="str">
        <f t="shared" ca="1" si="68"/>
        <v/>
      </c>
      <c r="CU91" s="74" t="str">
        <f t="shared" ca="1" si="65"/>
        <v/>
      </c>
      <c r="CV91" s="74" t="str">
        <f t="shared" ca="1" si="65"/>
        <v/>
      </c>
      <c r="CW91" s="74" t="str">
        <f t="shared" ca="1" si="65"/>
        <v/>
      </c>
      <c r="CX91" s="74" t="str">
        <f t="shared" ca="1" si="65"/>
        <v/>
      </c>
      <c r="CY91" s="74" t="str">
        <f t="shared" ca="1" si="65"/>
        <v/>
      </c>
      <c r="CZ91" s="75" t="str">
        <f t="shared" ca="1" si="65"/>
        <v/>
      </c>
      <c r="DA91" s="75" t="str">
        <f t="shared" ca="1" si="65"/>
        <v/>
      </c>
      <c r="DB91" s="75" t="str">
        <f t="shared" ca="1" si="65"/>
        <v/>
      </c>
      <c r="DC91" s="75" t="str">
        <f t="shared" ca="1" si="65"/>
        <v/>
      </c>
      <c r="DD91" s="75" t="str">
        <f t="shared" ca="1" si="65"/>
        <v/>
      </c>
      <c r="DE91" s="75" t="str">
        <f t="shared" ca="1" si="65"/>
        <v/>
      </c>
      <c r="DF91" s="75" t="str">
        <f t="shared" ca="1" si="65"/>
        <v/>
      </c>
      <c r="DG91" s="75" t="str">
        <f t="shared" ca="1" si="65"/>
        <v/>
      </c>
      <c r="DH91" s="75" t="str">
        <f t="shared" ca="1" si="65"/>
        <v/>
      </c>
      <c r="DI91" s="75" t="str">
        <f t="shared" ca="1" si="65"/>
        <v/>
      </c>
      <c r="DJ91" s="75" t="str">
        <f t="shared" ca="1" si="65"/>
        <v/>
      </c>
      <c r="DK91" s="75" t="str">
        <f t="shared" ca="1" si="69"/>
        <v/>
      </c>
      <c r="DL91" s="75" t="str">
        <f t="shared" ca="1" si="69"/>
        <v/>
      </c>
      <c r="DM91" s="75" t="str">
        <f t="shared" ca="1" si="69"/>
        <v/>
      </c>
      <c r="DN91" s="75" t="str">
        <f t="shared" ca="1" si="69"/>
        <v/>
      </c>
      <c r="DO91" s="75" t="str">
        <f t="shared" ca="1" si="69"/>
        <v/>
      </c>
      <c r="DP91" s="75" t="str">
        <f t="shared" ca="1" si="69"/>
        <v/>
      </c>
      <c r="DQ91" s="75" t="str">
        <f t="shared" ca="1" si="69"/>
        <v/>
      </c>
      <c r="DR91" s="75" t="str">
        <f t="shared" ca="1" si="69"/>
        <v/>
      </c>
      <c r="DS91" s="74" t="str">
        <f t="shared" ca="1" si="69"/>
        <v/>
      </c>
      <c r="DT91" s="74" t="str">
        <f t="shared" ca="1" si="69"/>
        <v/>
      </c>
      <c r="DU91" s="74" t="str">
        <f t="shared" ca="1" si="69"/>
        <v/>
      </c>
      <c r="DV91" s="74" t="str">
        <f t="shared" ca="1" si="69"/>
        <v/>
      </c>
      <c r="DW91" s="74" t="str">
        <f t="shared" ca="1" si="69"/>
        <v/>
      </c>
      <c r="DX91" s="74" t="str">
        <f t="shared" ca="1" si="69"/>
        <v/>
      </c>
      <c r="DY91" s="74" t="str">
        <f t="shared" ca="1" si="69"/>
        <v/>
      </c>
      <c r="DZ91" s="74" t="str">
        <f t="shared" ca="1" si="69"/>
        <v/>
      </c>
      <c r="EA91" s="74" t="str">
        <f t="shared" ca="1" si="66"/>
        <v/>
      </c>
      <c r="EB91" s="74" t="str">
        <f t="shared" ca="1" si="66"/>
        <v/>
      </c>
      <c r="EC91" s="74" t="str">
        <f t="shared" ca="1" si="66"/>
        <v/>
      </c>
      <c r="ED91" s="74" t="str">
        <f t="shared" ca="1" si="66"/>
        <v/>
      </c>
      <c r="EE91" s="74" t="str">
        <f t="shared" ca="1" si="66"/>
        <v/>
      </c>
      <c r="EF91" s="74" t="str">
        <f t="shared" ca="1" si="66"/>
        <v/>
      </c>
      <c r="EG91" s="74" t="str">
        <f t="shared" ca="1" si="66"/>
        <v/>
      </c>
      <c r="EH91" s="74" t="str">
        <f t="shared" ca="1" si="66"/>
        <v/>
      </c>
      <c r="EI91" s="74" t="str">
        <f t="shared" ca="1" si="66"/>
        <v/>
      </c>
      <c r="EJ91" s="74" t="str">
        <f t="shared" ca="1" si="66"/>
        <v/>
      </c>
      <c r="EK91" s="75" t="str">
        <f t="shared" ca="1" si="66"/>
        <v/>
      </c>
      <c r="EL91" s="75" t="str">
        <f t="shared" ca="1" si="66"/>
        <v/>
      </c>
      <c r="EM91" s="75" t="str">
        <f t="shared" ca="1" si="66"/>
        <v/>
      </c>
      <c r="EN91" s="75" t="str">
        <f t="shared" ca="1" si="66"/>
        <v/>
      </c>
      <c r="EO91" s="75" t="str">
        <f t="shared" ca="1" si="66"/>
        <v/>
      </c>
      <c r="EP91" s="75" t="str">
        <f t="shared" ca="1" si="66"/>
        <v/>
      </c>
      <c r="EQ91" s="75" t="str">
        <f t="shared" ca="1" si="70"/>
        <v/>
      </c>
      <c r="ER91" s="75" t="str">
        <f t="shared" ca="1" si="70"/>
        <v/>
      </c>
      <c r="ES91" s="75" t="str">
        <f t="shared" ca="1" si="70"/>
        <v/>
      </c>
      <c r="ET91" s="75" t="str">
        <f t="shared" ca="1" si="70"/>
        <v/>
      </c>
      <c r="EU91" s="75" t="str">
        <f t="shared" ca="1" si="70"/>
        <v/>
      </c>
      <c r="EV91" s="75" t="str">
        <f t="shared" ca="1" si="70"/>
        <v/>
      </c>
      <c r="EW91" s="75" t="str">
        <f t="shared" ca="1" si="70"/>
        <v/>
      </c>
      <c r="EX91" s="75" t="str">
        <f t="shared" ca="1" si="70"/>
        <v/>
      </c>
      <c r="EY91" s="75" t="str">
        <f t="shared" ca="1" si="70"/>
        <v/>
      </c>
      <c r="EZ91" s="75" t="str">
        <f t="shared" ca="1" si="70"/>
        <v/>
      </c>
      <c r="FA91" s="75" t="str">
        <f t="shared" ca="1" si="70"/>
        <v/>
      </c>
      <c r="FB91" s="75" t="str">
        <f t="shared" ca="1" si="70"/>
        <v/>
      </c>
      <c r="FC91" s="76" t="str">
        <f t="shared" ca="1" si="70"/>
        <v/>
      </c>
      <c r="FD91" s="74" t="str">
        <f t="shared" ca="1" si="70"/>
        <v/>
      </c>
      <c r="FE91" s="74" t="str">
        <f t="shared" ca="1" si="70"/>
        <v/>
      </c>
      <c r="FF91" s="74" t="str">
        <f t="shared" ca="1" si="70"/>
        <v/>
      </c>
      <c r="FG91" s="74" t="str">
        <f t="shared" ca="1" si="74"/>
        <v/>
      </c>
      <c r="FH91" s="74" t="str">
        <f t="shared" ca="1" si="74"/>
        <v/>
      </c>
      <c r="FI91" s="74" t="str">
        <f t="shared" ca="1" si="74"/>
        <v/>
      </c>
      <c r="FJ91" s="74" t="str">
        <f t="shared" ca="1" si="74"/>
        <v/>
      </c>
      <c r="FK91" s="74" t="str">
        <f t="shared" ca="1" si="74"/>
        <v/>
      </c>
      <c r="FL91" s="74" t="str">
        <f t="shared" ca="1" si="74"/>
        <v/>
      </c>
      <c r="FM91" s="74" t="str">
        <f t="shared" ca="1" si="74"/>
        <v/>
      </c>
      <c r="FN91" s="74" t="str">
        <f t="shared" ca="1" si="74"/>
        <v/>
      </c>
      <c r="FO91" s="74" t="str">
        <f t="shared" ca="1" si="74"/>
        <v/>
      </c>
      <c r="FP91" s="74" t="str">
        <f t="shared" ca="1" si="74"/>
        <v/>
      </c>
      <c r="FQ91" s="74" t="str">
        <f t="shared" ca="1" si="74"/>
        <v/>
      </c>
      <c r="FR91" s="74" t="str">
        <f t="shared" ca="1" si="74"/>
        <v/>
      </c>
      <c r="FS91" s="74" t="str">
        <f t="shared" ca="1" si="74"/>
        <v/>
      </c>
      <c r="FT91" s="74" t="str">
        <f t="shared" ca="1" si="74"/>
        <v/>
      </c>
    </row>
    <row r="92" spans="1:176" x14ac:dyDescent="0.35">
      <c r="A92" s="74"/>
      <c r="B92" s="74" t="str">
        <f t="shared" ca="1" si="72"/>
        <v/>
      </c>
      <c r="C92" s="74" t="str">
        <f t="shared" ca="1" si="72"/>
        <v/>
      </c>
      <c r="D92" s="74" t="str">
        <f t="shared" ca="1" si="72"/>
        <v/>
      </c>
      <c r="E92" s="74" t="str">
        <f t="shared" ca="1" si="72"/>
        <v/>
      </c>
      <c r="F92" t="str">
        <f t="shared" ca="1" si="63"/>
        <v/>
      </c>
      <c r="G92" t="str">
        <f t="shared" ca="1" si="63"/>
        <v/>
      </c>
      <c r="H92" t="str">
        <f t="shared" ca="1" si="63"/>
        <v/>
      </c>
      <c r="I92" s="74" t="str">
        <f t="shared" ca="1" si="72"/>
        <v/>
      </c>
      <c r="J92" s="74" t="str">
        <f t="shared" ca="1" si="72"/>
        <v/>
      </c>
      <c r="K92" s="74" t="str">
        <f t="shared" ca="1" si="72"/>
        <v/>
      </c>
      <c r="L92" s="74" t="str">
        <f t="shared" ca="1" si="72"/>
        <v/>
      </c>
      <c r="M92" s="74" t="str">
        <f t="shared" ca="1" si="72"/>
        <v/>
      </c>
      <c r="N92" s="74" t="str">
        <f t="shared" ca="1" si="72"/>
        <v/>
      </c>
      <c r="O92" s="74" t="str">
        <f t="shared" ca="1" si="72"/>
        <v/>
      </c>
      <c r="P92" s="74" t="str">
        <f t="shared" ca="1" si="72"/>
        <v/>
      </c>
      <c r="Q92" s="74" t="str">
        <f t="shared" ca="1" si="72"/>
        <v/>
      </c>
      <c r="R92" s="74" t="str">
        <f t="shared" ca="1" si="72"/>
        <v/>
      </c>
      <c r="S92" s="74" t="str">
        <f t="shared" ca="1" si="72"/>
        <v/>
      </c>
      <c r="T92" s="74" t="str">
        <f t="shared" ca="1" si="73"/>
        <v/>
      </c>
      <c r="U92" s="74" t="str">
        <f t="shared" ca="1" si="73"/>
        <v/>
      </c>
      <c r="V92" s="74" t="str">
        <f t="shared" ca="1" si="73"/>
        <v/>
      </c>
      <c r="W92" s="74" t="str">
        <f t="shared" ca="1" si="73"/>
        <v/>
      </c>
      <c r="X92" s="74" t="str">
        <f t="shared" ca="1" si="73"/>
        <v/>
      </c>
      <c r="Y92" s="74" t="str">
        <f t="shared" ca="1" si="73"/>
        <v/>
      </c>
      <c r="Z92" s="74" t="str">
        <f t="shared" ca="1" si="73"/>
        <v/>
      </c>
      <c r="AA92" s="74" t="str">
        <f t="shared" ca="1" si="73"/>
        <v/>
      </c>
      <c r="AB92" s="75" t="str">
        <f t="shared" ca="1" si="73"/>
        <v/>
      </c>
      <c r="AC92" s="75" t="str">
        <f t="shared" ca="1" si="73"/>
        <v/>
      </c>
      <c r="AD92" s="75" t="str">
        <f t="shared" ca="1" si="73"/>
        <v/>
      </c>
      <c r="AE92" s="75" t="str">
        <f t="shared" ca="1" si="73"/>
        <v/>
      </c>
      <c r="AF92" s="75" t="str">
        <f t="shared" ca="1" si="73"/>
        <v/>
      </c>
      <c r="AG92" s="75" t="str">
        <f t="shared" ca="1" si="73"/>
        <v/>
      </c>
      <c r="AH92" s="75" t="str">
        <f t="shared" ca="1" si="73"/>
        <v/>
      </c>
      <c r="AI92" s="75" t="str">
        <f t="shared" ca="1" si="71"/>
        <v/>
      </c>
      <c r="AJ92" s="75" t="str">
        <f t="shared" ca="1" si="71"/>
        <v/>
      </c>
      <c r="AK92" s="75" t="str">
        <f t="shared" ca="1" si="71"/>
        <v/>
      </c>
      <c r="AL92" s="75" t="str">
        <f t="shared" ca="1" si="71"/>
        <v/>
      </c>
      <c r="AM92" s="75" t="str">
        <f t="shared" ca="1" si="71"/>
        <v/>
      </c>
      <c r="AN92" s="75" t="str">
        <f t="shared" ca="1" si="71"/>
        <v/>
      </c>
      <c r="AO92" s="75" t="str">
        <f t="shared" ca="1" si="71"/>
        <v/>
      </c>
      <c r="AP92" s="75" t="str">
        <f t="shared" ca="1" si="71"/>
        <v/>
      </c>
      <c r="AQ92" s="75" t="str">
        <f t="shared" ca="1" si="71"/>
        <v/>
      </c>
      <c r="AR92" s="75" t="str">
        <f t="shared" ca="1" si="71"/>
        <v/>
      </c>
      <c r="AS92" s="75" t="str">
        <f t="shared" ca="1" si="71"/>
        <v/>
      </c>
      <c r="AT92" s="75" t="str">
        <f t="shared" ca="1" si="71"/>
        <v/>
      </c>
      <c r="AU92" s="74" t="str">
        <f t="shared" ca="1" si="71"/>
        <v/>
      </c>
      <c r="AV92" s="74" t="str">
        <f t="shared" ca="1" si="71"/>
        <v/>
      </c>
      <c r="AW92" s="74" t="str">
        <f t="shared" ca="1" si="71"/>
        <v/>
      </c>
      <c r="AX92" s="74" t="str">
        <f t="shared" ca="1" si="71"/>
        <v/>
      </c>
      <c r="AY92" s="74" t="str">
        <f t="shared" ca="1" si="67"/>
        <v/>
      </c>
      <c r="AZ92" s="74" t="str">
        <f t="shared" ca="1" si="67"/>
        <v/>
      </c>
      <c r="BA92" s="74" t="str">
        <f t="shared" ca="1" si="67"/>
        <v/>
      </c>
      <c r="BB92" s="74" t="str">
        <f t="shared" ca="1" si="67"/>
        <v/>
      </c>
      <c r="BC92" s="74" t="str">
        <f t="shared" ca="1" si="67"/>
        <v/>
      </c>
      <c r="BD92" s="74" t="str">
        <f t="shared" ca="1" si="67"/>
        <v/>
      </c>
      <c r="BE92" s="74" t="str">
        <f t="shared" ca="1" si="67"/>
        <v/>
      </c>
      <c r="BF92" s="74" t="str">
        <f t="shared" ca="1" si="67"/>
        <v/>
      </c>
      <c r="BG92" s="74" t="str">
        <f t="shared" ca="1" si="67"/>
        <v/>
      </c>
      <c r="BH92" s="74" t="str">
        <f t="shared" ca="1" si="67"/>
        <v/>
      </c>
      <c r="BI92" s="74" t="str">
        <f t="shared" ca="1" si="67"/>
        <v/>
      </c>
      <c r="BJ92" s="74" t="str">
        <f t="shared" ca="1" si="67"/>
        <v/>
      </c>
      <c r="BK92" s="74" t="str">
        <f t="shared" ca="1" si="67"/>
        <v/>
      </c>
      <c r="BL92" s="74" t="str">
        <f t="shared" ca="1" si="67"/>
        <v/>
      </c>
      <c r="BM92" s="74" t="str">
        <f t="shared" ca="1" si="67"/>
        <v/>
      </c>
      <c r="BN92" s="75" t="str">
        <f t="shared" ca="1" si="67"/>
        <v/>
      </c>
      <c r="BO92" s="75" t="str">
        <f t="shared" ca="1" si="64"/>
        <v/>
      </c>
      <c r="BP92" s="75" t="str">
        <f t="shared" ca="1" si="64"/>
        <v/>
      </c>
      <c r="BQ92" s="75" t="str">
        <f t="shared" ca="1" si="64"/>
        <v/>
      </c>
      <c r="BR92" s="75" t="str">
        <f t="shared" ca="1" si="64"/>
        <v/>
      </c>
      <c r="BS92" s="75" t="str">
        <f t="shared" ca="1" si="64"/>
        <v/>
      </c>
      <c r="BT92" s="75" t="str">
        <f t="shared" ca="1" si="64"/>
        <v/>
      </c>
      <c r="BU92" s="75" t="str">
        <f t="shared" ca="1" si="64"/>
        <v/>
      </c>
      <c r="BV92" s="75" t="str">
        <f t="shared" ca="1" si="64"/>
        <v/>
      </c>
      <c r="BW92" s="75" t="str">
        <f t="shared" ca="1" si="64"/>
        <v/>
      </c>
      <c r="BX92" s="75" t="str">
        <f t="shared" ca="1" si="64"/>
        <v/>
      </c>
      <c r="BY92" s="75" t="str">
        <f t="shared" ca="1" si="64"/>
        <v/>
      </c>
      <c r="BZ92" s="75" t="str">
        <f t="shared" ca="1" si="64"/>
        <v/>
      </c>
      <c r="CA92" s="75" t="str">
        <f t="shared" ca="1" si="64"/>
        <v/>
      </c>
      <c r="CB92" s="75" t="str">
        <f t="shared" ca="1" si="64"/>
        <v/>
      </c>
      <c r="CC92" s="75" t="str">
        <f t="shared" ca="1" si="64"/>
        <v/>
      </c>
      <c r="CD92" s="75" t="str">
        <f t="shared" ca="1" si="64"/>
        <v/>
      </c>
      <c r="CE92" s="75" t="str">
        <f t="shared" ca="1" si="68"/>
        <v/>
      </c>
      <c r="CF92" s="75" t="str">
        <f t="shared" ca="1" si="68"/>
        <v/>
      </c>
      <c r="CG92" s="74" t="str">
        <f t="shared" ca="1" si="68"/>
        <v/>
      </c>
      <c r="CH92" s="74" t="str">
        <f t="shared" ca="1" si="68"/>
        <v/>
      </c>
      <c r="CI92" s="74" t="str">
        <f t="shared" ca="1" si="68"/>
        <v/>
      </c>
      <c r="CJ92" s="74" t="str">
        <f t="shared" ca="1" si="68"/>
        <v/>
      </c>
      <c r="CK92" s="74" t="str">
        <f t="shared" ca="1" si="68"/>
        <v/>
      </c>
      <c r="CL92" s="74" t="str">
        <f t="shared" ca="1" si="68"/>
        <v/>
      </c>
      <c r="CM92" s="74" t="str">
        <f t="shared" ca="1" si="68"/>
        <v/>
      </c>
      <c r="CN92" s="74" t="str">
        <f t="shared" ca="1" si="68"/>
        <v/>
      </c>
      <c r="CO92" s="74" t="str">
        <f t="shared" ca="1" si="68"/>
        <v/>
      </c>
      <c r="CP92" s="74" t="str">
        <f t="shared" ca="1" si="68"/>
        <v/>
      </c>
      <c r="CQ92" s="74" t="str">
        <f t="shared" ca="1" si="68"/>
        <v/>
      </c>
      <c r="CR92" s="74" t="str">
        <f t="shared" ca="1" si="68"/>
        <v/>
      </c>
      <c r="CS92" s="74" t="str">
        <f t="shared" ca="1" si="68"/>
        <v/>
      </c>
      <c r="CT92" s="74" t="str">
        <f t="shared" ca="1" si="68"/>
        <v/>
      </c>
      <c r="CU92" s="74" t="str">
        <f t="shared" ca="1" si="65"/>
        <v/>
      </c>
      <c r="CV92" s="74" t="str">
        <f t="shared" ca="1" si="65"/>
        <v/>
      </c>
      <c r="CW92" s="74" t="str">
        <f t="shared" ca="1" si="65"/>
        <v/>
      </c>
      <c r="CX92" s="74" t="str">
        <f t="shared" ca="1" si="65"/>
        <v/>
      </c>
      <c r="CY92" s="74" t="str">
        <f t="shared" ca="1" si="65"/>
        <v/>
      </c>
      <c r="CZ92" s="75" t="str">
        <f t="shared" ca="1" si="65"/>
        <v/>
      </c>
      <c r="DA92" s="75" t="str">
        <f t="shared" ca="1" si="65"/>
        <v/>
      </c>
      <c r="DB92" s="75" t="str">
        <f t="shared" ca="1" si="65"/>
        <v/>
      </c>
      <c r="DC92" s="75" t="str">
        <f t="shared" ca="1" si="65"/>
        <v/>
      </c>
      <c r="DD92" s="75" t="str">
        <f t="shared" ca="1" si="65"/>
        <v/>
      </c>
      <c r="DE92" s="75" t="str">
        <f t="shared" ca="1" si="65"/>
        <v/>
      </c>
      <c r="DF92" s="75" t="str">
        <f t="shared" ca="1" si="65"/>
        <v/>
      </c>
      <c r="DG92" s="75" t="str">
        <f t="shared" ca="1" si="65"/>
        <v/>
      </c>
      <c r="DH92" s="75" t="str">
        <f t="shared" ca="1" si="65"/>
        <v/>
      </c>
      <c r="DI92" s="75" t="str">
        <f t="shared" ca="1" si="65"/>
        <v/>
      </c>
      <c r="DJ92" s="75" t="str">
        <f t="shared" ca="1" si="65"/>
        <v/>
      </c>
      <c r="DK92" s="75" t="str">
        <f t="shared" ca="1" si="69"/>
        <v/>
      </c>
      <c r="DL92" s="75" t="str">
        <f t="shared" ca="1" si="69"/>
        <v/>
      </c>
      <c r="DM92" s="75" t="str">
        <f t="shared" ca="1" si="69"/>
        <v/>
      </c>
      <c r="DN92" s="75" t="str">
        <f t="shared" ca="1" si="69"/>
        <v/>
      </c>
      <c r="DO92" s="75" t="str">
        <f t="shared" ca="1" si="69"/>
        <v/>
      </c>
      <c r="DP92" s="75" t="str">
        <f t="shared" ca="1" si="69"/>
        <v/>
      </c>
      <c r="DQ92" s="75" t="str">
        <f t="shared" ca="1" si="69"/>
        <v/>
      </c>
      <c r="DR92" s="75" t="str">
        <f t="shared" ca="1" si="69"/>
        <v/>
      </c>
      <c r="DS92" s="74" t="str">
        <f t="shared" ca="1" si="69"/>
        <v/>
      </c>
      <c r="DT92" s="74" t="str">
        <f t="shared" ca="1" si="69"/>
        <v/>
      </c>
      <c r="DU92" s="74" t="str">
        <f t="shared" ca="1" si="69"/>
        <v/>
      </c>
      <c r="DV92" s="74" t="str">
        <f t="shared" ca="1" si="69"/>
        <v/>
      </c>
      <c r="DW92" s="74" t="str">
        <f t="shared" ca="1" si="69"/>
        <v/>
      </c>
      <c r="DX92" s="74" t="str">
        <f t="shared" ca="1" si="69"/>
        <v/>
      </c>
      <c r="DY92" s="74" t="str">
        <f t="shared" ca="1" si="69"/>
        <v/>
      </c>
      <c r="DZ92" s="74" t="str">
        <f t="shared" ca="1" si="69"/>
        <v/>
      </c>
      <c r="EA92" s="74" t="str">
        <f t="shared" ca="1" si="66"/>
        <v/>
      </c>
      <c r="EB92" s="74" t="str">
        <f t="shared" ca="1" si="66"/>
        <v/>
      </c>
      <c r="EC92" s="74" t="str">
        <f t="shared" ca="1" si="66"/>
        <v/>
      </c>
      <c r="ED92" s="74" t="str">
        <f t="shared" ca="1" si="66"/>
        <v/>
      </c>
      <c r="EE92" s="74" t="str">
        <f t="shared" ca="1" si="66"/>
        <v/>
      </c>
      <c r="EF92" s="74" t="str">
        <f t="shared" ca="1" si="66"/>
        <v/>
      </c>
      <c r="EG92" s="74" t="str">
        <f t="shared" ca="1" si="66"/>
        <v/>
      </c>
      <c r="EH92" s="74" t="str">
        <f t="shared" ca="1" si="66"/>
        <v/>
      </c>
      <c r="EI92" s="74" t="str">
        <f t="shared" ca="1" si="66"/>
        <v/>
      </c>
      <c r="EJ92" s="74" t="str">
        <f t="shared" ca="1" si="66"/>
        <v/>
      </c>
      <c r="EK92" s="75" t="str">
        <f t="shared" ca="1" si="66"/>
        <v/>
      </c>
      <c r="EL92" s="75" t="str">
        <f t="shared" ca="1" si="66"/>
        <v/>
      </c>
      <c r="EM92" s="75" t="str">
        <f t="shared" ca="1" si="66"/>
        <v/>
      </c>
      <c r="EN92" s="75" t="str">
        <f t="shared" ca="1" si="66"/>
        <v/>
      </c>
      <c r="EO92" s="75" t="str">
        <f t="shared" ca="1" si="66"/>
        <v/>
      </c>
      <c r="EP92" s="75" t="str">
        <f t="shared" ca="1" si="66"/>
        <v/>
      </c>
      <c r="EQ92" s="75" t="str">
        <f t="shared" ca="1" si="70"/>
        <v/>
      </c>
      <c r="ER92" s="75" t="str">
        <f t="shared" ca="1" si="70"/>
        <v/>
      </c>
      <c r="ES92" s="75" t="str">
        <f t="shared" ca="1" si="70"/>
        <v/>
      </c>
      <c r="ET92" s="75" t="str">
        <f t="shared" ca="1" si="70"/>
        <v/>
      </c>
      <c r="EU92" s="75" t="str">
        <f t="shared" ca="1" si="70"/>
        <v/>
      </c>
      <c r="EV92" s="75" t="str">
        <f t="shared" ca="1" si="70"/>
        <v/>
      </c>
      <c r="EW92" s="75" t="str">
        <f t="shared" ca="1" si="70"/>
        <v/>
      </c>
      <c r="EX92" s="75" t="str">
        <f t="shared" ca="1" si="70"/>
        <v/>
      </c>
      <c r="EY92" s="75" t="str">
        <f t="shared" ca="1" si="70"/>
        <v/>
      </c>
      <c r="EZ92" s="75" t="str">
        <f t="shared" ca="1" si="70"/>
        <v/>
      </c>
      <c r="FA92" s="75" t="str">
        <f t="shared" ca="1" si="70"/>
        <v/>
      </c>
      <c r="FB92" s="75" t="str">
        <f t="shared" ca="1" si="70"/>
        <v/>
      </c>
      <c r="FC92" s="76" t="str">
        <f t="shared" ca="1" si="70"/>
        <v/>
      </c>
      <c r="FD92" s="74" t="str">
        <f t="shared" ca="1" si="70"/>
        <v/>
      </c>
      <c r="FE92" s="74" t="str">
        <f t="shared" ca="1" si="70"/>
        <v/>
      </c>
      <c r="FF92" s="74" t="str">
        <f t="shared" ca="1" si="70"/>
        <v/>
      </c>
      <c r="FG92" s="74" t="str">
        <f t="shared" ca="1" si="74"/>
        <v/>
      </c>
      <c r="FH92" s="74" t="str">
        <f t="shared" ca="1" si="74"/>
        <v/>
      </c>
      <c r="FI92" s="74" t="str">
        <f t="shared" ca="1" si="74"/>
        <v/>
      </c>
      <c r="FJ92" s="74" t="str">
        <f t="shared" ca="1" si="74"/>
        <v/>
      </c>
      <c r="FK92" s="74" t="str">
        <f t="shared" ca="1" si="74"/>
        <v/>
      </c>
      <c r="FL92" s="74" t="str">
        <f t="shared" ca="1" si="74"/>
        <v/>
      </c>
      <c r="FM92" s="74" t="str">
        <f t="shared" ca="1" si="74"/>
        <v/>
      </c>
      <c r="FN92" s="74" t="str">
        <f t="shared" ca="1" si="74"/>
        <v/>
      </c>
      <c r="FO92" s="74" t="str">
        <f t="shared" ca="1" si="74"/>
        <v/>
      </c>
      <c r="FP92" s="74" t="str">
        <f t="shared" ca="1" si="74"/>
        <v/>
      </c>
      <c r="FQ92" s="74" t="str">
        <f t="shared" ca="1" si="74"/>
        <v/>
      </c>
      <c r="FR92" s="74" t="str">
        <f t="shared" ca="1" si="74"/>
        <v/>
      </c>
      <c r="FS92" s="74" t="str">
        <f t="shared" ca="1" si="74"/>
        <v/>
      </c>
      <c r="FT92" s="74" t="str">
        <f t="shared" ca="1" si="74"/>
        <v/>
      </c>
    </row>
    <row r="93" spans="1:176" x14ac:dyDescent="0.35">
      <c r="A93" s="74"/>
      <c r="B93" s="74" t="str">
        <f t="shared" ca="1" si="72"/>
        <v/>
      </c>
      <c r="C93" s="74" t="str">
        <f t="shared" ca="1" si="72"/>
        <v/>
      </c>
      <c r="D93" s="74" t="str">
        <f t="shared" ca="1" si="72"/>
        <v/>
      </c>
      <c r="E93" s="74" t="str">
        <f t="shared" ca="1" si="72"/>
        <v/>
      </c>
      <c r="F93" t="str">
        <f t="shared" ca="1" si="63"/>
        <v/>
      </c>
      <c r="G93" t="str">
        <f t="shared" ca="1" si="63"/>
        <v/>
      </c>
      <c r="H93" t="str">
        <f t="shared" ca="1" si="63"/>
        <v/>
      </c>
      <c r="I93" s="74" t="str">
        <f t="shared" ca="1" si="72"/>
        <v/>
      </c>
      <c r="J93" s="74" t="str">
        <f t="shared" ca="1" si="72"/>
        <v/>
      </c>
      <c r="K93" s="74" t="str">
        <f t="shared" ca="1" si="72"/>
        <v/>
      </c>
      <c r="L93" s="74" t="str">
        <f t="shared" ca="1" si="72"/>
        <v/>
      </c>
      <c r="M93" s="74" t="str">
        <f t="shared" ca="1" si="72"/>
        <v/>
      </c>
      <c r="N93" s="74" t="str">
        <f t="shared" ca="1" si="72"/>
        <v/>
      </c>
      <c r="O93" s="74" t="str">
        <f t="shared" ca="1" si="72"/>
        <v/>
      </c>
      <c r="P93" s="74" t="str">
        <f t="shared" ca="1" si="72"/>
        <v/>
      </c>
      <c r="Q93" s="74" t="str">
        <f t="shared" ca="1" si="72"/>
        <v/>
      </c>
      <c r="R93" s="74" t="str">
        <f t="shared" ca="1" si="72"/>
        <v/>
      </c>
      <c r="S93" s="74" t="str">
        <f t="shared" ca="1" si="72"/>
        <v/>
      </c>
      <c r="T93" s="74" t="str">
        <f t="shared" ca="1" si="73"/>
        <v/>
      </c>
      <c r="U93" s="74" t="str">
        <f t="shared" ca="1" si="73"/>
        <v/>
      </c>
      <c r="V93" s="74" t="str">
        <f t="shared" ca="1" si="73"/>
        <v/>
      </c>
      <c r="W93" s="74" t="str">
        <f t="shared" ca="1" si="73"/>
        <v/>
      </c>
      <c r="X93" s="74" t="str">
        <f t="shared" ca="1" si="73"/>
        <v/>
      </c>
      <c r="Y93" s="74" t="str">
        <f t="shared" ca="1" si="73"/>
        <v/>
      </c>
      <c r="Z93" s="74" t="str">
        <f t="shared" ca="1" si="73"/>
        <v/>
      </c>
      <c r="AA93" s="74" t="str">
        <f t="shared" ca="1" si="73"/>
        <v/>
      </c>
      <c r="AB93" s="75" t="str">
        <f t="shared" ca="1" si="73"/>
        <v/>
      </c>
      <c r="AC93" s="75" t="str">
        <f t="shared" ca="1" si="73"/>
        <v/>
      </c>
      <c r="AD93" s="75" t="str">
        <f t="shared" ca="1" si="73"/>
        <v/>
      </c>
      <c r="AE93" s="75" t="str">
        <f t="shared" ca="1" si="73"/>
        <v/>
      </c>
      <c r="AF93" s="75" t="str">
        <f t="shared" ca="1" si="73"/>
        <v/>
      </c>
      <c r="AG93" s="75" t="str">
        <f t="shared" ca="1" si="73"/>
        <v/>
      </c>
      <c r="AH93" s="75" t="str">
        <f t="shared" ca="1" si="73"/>
        <v/>
      </c>
      <c r="AI93" s="75" t="str">
        <f t="shared" ca="1" si="71"/>
        <v/>
      </c>
      <c r="AJ93" s="75" t="str">
        <f t="shared" ca="1" si="71"/>
        <v/>
      </c>
      <c r="AK93" s="75" t="str">
        <f t="shared" ca="1" si="71"/>
        <v/>
      </c>
      <c r="AL93" s="75" t="str">
        <f t="shared" ca="1" si="71"/>
        <v/>
      </c>
      <c r="AM93" s="75" t="str">
        <f t="shared" ca="1" si="71"/>
        <v/>
      </c>
      <c r="AN93" s="75" t="str">
        <f t="shared" ca="1" si="71"/>
        <v/>
      </c>
      <c r="AO93" s="75" t="str">
        <f t="shared" ca="1" si="71"/>
        <v/>
      </c>
      <c r="AP93" s="75" t="str">
        <f t="shared" ca="1" si="71"/>
        <v/>
      </c>
      <c r="AQ93" s="75" t="str">
        <f t="shared" ca="1" si="71"/>
        <v/>
      </c>
      <c r="AR93" s="75" t="str">
        <f t="shared" ca="1" si="71"/>
        <v/>
      </c>
      <c r="AS93" s="75" t="str">
        <f t="shared" ca="1" si="71"/>
        <v/>
      </c>
      <c r="AT93" s="75" t="str">
        <f t="shared" ca="1" si="71"/>
        <v/>
      </c>
      <c r="AU93" s="74" t="str">
        <f t="shared" ca="1" si="71"/>
        <v/>
      </c>
      <c r="AV93" s="74" t="str">
        <f t="shared" ca="1" si="71"/>
        <v/>
      </c>
      <c r="AW93" s="74" t="str">
        <f t="shared" ca="1" si="71"/>
        <v/>
      </c>
      <c r="AX93" s="74" t="str">
        <f t="shared" ca="1" si="71"/>
        <v/>
      </c>
      <c r="AY93" s="74" t="str">
        <f t="shared" ca="1" si="67"/>
        <v/>
      </c>
      <c r="AZ93" s="74" t="str">
        <f t="shared" ca="1" si="67"/>
        <v/>
      </c>
      <c r="BA93" s="74" t="str">
        <f t="shared" ca="1" si="67"/>
        <v/>
      </c>
      <c r="BB93" s="74" t="str">
        <f t="shared" ca="1" si="67"/>
        <v/>
      </c>
      <c r="BC93" s="74" t="str">
        <f t="shared" ca="1" si="67"/>
        <v/>
      </c>
      <c r="BD93" s="74" t="str">
        <f t="shared" ca="1" si="67"/>
        <v/>
      </c>
      <c r="BE93" s="74" t="str">
        <f t="shared" ca="1" si="67"/>
        <v/>
      </c>
      <c r="BF93" s="74" t="str">
        <f t="shared" ca="1" si="67"/>
        <v/>
      </c>
      <c r="BG93" s="74" t="str">
        <f t="shared" ca="1" si="67"/>
        <v/>
      </c>
      <c r="BH93" s="74" t="str">
        <f t="shared" ca="1" si="67"/>
        <v/>
      </c>
      <c r="BI93" s="74" t="str">
        <f t="shared" ca="1" si="67"/>
        <v/>
      </c>
      <c r="BJ93" s="74" t="str">
        <f t="shared" ca="1" si="67"/>
        <v/>
      </c>
      <c r="BK93" s="74" t="str">
        <f t="shared" ca="1" si="67"/>
        <v/>
      </c>
      <c r="BL93" s="74" t="str">
        <f t="shared" ca="1" si="67"/>
        <v/>
      </c>
      <c r="BM93" s="74" t="str">
        <f t="shared" ca="1" si="67"/>
        <v/>
      </c>
      <c r="BN93" s="75" t="str">
        <f t="shared" ca="1" si="67"/>
        <v/>
      </c>
      <c r="BO93" s="75" t="str">
        <f t="shared" ca="1" si="64"/>
        <v/>
      </c>
      <c r="BP93" s="75" t="str">
        <f t="shared" ca="1" si="64"/>
        <v/>
      </c>
      <c r="BQ93" s="75" t="str">
        <f t="shared" ca="1" si="64"/>
        <v/>
      </c>
      <c r="BR93" s="75" t="str">
        <f t="shared" ca="1" si="64"/>
        <v/>
      </c>
      <c r="BS93" s="75" t="str">
        <f t="shared" ca="1" si="64"/>
        <v/>
      </c>
      <c r="BT93" s="75" t="str">
        <f t="shared" ca="1" si="64"/>
        <v/>
      </c>
      <c r="BU93" s="75" t="str">
        <f t="shared" ca="1" si="64"/>
        <v/>
      </c>
      <c r="BV93" s="75" t="str">
        <f t="shared" ca="1" si="64"/>
        <v/>
      </c>
      <c r="BW93" s="75" t="str">
        <f t="shared" ca="1" si="64"/>
        <v/>
      </c>
      <c r="BX93" s="75" t="str">
        <f t="shared" ca="1" si="64"/>
        <v/>
      </c>
      <c r="BY93" s="75" t="str">
        <f t="shared" ca="1" si="64"/>
        <v/>
      </c>
      <c r="BZ93" s="75" t="str">
        <f t="shared" ca="1" si="64"/>
        <v/>
      </c>
      <c r="CA93" s="75" t="str">
        <f t="shared" ca="1" si="64"/>
        <v/>
      </c>
      <c r="CB93" s="75" t="str">
        <f t="shared" ca="1" si="64"/>
        <v/>
      </c>
      <c r="CC93" s="75" t="str">
        <f t="shared" ca="1" si="64"/>
        <v/>
      </c>
      <c r="CD93" s="75" t="str">
        <f t="shared" ca="1" si="64"/>
        <v/>
      </c>
      <c r="CE93" s="75" t="str">
        <f t="shared" ca="1" si="68"/>
        <v/>
      </c>
      <c r="CF93" s="75" t="str">
        <f t="shared" ca="1" si="68"/>
        <v/>
      </c>
      <c r="CG93" s="74" t="str">
        <f t="shared" ca="1" si="68"/>
        <v/>
      </c>
      <c r="CH93" s="74" t="str">
        <f t="shared" ca="1" si="68"/>
        <v/>
      </c>
      <c r="CI93" s="74" t="str">
        <f t="shared" ca="1" si="68"/>
        <v/>
      </c>
      <c r="CJ93" s="74" t="str">
        <f t="shared" ca="1" si="68"/>
        <v/>
      </c>
      <c r="CK93" s="74" t="str">
        <f t="shared" ca="1" si="68"/>
        <v/>
      </c>
      <c r="CL93" s="74" t="str">
        <f t="shared" ca="1" si="68"/>
        <v/>
      </c>
      <c r="CM93" s="74" t="str">
        <f t="shared" ca="1" si="68"/>
        <v/>
      </c>
      <c r="CN93" s="74" t="str">
        <f t="shared" ca="1" si="68"/>
        <v/>
      </c>
      <c r="CO93" s="74" t="str">
        <f t="shared" ca="1" si="68"/>
        <v/>
      </c>
      <c r="CP93" s="74" t="str">
        <f t="shared" ca="1" si="68"/>
        <v/>
      </c>
      <c r="CQ93" s="74" t="str">
        <f t="shared" ca="1" si="68"/>
        <v/>
      </c>
      <c r="CR93" s="74" t="str">
        <f t="shared" ca="1" si="68"/>
        <v/>
      </c>
      <c r="CS93" s="74" t="str">
        <f t="shared" ca="1" si="68"/>
        <v/>
      </c>
      <c r="CT93" s="74" t="str">
        <f t="shared" ca="1" si="68"/>
        <v/>
      </c>
      <c r="CU93" s="74" t="str">
        <f t="shared" ca="1" si="65"/>
        <v/>
      </c>
      <c r="CV93" s="74" t="str">
        <f t="shared" ca="1" si="65"/>
        <v/>
      </c>
      <c r="CW93" s="74" t="str">
        <f t="shared" ca="1" si="65"/>
        <v/>
      </c>
      <c r="CX93" s="74" t="str">
        <f t="shared" ca="1" si="65"/>
        <v/>
      </c>
      <c r="CY93" s="74" t="str">
        <f t="shared" ca="1" si="65"/>
        <v/>
      </c>
      <c r="CZ93" s="75" t="str">
        <f t="shared" ca="1" si="65"/>
        <v/>
      </c>
      <c r="DA93" s="75" t="str">
        <f t="shared" ca="1" si="65"/>
        <v/>
      </c>
      <c r="DB93" s="75" t="str">
        <f t="shared" ca="1" si="65"/>
        <v/>
      </c>
      <c r="DC93" s="75" t="str">
        <f t="shared" ca="1" si="65"/>
        <v/>
      </c>
      <c r="DD93" s="75" t="str">
        <f t="shared" ca="1" si="65"/>
        <v/>
      </c>
      <c r="DE93" s="75" t="str">
        <f t="shared" ca="1" si="65"/>
        <v/>
      </c>
      <c r="DF93" s="75" t="str">
        <f t="shared" ca="1" si="65"/>
        <v/>
      </c>
      <c r="DG93" s="75" t="str">
        <f t="shared" ca="1" si="65"/>
        <v/>
      </c>
      <c r="DH93" s="75" t="str">
        <f t="shared" ca="1" si="65"/>
        <v/>
      </c>
      <c r="DI93" s="75" t="str">
        <f t="shared" ca="1" si="65"/>
        <v/>
      </c>
      <c r="DJ93" s="75" t="str">
        <f t="shared" ca="1" si="65"/>
        <v/>
      </c>
      <c r="DK93" s="75" t="str">
        <f t="shared" ca="1" si="69"/>
        <v/>
      </c>
      <c r="DL93" s="75" t="str">
        <f t="shared" ca="1" si="69"/>
        <v/>
      </c>
      <c r="DM93" s="75" t="str">
        <f t="shared" ca="1" si="69"/>
        <v/>
      </c>
      <c r="DN93" s="75" t="str">
        <f t="shared" ca="1" si="69"/>
        <v/>
      </c>
      <c r="DO93" s="75" t="str">
        <f t="shared" ca="1" si="69"/>
        <v/>
      </c>
      <c r="DP93" s="75" t="str">
        <f t="shared" ca="1" si="69"/>
        <v/>
      </c>
      <c r="DQ93" s="75" t="str">
        <f t="shared" ca="1" si="69"/>
        <v/>
      </c>
      <c r="DR93" s="75" t="str">
        <f t="shared" ca="1" si="69"/>
        <v/>
      </c>
      <c r="DS93" s="74" t="str">
        <f t="shared" ca="1" si="69"/>
        <v/>
      </c>
      <c r="DT93" s="74" t="str">
        <f t="shared" ca="1" si="69"/>
        <v/>
      </c>
      <c r="DU93" s="74" t="str">
        <f t="shared" ca="1" si="69"/>
        <v/>
      </c>
      <c r="DV93" s="74" t="str">
        <f t="shared" ca="1" si="69"/>
        <v/>
      </c>
      <c r="DW93" s="74" t="str">
        <f t="shared" ca="1" si="69"/>
        <v/>
      </c>
      <c r="DX93" s="74" t="str">
        <f t="shared" ca="1" si="69"/>
        <v/>
      </c>
      <c r="DY93" s="74" t="str">
        <f t="shared" ca="1" si="69"/>
        <v/>
      </c>
      <c r="DZ93" s="74" t="str">
        <f t="shared" ca="1" si="69"/>
        <v/>
      </c>
      <c r="EA93" s="74" t="str">
        <f t="shared" ca="1" si="66"/>
        <v/>
      </c>
      <c r="EB93" s="74" t="str">
        <f t="shared" ca="1" si="66"/>
        <v/>
      </c>
      <c r="EC93" s="74" t="str">
        <f t="shared" ca="1" si="66"/>
        <v/>
      </c>
      <c r="ED93" s="74" t="str">
        <f t="shared" ca="1" si="66"/>
        <v/>
      </c>
      <c r="EE93" s="74" t="str">
        <f t="shared" ca="1" si="66"/>
        <v/>
      </c>
      <c r="EF93" s="74" t="str">
        <f t="shared" ca="1" si="66"/>
        <v/>
      </c>
      <c r="EG93" s="74" t="str">
        <f t="shared" ca="1" si="66"/>
        <v/>
      </c>
      <c r="EH93" s="74" t="str">
        <f t="shared" ca="1" si="66"/>
        <v/>
      </c>
      <c r="EI93" s="74" t="str">
        <f t="shared" ca="1" si="66"/>
        <v/>
      </c>
      <c r="EJ93" s="74" t="str">
        <f t="shared" ca="1" si="66"/>
        <v/>
      </c>
      <c r="EK93" s="75" t="str">
        <f t="shared" ca="1" si="66"/>
        <v/>
      </c>
      <c r="EL93" s="75" t="str">
        <f t="shared" ca="1" si="66"/>
        <v/>
      </c>
      <c r="EM93" s="75" t="str">
        <f t="shared" ca="1" si="66"/>
        <v/>
      </c>
      <c r="EN93" s="75" t="str">
        <f t="shared" ca="1" si="66"/>
        <v/>
      </c>
      <c r="EO93" s="75" t="str">
        <f t="shared" ca="1" si="66"/>
        <v/>
      </c>
      <c r="EP93" s="75" t="str">
        <f t="shared" ca="1" si="66"/>
        <v/>
      </c>
      <c r="EQ93" s="75" t="str">
        <f t="shared" ca="1" si="70"/>
        <v/>
      </c>
      <c r="ER93" s="75" t="str">
        <f t="shared" ca="1" si="70"/>
        <v/>
      </c>
      <c r="ES93" s="75" t="str">
        <f t="shared" ca="1" si="70"/>
        <v/>
      </c>
      <c r="ET93" s="75" t="str">
        <f t="shared" ca="1" si="70"/>
        <v/>
      </c>
      <c r="EU93" s="75" t="str">
        <f t="shared" ca="1" si="70"/>
        <v/>
      </c>
      <c r="EV93" s="75" t="str">
        <f t="shared" ca="1" si="70"/>
        <v/>
      </c>
      <c r="EW93" s="75" t="str">
        <f t="shared" ca="1" si="70"/>
        <v/>
      </c>
      <c r="EX93" s="75" t="str">
        <f t="shared" ca="1" si="70"/>
        <v/>
      </c>
      <c r="EY93" s="75" t="str">
        <f t="shared" ca="1" si="70"/>
        <v/>
      </c>
      <c r="EZ93" s="75" t="str">
        <f t="shared" ca="1" si="70"/>
        <v/>
      </c>
      <c r="FA93" s="75" t="str">
        <f t="shared" ca="1" si="70"/>
        <v/>
      </c>
      <c r="FB93" s="75" t="str">
        <f t="shared" ca="1" si="70"/>
        <v/>
      </c>
      <c r="FC93" s="76" t="str">
        <f t="shared" ca="1" si="70"/>
        <v/>
      </c>
      <c r="FD93" s="74" t="str">
        <f t="shared" ca="1" si="70"/>
        <v/>
      </c>
      <c r="FE93" s="74" t="str">
        <f t="shared" ca="1" si="70"/>
        <v/>
      </c>
      <c r="FF93" s="74" t="str">
        <f t="shared" ca="1" si="70"/>
        <v/>
      </c>
      <c r="FG93" s="74" t="str">
        <f t="shared" ca="1" si="74"/>
        <v/>
      </c>
      <c r="FH93" s="74" t="str">
        <f t="shared" ca="1" si="74"/>
        <v/>
      </c>
      <c r="FI93" s="74" t="str">
        <f t="shared" ca="1" si="74"/>
        <v/>
      </c>
      <c r="FJ93" s="74" t="str">
        <f t="shared" ca="1" si="74"/>
        <v/>
      </c>
      <c r="FK93" s="74" t="str">
        <f t="shared" ca="1" si="74"/>
        <v/>
      </c>
      <c r="FL93" s="74" t="str">
        <f t="shared" ca="1" si="74"/>
        <v/>
      </c>
      <c r="FM93" s="74" t="str">
        <f t="shared" ca="1" si="74"/>
        <v/>
      </c>
      <c r="FN93" s="74" t="str">
        <f t="shared" ca="1" si="74"/>
        <v/>
      </c>
      <c r="FO93" s="74" t="str">
        <f t="shared" ca="1" si="74"/>
        <v/>
      </c>
      <c r="FP93" s="74" t="str">
        <f t="shared" ca="1" si="74"/>
        <v/>
      </c>
      <c r="FQ93" s="74" t="str">
        <f t="shared" ca="1" si="74"/>
        <v/>
      </c>
      <c r="FR93" s="74" t="str">
        <f t="shared" ca="1" si="74"/>
        <v/>
      </c>
      <c r="FS93" s="74" t="str">
        <f t="shared" ca="1" si="74"/>
        <v/>
      </c>
      <c r="FT93" s="74" t="str">
        <f t="shared" ca="1" si="74"/>
        <v/>
      </c>
    </row>
    <row r="94" spans="1:176" x14ac:dyDescent="0.35">
      <c r="A94" s="74"/>
      <c r="B94" s="74" t="str">
        <f t="shared" ca="1" si="72"/>
        <v/>
      </c>
      <c r="C94" s="74" t="str">
        <f t="shared" ca="1" si="72"/>
        <v/>
      </c>
      <c r="D94" s="74" t="str">
        <f t="shared" ca="1" si="72"/>
        <v/>
      </c>
      <c r="E94" s="74" t="str">
        <f t="shared" ca="1" si="72"/>
        <v/>
      </c>
      <c r="F94" t="str">
        <f t="shared" ca="1" si="63"/>
        <v/>
      </c>
      <c r="G94" t="str">
        <f t="shared" ca="1" si="63"/>
        <v/>
      </c>
      <c r="H94" t="str">
        <f t="shared" ca="1" si="63"/>
        <v/>
      </c>
      <c r="I94" s="74" t="str">
        <f t="shared" ca="1" si="72"/>
        <v/>
      </c>
      <c r="J94" s="74" t="str">
        <f t="shared" ca="1" si="72"/>
        <v/>
      </c>
      <c r="K94" s="74" t="str">
        <f t="shared" ca="1" si="72"/>
        <v/>
      </c>
      <c r="L94" s="74" t="str">
        <f t="shared" ca="1" si="72"/>
        <v/>
      </c>
      <c r="M94" s="74" t="str">
        <f t="shared" ca="1" si="72"/>
        <v/>
      </c>
      <c r="N94" s="74" t="str">
        <f t="shared" ca="1" si="72"/>
        <v/>
      </c>
      <c r="O94" s="74" t="str">
        <f t="shared" ca="1" si="72"/>
        <v/>
      </c>
      <c r="P94" s="74" t="str">
        <f t="shared" ca="1" si="72"/>
        <v/>
      </c>
      <c r="Q94" s="74" t="str">
        <f t="shared" ca="1" si="72"/>
        <v/>
      </c>
      <c r="R94" s="74" t="str">
        <f t="shared" ca="1" si="72"/>
        <v/>
      </c>
      <c r="S94" s="74" t="str">
        <f t="shared" ca="1" si="72"/>
        <v/>
      </c>
      <c r="T94" s="74" t="str">
        <f t="shared" ca="1" si="73"/>
        <v/>
      </c>
      <c r="U94" s="74" t="str">
        <f t="shared" ca="1" si="73"/>
        <v/>
      </c>
      <c r="V94" s="74" t="str">
        <f t="shared" ca="1" si="73"/>
        <v/>
      </c>
      <c r="W94" s="74" t="str">
        <f t="shared" ca="1" si="73"/>
        <v/>
      </c>
      <c r="X94" s="74" t="str">
        <f t="shared" ca="1" si="73"/>
        <v/>
      </c>
      <c r="Y94" s="74" t="str">
        <f t="shared" ca="1" si="73"/>
        <v/>
      </c>
      <c r="Z94" s="74" t="str">
        <f t="shared" ca="1" si="73"/>
        <v/>
      </c>
      <c r="AA94" s="74" t="str">
        <f t="shared" ca="1" si="73"/>
        <v/>
      </c>
      <c r="AB94" s="75" t="str">
        <f t="shared" ca="1" si="73"/>
        <v/>
      </c>
      <c r="AC94" s="75" t="str">
        <f t="shared" ca="1" si="73"/>
        <v/>
      </c>
      <c r="AD94" s="75" t="str">
        <f t="shared" ca="1" si="73"/>
        <v/>
      </c>
      <c r="AE94" s="75" t="str">
        <f t="shared" ca="1" si="73"/>
        <v/>
      </c>
      <c r="AF94" s="75" t="str">
        <f t="shared" ca="1" si="73"/>
        <v/>
      </c>
      <c r="AG94" s="75" t="str">
        <f t="shared" ca="1" si="73"/>
        <v/>
      </c>
      <c r="AH94" s="75" t="str">
        <f t="shared" ca="1" si="73"/>
        <v/>
      </c>
      <c r="AI94" s="75" t="str">
        <f t="shared" ca="1" si="71"/>
        <v/>
      </c>
      <c r="AJ94" s="75" t="str">
        <f t="shared" ca="1" si="71"/>
        <v/>
      </c>
      <c r="AK94" s="75" t="str">
        <f t="shared" ca="1" si="71"/>
        <v/>
      </c>
      <c r="AL94" s="75" t="str">
        <f t="shared" ca="1" si="71"/>
        <v/>
      </c>
      <c r="AM94" s="75" t="str">
        <f t="shared" ca="1" si="71"/>
        <v/>
      </c>
      <c r="AN94" s="75" t="str">
        <f t="shared" ca="1" si="71"/>
        <v/>
      </c>
      <c r="AO94" s="75" t="str">
        <f t="shared" ca="1" si="71"/>
        <v/>
      </c>
      <c r="AP94" s="75" t="str">
        <f t="shared" ca="1" si="71"/>
        <v/>
      </c>
      <c r="AQ94" s="75" t="str">
        <f t="shared" ca="1" si="71"/>
        <v/>
      </c>
      <c r="AR94" s="75" t="str">
        <f t="shared" ca="1" si="71"/>
        <v/>
      </c>
      <c r="AS94" s="75" t="str">
        <f t="shared" ca="1" si="71"/>
        <v/>
      </c>
      <c r="AT94" s="75" t="str">
        <f t="shared" ca="1" si="71"/>
        <v/>
      </c>
      <c r="AU94" s="74" t="str">
        <f t="shared" ca="1" si="71"/>
        <v/>
      </c>
      <c r="AV94" s="74" t="str">
        <f t="shared" ca="1" si="71"/>
        <v/>
      </c>
      <c r="AW94" s="74" t="str">
        <f t="shared" ca="1" si="71"/>
        <v/>
      </c>
      <c r="AX94" s="74" t="str">
        <f t="shared" ca="1" si="71"/>
        <v/>
      </c>
      <c r="AY94" s="74" t="str">
        <f t="shared" ca="1" si="67"/>
        <v/>
      </c>
      <c r="AZ94" s="74" t="str">
        <f t="shared" ca="1" si="67"/>
        <v/>
      </c>
      <c r="BA94" s="74" t="str">
        <f t="shared" ca="1" si="67"/>
        <v/>
      </c>
      <c r="BB94" s="74" t="str">
        <f t="shared" ca="1" si="67"/>
        <v/>
      </c>
      <c r="BC94" s="74" t="str">
        <f t="shared" ca="1" si="67"/>
        <v/>
      </c>
      <c r="BD94" s="74" t="str">
        <f t="shared" ca="1" si="67"/>
        <v/>
      </c>
      <c r="BE94" s="74" t="str">
        <f t="shared" ca="1" si="67"/>
        <v/>
      </c>
      <c r="BF94" s="74" t="str">
        <f t="shared" ca="1" si="67"/>
        <v/>
      </c>
      <c r="BG94" s="74" t="str">
        <f t="shared" ca="1" si="67"/>
        <v/>
      </c>
      <c r="BH94" s="74" t="str">
        <f t="shared" ca="1" si="67"/>
        <v/>
      </c>
      <c r="BI94" s="74" t="str">
        <f t="shared" ca="1" si="67"/>
        <v/>
      </c>
      <c r="BJ94" s="74" t="str">
        <f t="shared" ca="1" si="67"/>
        <v/>
      </c>
      <c r="BK94" s="74" t="str">
        <f t="shared" ca="1" si="67"/>
        <v/>
      </c>
      <c r="BL94" s="74" t="str">
        <f t="shared" ca="1" si="67"/>
        <v/>
      </c>
      <c r="BM94" s="74" t="str">
        <f t="shared" ca="1" si="67"/>
        <v/>
      </c>
      <c r="BN94" s="75" t="str">
        <f t="shared" ca="1" si="67"/>
        <v/>
      </c>
      <c r="BO94" s="75" t="str">
        <f t="shared" ca="1" si="64"/>
        <v/>
      </c>
      <c r="BP94" s="75" t="str">
        <f t="shared" ca="1" si="64"/>
        <v/>
      </c>
      <c r="BQ94" s="75" t="str">
        <f t="shared" ca="1" si="64"/>
        <v/>
      </c>
      <c r="BR94" s="75" t="str">
        <f t="shared" ca="1" si="64"/>
        <v/>
      </c>
      <c r="BS94" s="75" t="str">
        <f t="shared" ca="1" si="64"/>
        <v/>
      </c>
      <c r="BT94" s="75" t="str">
        <f t="shared" ca="1" si="64"/>
        <v/>
      </c>
      <c r="BU94" s="75" t="str">
        <f t="shared" ca="1" si="64"/>
        <v/>
      </c>
      <c r="BV94" s="75" t="str">
        <f t="shared" ca="1" si="64"/>
        <v/>
      </c>
      <c r="BW94" s="75" t="str">
        <f t="shared" ca="1" si="64"/>
        <v/>
      </c>
      <c r="BX94" s="75" t="str">
        <f t="shared" ca="1" si="64"/>
        <v/>
      </c>
      <c r="BY94" s="75" t="str">
        <f t="shared" ca="1" si="64"/>
        <v/>
      </c>
      <c r="BZ94" s="75" t="str">
        <f t="shared" ca="1" si="64"/>
        <v/>
      </c>
      <c r="CA94" s="75" t="str">
        <f t="shared" ca="1" si="64"/>
        <v/>
      </c>
      <c r="CB94" s="75" t="str">
        <f t="shared" ca="1" si="64"/>
        <v/>
      </c>
      <c r="CC94" s="75" t="str">
        <f t="shared" ca="1" si="64"/>
        <v/>
      </c>
      <c r="CD94" s="75" t="str">
        <f t="shared" ca="1" si="64"/>
        <v/>
      </c>
      <c r="CE94" s="75" t="str">
        <f t="shared" ca="1" si="68"/>
        <v/>
      </c>
      <c r="CF94" s="75" t="str">
        <f t="shared" ca="1" si="68"/>
        <v/>
      </c>
      <c r="CG94" s="74" t="str">
        <f t="shared" ca="1" si="68"/>
        <v/>
      </c>
      <c r="CH94" s="74" t="str">
        <f t="shared" ca="1" si="68"/>
        <v/>
      </c>
      <c r="CI94" s="74" t="str">
        <f t="shared" ca="1" si="68"/>
        <v/>
      </c>
      <c r="CJ94" s="74" t="str">
        <f t="shared" ca="1" si="68"/>
        <v/>
      </c>
      <c r="CK94" s="74" t="str">
        <f t="shared" ca="1" si="68"/>
        <v/>
      </c>
      <c r="CL94" s="74" t="str">
        <f t="shared" ca="1" si="68"/>
        <v/>
      </c>
      <c r="CM94" s="74" t="str">
        <f t="shared" ca="1" si="68"/>
        <v/>
      </c>
      <c r="CN94" s="74" t="str">
        <f t="shared" ca="1" si="68"/>
        <v/>
      </c>
      <c r="CO94" s="74" t="str">
        <f t="shared" ca="1" si="68"/>
        <v/>
      </c>
      <c r="CP94" s="74" t="str">
        <f t="shared" ca="1" si="68"/>
        <v/>
      </c>
      <c r="CQ94" s="74" t="str">
        <f t="shared" ca="1" si="68"/>
        <v/>
      </c>
      <c r="CR94" s="74" t="str">
        <f t="shared" ca="1" si="68"/>
        <v/>
      </c>
      <c r="CS94" s="74" t="str">
        <f t="shared" ca="1" si="68"/>
        <v/>
      </c>
      <c r="CT94" s="74" t="str">
        <f t="shared" ca="1" si="68"/>
        <v/>
      </c>
      <c r="CU94" s="74" t="str">
        <f t="shared" ca="1" si="65"/>
        <v/>
      </c>
      <c r="CV94" s="74" t="str">
        <f t="shared" ca="1" si="65"/>
        <v/>
      </c>
      <c r="CW94" s="74" t="str">
        <f t="shared" ca="1" si="65"/>
        <v/>
      </c>
      <c r="CX94" s="74" t="str">
        <f t="shared" ca="1" si="65"/>
        <v/>
      </c>
      <c r="CY94" s="74" t="str">
        <f t="shared" ca="1" si="65"/>
        <v/>
      </c>
      <c r="CZ94" s="75" t="str">
        <f t="shared" ca="1" si="65"/>
        <v/>
      </c>
      <c r="DA94" s="75" t="str">
        <f t="shared" ca="1" si="65"/>
        <v/>
      </c>
      <c r="DB94" s="75" t="str">
        <f t="shared" ca="1" si="65"/>
        <v/>
      </c>
      <c r="DC94" s="75" t="str">
        <f t="shared" ca="1" si="65"/>
        <v/>
      </c>
      <c r="DD94" s="75" t="str">
        <f t="shared" ca="1" si="65"/>
        <v/>
      </c>
      <c r="DE94" s="75" t="str">
        <f t="shared" ca="1" si="65"/>
        <v/>
      </c>
      <c r="DF94" s="75" t="str">
        <f t="shared" ca="1" si="65"/>
        <v/>
      </c>
      <c r="DG94" s="75" t="str">
        <f t="shared" ca="1" si="65"/>
        <v/>
      </c>
      <c r="DH94" s="75" t="str">
        <f t="shared" ca="1" si="65"/>
        <v/>
      </c>
      <c r="DI94" s="75" t="str">
        <f t="shared" ca="1" si="65"/>
        <v/>
      </c>
      <c r="DJ94" s="75" t="str">
        <f t="shared" ca="1" si="65"/>
        <v/>
      </c>
      <c r="DK94" s="75" t="str">
        <f t="shared" ca="1" si="69"/>
        <v/>
      </c>
      <c r="DL94" s="75" t="str">
        <f t="shared" ca="1" si="69"/>
        <v/>
      </c>
      <c r="DM94" s="75" t="str">
        <f t="shared" ca="1" si="69"/>
        <v/>
      </c>
      <c r="DN94" s="75" t="str">
        <f t="shared" ca="1" si="69"/>
        <v/>
      </c>
      <c r="DO94" s="75" t="str">
        <f t="shared" ca="1" si="69"/>
        <v/>
      </c>
      <c r="DP94" s="75" t="str">
        <f t="shared" ca="1" si="69"/>
        <v/>
      </c>
      <c r="DQ94" s="75" t="str">
        <f t="shared" ca="1" si="69"/>
        <v/>
      </c>
      <c r="DR94" s="75" t="str">
        <f t="shared" ca="1" si="69"/>
        <v/>
      </c>
      <c r="DS94" s="74" t="str">
        <f t="shared" ca="1" si="69"/>
        <v/>
      </c>
      <c r="DT94" s="74" t="str">
        <f t="shared" ca="1" si="69"/>
        <v/>
      </c>
      <c r="DU94" s="74" t="str">
        <f t="shared" ca="1" si="69"/>
        <v/>
      </c>
      <c r="DV94" s="74" t="str">
        <f t="shared" ca="1" si="69"/>
        <v/>
      </c>
      <c r="DW94" s="74" t="str">
        <f t="shared" ca="1" si="69"/>
        <v/>
      </c>
      <c r="DX94" s="74" t="str">
        <f t="shared" ca="1" si="69"/>
        <v/>
      </c>
      <c r="DY94" s="74" t="str">
        <f t="shared" ca="1" si="69"/>
        <v/>
      </c>
      <c r="DZ94" s="74" t="str">
        <f t="shared" ca="1" si="69"/>
        <v/>
      </c>
      <c r="EA94" s="74" t="str">
        <f t="shared" ca="1" si="66"/>
        <v/>
      </c>
      <c r="EB94" s="74" t="str">
        <f t="shared" ca="1" si="66"/>
        <v/>
      </c>
      <c r="EC94" s="74" t="str">
        <f t="shared" ca="1" si="66"/>
        <v/>
      </c>
      <c r="ED94" s="74" t="str">
        <f t="shared" ca="1" si="66"/>
        <v/>
      </c>
      <c r="EE94" s="74" t="str">
        <f t="shared" ca="1" si="66"/>
        <v/>
      </c>
      <c r="EF94" s="74" t="str">
        <f t="shared" ca="1" si="66"/>
        <v/>
      </c>
      <c r="EG94" s="74" t="str">
        <f t="shared" ca="1" si="66"/>
        <v/>
      </c>
      <c r="EH94" s="74" t="str">
        <f t="shared" ca="1" si="66"/>
        <v/>
      </c>
      <c r="EI94" s="74" t="str">
        <f t="shared" ca="1" si="66"/>
        <v/>
      </c>
      <c r="EJ94" s="74" t="str">
        <f t="shared" ca="1" si="66"/>
        <v/>
      </c>
      <c r="EK94" s="75" t="str">
        <f t="shared" ca="1" si="66"/>
        <v/>
      </c>
      <c r="EL94" s="75" t="str">
        <f t="shared" ca="1" si="66"/>
        <v/>
      </c>
      <c r="EM94" s="75" t="str">
        <f t="shared" ca="1" si="66"/>
        <v/>
      </c>
      <c r="EN94" s="75" t="str">
        <f t="shared" ca="1" si="66"/>
        <v/>
      </c>
      <c r="EO94" s="75" t="str">
        <f t="shared" ca="1" si="66"/>
        <v/>
      </c>
      <c r="EP94" s="75" t="str">
        <f t="shared" ca="1" si="66"/>
        <v/>
      </c>
      <c r="EQ94" s="75" t="str">
        <f t="shared" ca="1" si="70"/>
        <v/>
      </c>
      <c r="ER94" s="75" t="str">
        <f t="shared" ca="1" si="70"/>
        <v/>
      </c>
      <c r="ES94" s="75" t="str">
        <f t="shared" ca="1" si="70"/>
        <v/>
      </c>
      <c r="ET94" s="75" t="str">
        <f t="shared" ca="1" si="70"/>
        <v/>
      </c>
      <c r="EU94" s="75" t="str">
        <f t="shared" ca="1" si="70"/>
        <v/>
      </c>
      <c r="EV94" s="75" t="str">
        <f t="shared" ca="1" si="70"/>
        <v/>
      </c>
      <c r="EW94" s="75" t="str">
        <f t="shared" ca="1" si="70"/>
        <v/>
      </c>
      <c r="EX94" s="75" t="str">
        <f t="shared" ca="1" si="70"/>
        <v/>
      </c>
      <c r="EY94" s="75" t="str">
        <f t="shared" ca="1" si="70"/>
        <v/>
      </c>
      <c r="EZ94" s="75" t="str">
        <f t="shared" ca="1" si="70"/>
        <v/>
      </c>
      <c r="FA94" s="75" t="str">
        <f t="shared" ca="1" si="70"/>
        <v/>
      </c>
      <c r="FB94" s="75" t="str">
        <f t="shared" ca="1" si="70"/>
        <v/>
      </c>
      <c r="FC94" s="76" t="str">
        <f t="shared" ca="1" si="70"/>
        <v/>
      </c>
      <c r="FD94" s="74" t="str">
        <f t="shared" ca="1" si="70"/>
        <v/>
      </c>
      <c r="FE94" s="74" t="str">
        <f t="shared" ca="1" si="70"/>
        <v/>
      </c>
      <c r="FF94" s="74" t="str">
        <f t="shared" ca="1" si="70"/>
        <v/>
      </c>
      <c r="FG94" s="74" t="str">
        <f t="shared" ca="1" si="74"/>
        <v/>
      </c>
      <c r="FH94" s="74" t="str">
        <f t="shared" ca="1" si="74"/>
        <v/>
      </c>
      <c r="FI94" s="74" t="str">
        <f t="shared" ca="1" si="74"/>
        <v/>
      </c>
      <c r="FJ94" s="74" t="str">
        <f t="shared" ca="1" si="74"/>
        <v/>
      </c>
      <c r="FK94" s="74" t="str">
        <f t="shared" ca="1" si="74"/>
        <v/>
      </c>
      <c r="FL94" s="74" t="str">
        <f t="shared" ca="1" si="74"/>
        <v/>
      </c>
      <c r="FM94" s="74" t="str">
        <f t="shared" ca="1" si="74"/>
        <v/>
      </c>
      <c r="FN94" s="74" t="str">
        <f t="shared" ca="1" si="74"/>
        <v/>
      </c>
      <c r="FO94" s="74" t="str">
        <f t="shared" ca="1" si="74"/>
        <v/>
      </c>
      <c r="FP94" s="74" t="str">
        <f t="shared" ca="1" si="74"/>
        <v/>
      </c>
      <c r="FQ94" s="74" t="str">
        <f t="shared" ca="1" si="74"/>
        <v/>
      </c>
      <c r="FR94" s="74" t="str">
        <f t="shared" ca="1" si="74"/>
        <v/>
      </c>
      <c r="FS94" s="74" t="str">
        <f t="shared" ca="1" si="74"/>
        <v/>
      </c>
      <c r="FT94" s="74" t="str">
        <f t="shared" ca="1" si="74"/>
        <v/>
      </c>
    </row>
    <row r="95" spans="1:176" x14ac:dyDescent="0.35">
      <c r="A95" s="74"/>
      <c r="B95" s="74" t="str">
        <f t="shared" ca="1" si="72"/>
        <v/>
      </c>
      <c r="C95" s="74" t="str">
        <f t="shared" ca="1" si="72"/>
        <v/>
      </c>
      <c r="D95" s="74" t="str">
        <f t="shared" ca="1" si="72"/>
        <v/>
      </c>
      <c r="E95" s="74" t="str">
        <f t="shared" ca="1" si="72"/>
        <v/>
      </c>
      <c r="F95" t="str">
        <f t="shared" ca="1" si="63"/>
        <v/>
      </c>
      <c r="G95" t="str">
        <f t="shared" ca="1" si="63"/>
        <v/>
      </c>
      <c r="H95" t="str">
        <f t="shared" ca="1" si="63"/>
        <v/>
      </c>
      <c r="I95" s="74" t="str">
        <f t="shared" ca="1" si="72"/>
        <v/>
      </c>
      <c r="J95" s="74" t="str">
        <f t="shared" ca="1" si="72"/>
        <v/>
      </c>
      <c r="K95" s="74" t="str">
        <f t="shared" ca="1" si="72"/>
        <v/>
      </c>
      <c r="L95" s="74" t="str">
        <f t="shared" ca="1" si="72"/>
        <v/>
      </c>
      <c r="M95" s="74" t="str">
        <f t="shared" ca="1" si="72"/>
        <v/>
      </c>
      <c r="N95" s="74" t="str">
        <f t="shared" ca="1" si="72"/>
        <v/>
      </c>
      <c r="O95" s="74" t="str">
        <f t="shared" ca="1" si="72"/>
        <v/>
      </c>
      <c r="P95" s="74" t="str">
        <f t="shared" ca="1" si="72"/>
        <v/>
      </c>
      <c r="Q95" s="74" t="str">
        <f t="shared" ca="1" si="72"/>
        <v/>
      </c>
      <c r="R95" s="74" t="str">
        <f t="shared" ca="1" si="72"/>
        <v/>
      </c>
      <c r="S95" s="74" t="str">
        <f t="shared" ca="1" si="72"/>
        <v/>
      </c>
      <c r="T95" s="74" t="str">
        <f t="shared" ca="1" si="73"/>
        <v/>
      </c>
      <c r="U95" s="74" t="str">
        <f t="shared" ca="1" si="73"/>
        <v/>
      </c>
      <c r="V95" s="74" t="str">
        <f t="shared" ca="1" si="73"/>
        <v/>
      </c>
      <c r="W95" s="74" t="str">
        <f t="shared" ca="1" si="73"/>
        <v/>
      </c>
      <c r="X95" s="74" t="str">
        <f t="shared" ca="1" si="73"/>
        <v/>
      </c>
      <c r="Y95" s="74" t="str">
        <f t="shared" ca="1" si="73"/>
        <v/>
      </c>
      <c r="Z95" s="74" t="str">
        <f t="shared" ca="1" si="73"/>
        <v/>
      </c>
      <c r="AA95" s="74" t="str">
        <f t="shared" ca="1" si="73"/>
        <v/>
      </c>
      <c r="AB95" s="75" t="str">
        <f t="shared" ca="1" si="73"/>
        <v/>
      </c>
      <c r="AC95" s="75" t="str">
        <f t="shared" ca="1" si="73"/>
        <v/>
      </c>
      <c r="AD95" s="75" t="str">
        <f t="shared" ca="1" si="73"/>
        <v/>
      </c>
      <c r="AE95" s="75" t="str">
        <f t="shared" ca="1" si="73"/>
        <v/>
      </c>
      <c r="AF95" s="75" t="str">
        <f t="shared" ca="1" si="73"/>
        <v/>
      </c>
      <c r="AG95" s="75" t="str">
        <f t="shared" ca="1" si="73"/>
        <v/>
      </c>
      <c r="AH95" s="75" t="str">
        <f t="shared" ca="1" si="73"/>
        <v/>
      </c>
      <c r="AI95" s="75" t="str">
        <f t="shared" ca="1" si="71"/>
        <v/>
      </c>
      <c r="AJ95" s="75" t="str">
        <f t="shared" ca="1" si="71"/>
        <v/>
      </c>
      <c r="AK95" s="75" t="str">
        <f t="shared" ca="1" si="71"/>
        <v/>
      </c>
      <c r="AL95" s="75" t="str">
        <f t="shared" ca="1" si="71"/>
        <v/>
      </c>
      <c r="AM95" s="75" t="str">
        <f t="shared" ca="1" si="71"/>
        <v/>
      </c>
      <c r="AN95" s="75" t="str">
        <f t="shared" ca="1" si="71"/>
        <v/>
      </c>
      <c r="AO95" s="75" t="str">
        <f t="shared" ca="1" si="71"/>
        <v/>
      </c>
      <c r="AP95" s="75" t="str">
        <f t="shared" ca="1" si="71"/>
        <v/>
      </c>
      <c r="AQ95" s="75" t="str">
        <f t="shared" ca="1" si="71"/>
        <v/>
      </c>
      <c r="AR95" s="75" t="str">
        <f t="shared" ca="1" si="71"/>
        <v/>
      </c>
      <c r="AS95" s="75" t="str">
        <f t="shared" ca="1" si="71"/>
        <v/>
      </c>
      <c r="AT95" s="75" t="str">
        <f t="shared" ca="1" si="71"/>
        <v/>
      </c>
      <c r="AU95" s="74" t="str">
        <f t="shared" ca="1" si="71"/>
        <v/>
      </c>
      <c r="AV95" s="74" t="str">
        <f t="shared" ca="1" si="71"/>
        <v/>
      </c>
      <c r="AW95" s="74" t="str">
        <f t="shared" ca="1" si="71"/>
        <v/>
      </c>
      <c r="AX95" s="74" t="str">
        <f t="shared" ca="1" si="71"/>
        <v/>
      </c>
      <c r="AY95" s="74" t="str">
        <f t="shared" ca="1" si="67"/>
        <v/>
      </c>
      <c r="AZ95" s="74" t="str">
        <f t="shared" ca="1" si="67"/>
        <v/>
      </c>
      <c r="BA95" s="74" t="str">
        <f t="shared" ca="1" si="67"/>
        <v/>
      </c>
      <c r="BB95" s="74" t="str">
        <f t="shared" ca="1" si="67"/>
        <v/>
      </c>
      <c r="BC95" s="74" t="str">
        <f t="shared" ca="1" si="67"/>
        <v/>
      </c>
      <c r="BD95" s="74" t="str">
        <f t="shared" ca="1" si="67"/>
        <v/>
      </c>
      <c r="BE95" s="74" t="str">
        <f t="shared" ca="1" si="67"/>
        <v/>
      </c>
      <c r="BF95" s="74" t="str">
        <f t="shared" ca="1" si="67"/>
        <v/>
      </c>
      <c r="BG95" s="74" t="str">
        <f t="shared" ca="1" si="67"/>
        <v/>
      </c>
      <c r="BH95" s="74" t="str">
        <f t="shared" ca="1" si="67"/>
        <v/>
      </c>
      <c r="BI95" s="74" t="str">
        <f t="shared" ca="1" si="67"/>
        <v/>
      </c>
      <c r="BJ95" s="74" t="str">
        <f t="shared" ca="1" si="67"/>
        <v/>
      </c>
      <c r="BK95" s="74" t="str">
        <f t="shared" ca="1" si="67"/>
        <v/>
      </c>
      <c r="BL95" s="74" t="str">
        <f t="shared" ca="1" si="67"/>
        <v/>
      </c>
      <c r="BM95" s="74" t="str">
        <f t="shared" ca="1" si="67"/>
        <v/>
      </c>
      <c r="BN95" s="75" t="str">
        <f t="shared" ca="1" si="67"/>
        <v/>
      </c>
      <c r="BO95" s="75" t="str">
        <f t="shared" ca="1" si="64"/>
        <v/>
      </c>
      <c r="BP95" s="75" t="str">
        <f t="shared" ca="1" si="64"/>
        <v/>
      </c>
      <c r="BQ95" s="75" t="str">
        <f t="shared" ca="1" si="64"/>
        <v/>
      </c>
      <c r="BR95" s="75" t="str">
        <f t="shared" ca="1" si="64"/>
        <v/>
      </c>
      <c r="BS95" s="75" t="str">
        <f t="shared" ca="1" si="64"/>
        <v/>
      </c>
      <c r="BT95" s="75" t="str">
        <f t="shared" ca="1" si="64"/>
        <v/>
      </c>
      <c r="BU95" s="75" t="str">
        <f t="shared" ca="1" si="64"/>
        <v/>
      </c>
      <c r="BV95" s="75" t="str">
        <f t="shared" ca="1" si="64"/>
        <v/>
      </c>
      <c r="BW95" s="75" t="str">
        <f t="shared" ca="1" si="64"/>
        <v/>
      </c>
      <c r="BX95" s="75" t="str">
        <f t="shared" ca="1" si="64"/>
        <v/>
      </c>
      <c r="BY95" s="75" t="str">
        <f t="shared" ca="1" si="64"/>
        <v/>
      </c>
      <c r="BZ95" s="75" t="str">
        <f t="shared" ca="1" si="64"/>
        <v/>
      </c>
      <c r="CA95" s="75" t="str">
        <f t="shared" ca="1" si="64"/>
        <v/>
      </c>
      <c r="CB95" s="75" t="str">
        <f t="shared" ca="1" si="64"/>
        <v/>
      </c>
      <c r="CC95" s="75" t="str">
        <f t="shared" ca="1" si="64"/>
        <v/>
      </c>
      <c r="CD95" s="75" t="str">
        <f t="shared" ref="BO95:CD110" ca="1" si="75">IF($A95="", "", IF(INDIRECT($A95&amp; "!"&amp; CD$2)="", "", INDIRECT($A95&amp; "!"&amp; CD$2)))</f>
        <v/>
      </c>
      <c r="CE95" s="75" t="str">
        <f t="shared" ca="1" si="68"/>
        <v/>
      </c>
      <c r="CF95" s="75" t="str">
        <f t="shared" ca="1" si="68"/>
        <v/>
      </c>
      <c r="CG95" s="74" t="str">
        <f t="shared" ca="1" si="68"/>
        <v/>
      </c>
      <c r="CH95" s="74" t="str">
        <f t="shared" ca="1" si="68"/>
        <v/>
      </c>
      <c r="CI95" s="74" t="str">
        <f t="shared" ca="1" si="68"/>
        <v/>
      </c>
      <c r="CJ95" s="74" t="str">
        <f t="shared" ca="1" si="68"/>
        <v/>
      </c>
      <c r="CK95" s="74" t="str">
        <f t="shared" ca="1" si="68"/>
        <v/>
      </c>
      <c r="CL95" s="74" t="str">
        <f t="shared" ca="1" si="68"/>
        <v/>
      </c>
      <c r="CM95" s="74" t="str">
        <f t="shared" ca="1" si="68"/>
        <v/>
      </c>
      <c r="CN95" s="74" t="str">
        <f t="shared" ca="1" si="68"/>
        <v/>
      </c>
      <c r="CO95" s="74" t="str">
        <f t="shared" ca="1" si="68"/>
        <v/>
      </c>
      <c r="CP95" s="74" t="str">
        <f t="shared" ca="1" si="68"/>
        <v/>
      </c>
      <c r="CQ95" s="74" t="str">
        <f t="shared" ca="1" si="68"/>
        <v/>
      </c>
      <c r="CR95" s="74" t="str">
        <f t="shared" ca="1" si="68"/>
        <v/>
      </c>
      <c r="CS95" s="74" t="str">
        <f t="shared" ca="1" si="68"/>
        <v/>
      </c>
      <c r="CT95" s="74" t="str">
        <f t="shared" ca="1" si="68"/>
        <v/>
      </c>
      <c r="CU95" s="74" t="str">
        <f t="shared" ca="1" si="65"/>
        <v/>
      </c>
      <c r="CV95" s="74" t="str">
        <f t="shared" ca="1" si="65"/>
        <v/>
      </c>
      <c r="CW95" s="74" t="str">
        <f t="shared" ca="1" si="65"/>
        <v/>
      </c>
      <c r="CX95" s="74" t="str">
        <f t="shared" ca="1" si="65"/>
        <v/>
      </c>
      <c r="CY95" s="74" t="str">
        <f t="shared" ca="1" si="65"/>
        <v/>
      </c>
      <c r="CZ95" s="75" t="str">
        <f t="shared" ca="1" si="65"/>
        <v/>
      </c>
      <c r="DA95" s="75" t="str">
        <f t="shared" ca="1" si="65"/>
        <v/>
      </c>
      <c r="DB95" s="75" t="str">
        <f t="shared" ca="1" si="65"/>
        <v/>
      </c>
      <c r="DC95" s="75" t="str">
        <f t="shared" ca="1" si="65"/>
        <v/>
      </c>
      <c r="DD95" s="75" t="str">
        <f t="shared" ca="1" si="65"/>
        <v/>
      </c>
      <c r="DE95" s="75" t="str">
        <f t="shared" ca="1" si="65"/>
        <v/>
      </c>
      <c r="DF95" s="75" t="str">
        <f t="shared" ca="1" si="65"/>
        <v/>
      </c>
      <c r="DG95" s="75" t="str">
        <f t="shared" ca="1" si="65"/>
        <v/>
      </c>
      <c r="DH95" s="75" t="str">
        <f t="shared" ca="1" si="65"/>
        <v/>
      </c>
      <c r="DI95" s="75" t="str">
        <f t="shared" ca="1" si="65"/>
        <v/>
      </c>
      <c r="DJ95" s="75" t="str">
        <f t="shared" ref="CU95:DJ110" ca="1" si="76">IF($A95="", "", IF(INDIRECT($A95&amp; "!"&amp; DJ$2)="", "", INDIRECT($A95&amp; "!"&amp; DJ$2)))</f>
        <v/>
      </c>
      <c r="DK95" s="75" t="str">
        <f t="shared" ca="1" si="69"/>
        <v/>
      </c>
      <c r="DL95" s="75" t="str">
        <f t="shared" ca="1" si="69"/>
        <v/>
      </c>
      <c r="DM95" s="75" t="str">
        <f t="shared" ca="1" si="69"/>
        <v/>
      </c>
      <c r="DN95" s="75" t="str">
        <f t="shared" ca="1" si="69"/>
        <v/>
      </c>
      <c r="DO95" s="75" t="str">
        <f t="shared" ca="1" si="69"/>
        <v/>
      </c>
      <c r="DP95" s="75" t="str">
        <f t="shared" ca="1" si="69"/>
        <v/>
      </c>
      <c r="DQ95" s="75" t="str">
        <f t="shared" ca="1" si="69"/>
        <v/>
      </c>
      <c r="DR95" s="75" t="str">
        <f t="shared" ca="1" si="69"/>
        <v/>
      </c>
      <c r="DS95" s="74" t="str">
        <f t="shared" ca="1" si="69"/>
        <v/>
      </c>
      <c r="DT95" s="74" t="str">
        <f t="shared" ca="1" si="69"/>
        <v/>
      </c>
      <c r="DU95" s="74" t="str">
        <f t="shared" ca="1" si="69"/>
        <v/>
      </c>
      <c r="DV95" s="74" t="str">
        <f t="shared" ca="1" si="69"/>
        <v/>
      </c>
      <c r="DW95" s="74" t="str">
        <f t="shared" ca="1" si="69"/>
        <v/>
      </c>
      <c r="DX95" s="74" t="str">
        <f t="shared" ca="1" si="69"/>
        <v/>
      </c>
      <c r="DY95" s="74" t="str">
        <f t="shared" ca="1" si="69"/>
        <v/>
      </c>
      <c r="DZ95" s="74" t="str">
        <f t="shared" ca="1" si="69"/>
        <v/>
      </c>
      <c r="EA95" s="74" t="str">
        <f t="shared" ca="1" si="66"/>
        <v/>
      </c>
      <c r="EB95" s="74" t="str">
        <f t="shared" ca="1" si="66"/>
        <v/>
      </c>
      <c r="EC95" s="74" t="str">
        <f t="shared" ca="1" si="66"/>
        <v/>
      </c>
      <c r="ED95" s="74" t="str">
        <f t="shared" ca="1" si="66"/>
        <v/>
      </c>
      <c r="EE95" s="74" t="str">
        <f t="shared" ca="1" si="66"/>
        <v/>
      </c>
      <c r="EF95" s="74" t="str">
        <f t="shared" ca="1" si="66"/>
        <v/>
      </c>
      <c r="EG95" s="74" t="str">
        <f t="shared" ca="1" si="66"/>
        <v/>
      </c>
      <c r="EH95" s="74" t="str">
        <f t="shared" ca="1" si="66"/>
        <v/>
      </c>
      <c r="EI95" s="74" t="str">
        <f t="shared" ca="1" si="66"/>
        <v/>
      </c>
      <c r="EJ95" s="74" t="str">
        <f t="shared" ca="1" si="66"/>
        <v/>
      </c>
      <c r="EK95" s="75" t="str">
        <f t="shared" ca="1" si="66"/>
        <v/>
      </c>
      <c r="EL95" s="75" t="str">
        <f t="shared" ca="1" si="66"/>
        <v/>
      </c>
      <c r="EM95" s="75" t="str">
        <f t="shared" ca="1" si="66"/>
        <v/>
      </c>
      <c r="EN95" s="75" t="str">
        <f t="shared" ca="1" si="66"/>
        <v/>
      </c>
      <c r="EO95" s="75" t="str">
        <f t="shared" ca="1" si="66"/>
        <v/>
      </c>
      <c r="EP95" s="75" t="str">
        <f t="shared" ref="EA95:EP110" ca="1" si="77">IF($A95="", "", IF(INDIRECT($A95&amp; "!"&amp; EP$2)="", "", INDIRECT($A95&amp; "!"&amp; EP$2)))</f>
        <v/>
      </c>
      <c r="EQ95" s="75" t="str">
        <f t="shared" ca="1" si="70"/>
        <v/>
      </c>
      <c r="ER95" s="75" t="str">
        <f t="shared" ca="1" si="70"/>
        <v/>
      </c>
      <c r="ES95" s="75" t="str">
        <f t="shared" ca="1" si="70"/>
        <v/>
      </c>
      <c r="ET95" s="75" t="str">
        <f t="shared" ca="1" si="70"/>
        <v/>
      </c>
      <c r="EU95" s="75" t="str">
        <f t="shared" ca="1" si="70"/>
        <v/>
      </c>
      <c r="EV95" s="75" t="str">
        <f t="shared" ca="1" si="70"/>
        <v/>
      </c>
      <c r="EW95" s="75" t="str">
        <f t="shared" ca="1" si="70"/>
        <v/>
      </c>
      <c r="EX95" s="75" t="str">
        <f t="shared" ca="1" si="70"/>
        <v/>
      </c>
      <c r="EY95" s="75" t="str">
        <f t="shared" ca="1" si="70"/>
        <v/>
      </c>
      <c r="EZ95" s="75" t="str">
        <f t="shared" ca="1" si="70"/>
        <v/>
      </c>
      <c r="FA95" s="75" t="str">
        <f t="shared" ca="1" si="70"/>
        <v/>
      </c>
      <c r="FB95" s="75" t="str">
        <f t="shared" ca="1" si="70"/>
        <v/>
      </c>
      <c r="FC95" s="76" t="str">
        <f t="shared" ca="1" si="70"/>
        <v/>
      </c>
      <c r="FD95" s="74" t="str">
        <f t="shared" ca="1" si="70"/>
        <v/>
      </c>
      <c r="FE95" s="74" t="str">
        <f t="shared" ca="1" si="70"/>
        <v/>
      </c>
      <c r="FF95" s="74" t="str">
        <f t="shared" ca="1" si="70"/>
        <v/>
      </c>
      <c r="FG95" s="74" t="str">
        <f t="shared" ca="1" si="74"/>
        <v/>
      </c>
      <c r="FH95" s="74" t="str">
        <f t="shared" ca="1" si="74"/>
        <v/>
      </c>
      <c r="FI95" s="74" t="str">
        <f t="shared" ca="1" si="74"/>
        <v/>
      </c>
      <c r="FJ95" s="74" t="str">
        <f t="shared" ca="1" si="74"/>
        <v/>
      </c>
      <c r="FK95" s="74" t="str">
        <f t="shared" ca="1" si="74"/>
        <v/>
      </c>
      <c r="FL95" s="74" t="str">
        <f t="shared" ca="1" si="74"/>
        <v/>
      </c>
      <c r="FM95" s="74" t="str">
        <f t="shared" ca="1" si="74"/>
        <v/>
      </c>
      <c r="FN95" s="74" t="str">
        <f t="shared" ca="1" si="74"/>
        <v/>
      </c>
      <c r="FO95" s="74" t="str">
        <f t="shared" ca="1" si="74"/>
        <v/>
      </c>
      <c r="FP95" s="74" t="str">
        <f t="shared" ca="1" si="74"/>
        <v/>
      </c>
      <c r="FQ95" s="74" t="str">
        <f t="shared" ca="1" si="74"/>
        <v/>
      </c>
      <c r="FR95" s="74" t="str">
        <f t="shared" ca="1" si="74"/>
        <v/>
      </c>
      <c r="FS95" s="74" t="str">
        <f t="shared" ca="1" si="74"/>
        <v/>
      </c>
      <c r="FT95" s="74" t="str">
        <f t="shared" ca="1" si="74"/>
        <v/>
      </c>
    </row>
    <row r="96" spans="1:176" x14ac:dyDescent="0.35">
      <c r="A96" s="74"/>
      <c r="B96" s="74" t="str">
        <f t="shared" ca="1" si="72"/>
        <v/>
      </c>
      <c r="C96" s="74" t="str">
        <f t="shared" ca="1" si="72"/>
        <v/>
      </c>
      <c r="D96" s="74" t="str">
        <f t="shared" ca="1" si="72"/>
        <v/>
      </c>
      <c r="E96" s="74" t="str">
        <f t="shared" ca="1" si="72"/>
        <v/>
      </c>
      <c r="F96" t="str">
        <f t="shared" ca="1" si="63"/>
        <v/>
      </c>
      <c r="G96" t="str">
        <f t="shared" ca="1" si="63"/>
        <v/>
      </c>
      <c r="H96" t="str">
        <f t="shared" ca="1" si="63"/>
        <v/>
      </c>
      <c r="I96" s="74" t="str">
        <f t="shared" ca="1" si="72"/>
        <v/>
      </c>
      <c r="J96" s="74" t="str">
        <f t="shared" ca="1" si="72"/>
        <v/>
      </c>
      <c r="K96" s="74" t="str">
        <f t="shared" ca="1" si="72"/>
        <v/>
      </c>
      <c r="L96" s="74" t="str">
        <f t="shared" ca="1" si="72"/>
        <v/>
      </c>
      <c r="M96" s="74" t="str">
        <f t="shared" ca="1" si="72"/>
        <v/>
      </c>
      <c r="N96" s="74" t="str">
        <f t="shared" ca="1" si="72"/>
        <v/>
      </c>
      <c r="O96" s="74" t="str">
        <f t="shared" ca="1" si="72"/>
        <v/>
      </c>
      <c r="P96" s="74" t="str">
        <f t="shared" ca="1" si="72"/>
        <v/>
      </c>
      <c r="Q96" s="74" t="str">
        <f t="shared" ca="1" si="72"/>
        <v/>
      </c>
      <c r="R96" s="74" t="str">
        <f t="shared" ca="1" si="72"/>
        <v/>
      </c>
      <c r="S96" s="74" t="str">
        <f t="shared" ca="1" si="72"/>
        <v/>
      </c>
      <c r="T96" s="74" t="str">
        <f t="shared" ca="1" si="73"/>
        <v/>
      </c>
      <c r="U96" s="74" t="str">
        <f t="shared" ca="1" si="73"/>
        <v/>
      </c>
      <c r="V96" s="74" t="str">
        <f t="shared" ca="1" si="73"/>
        <v/>
      </c>
      <c r="W96" s="74" t="str">
        <f t="shared" ca="1" si="73"/>
        <v/>
      </c>
      <c r="X96" s="74" t="str">
        <f t="shared" ca="1" si="73"/>
        <v/>
      </c>
      <c r="Y96" s="74" t="str">
        <f t="shared" ca="1" si="73"/>
        <v/>
      </c>
      <c r="Z96" s="74" t="str">
        <f t="shared" ca="1" si="73"/>
        <v/>
      </c>
      <c r="AA96" s="74" t="str">
        <f t="shared" ca="1" si="73"/>
        <v/>
      </c>
      <c r="AB96" s="75" t="str">
        <f t="shared" ca="1" si="73"/>
        <v/>
      </c>
      <c r="AC96" s="75" t="str">
        <f t="shared" ca="1" si="73"/>
        <v/>
      </c>
      <c r="AD96" s="75" t="str">
        <f t="shared" ca="1" si="73"/>
        <v/>
      </c>
      <c r="AE96" s="75" t="str">
        <f t="shared" ca="1" si="73"/>
        <v/>
      </c>
      <c r="AF96" s="75" t="str">
        <f t="shared" ca="1" si="73"/>
        <v/>
      </c>
      <c r="AG96" s="75" t="str">
        <f t="shared" ca="1" si="73"/>
        <v/>
      </c>
      <c r="AH96" s="75" t="str">
        <f t="shared" ca="1" si="73"/>
        <v/>
      </c>
      <c r="AI96" s="75" t="str">
        <f t="shared" ca="1" si="71"/>
        <v/>
      </c>
      <c r="AJ96" s="75" t="str">
        <f t="shared" ca="1" si="71"/>
        <v/>
      </c>
      <c r="AK96" s="75" t="str">
        <f t="shared" ca="1" si="71"/>
        <v/>
      </c>
      <c r="AL96" s="75" t="str">
        <f t="shared" ca="1" si="71"/>
        <v/>
      </c>
      <c r="AM96" s="75" t="str">
        <f t="shared" ca="1" si="71"/>
        <v/>
      </c>
      <c r="AN96" s="75" t="str">
        <f t="shared" ca="1" si="71"/>
        <v/>
      </c>
      <c r="AO96" s="75" t="str">
        <f t="shared" ca="1" si="71"/>
        <v/>
      </c>
      <c r="AP96" s="75" t="str">
        <f t="shared" ca="1" si="71"/>
        <v/>
      </c>
      <c r="AQ96" s="75" t="str">
        <f t="shared" ca="1" si="71"/>
        <v/>
      </c>
      <c r="AR96" s="75" t="str">
        <f t="shared" ca="1" si="71"/>
        <v/>
      </c>
      <c r="AS96" s="75" t="str">
        <f t="shared" ca="1" si="71"/>
        <v/>
      </c>
      <c r="AT96" s="75" t="str">
        <f t="shared" ca="1" si="71"/>
        <v/>
      </c>
      <c r="AU96" s="74" t="str">
        <f t="shared" ca="1" si="71"/>
        <v/>
      </c>
      <c r="AV96" s="74" t="str">
        <f t="shared" ca="1" si="71"/>
        <v/>
      </c>
      <c r="AW96" s="74" t="str">
        <f t="shared" ca="1" si="71"/>
        <v/>
      </c>
      <c r="AX96" s="74" t="str">
        <f t="shared" ca="1" si="71"/>
        <v/>
      </c>
      <c r="AY96" s="74" t="str">
        <f t="shared" ca="1" si="67"/>
        <v/>
      </c>
      <c r="AZ96" s="74" t="str">
        <f t="shared" ca="1" si="67"/>
        <v/>
      </c>
      <c r="BA96" s="74" t="str">
        <f t="shared" ca="1" si="67"/>
        <v/>
      </c>
      <c r="BB96" s="74" t="str">
        <f t="shared" ca="1" si="67"/>
        <v/>
      </c>
      <c r="BC96" s="74" t="str">
        <f t="shared" ca="1" si="67"/>
        <v/>
      </c>
      <c r="BD96" s="74" t="str">
        <f t="shared" ca="1" si="67"/>
        <v/>
      </c>
      <c r="BE96" s="74" t="str">
        <f t="shared" ca="1" si="67"/>
        <v/>
      </c>
      <c r="BF96" s="74" t="str">
        <f t="shared" ca="1" si="67"/>
        <v/>
      </c>
      <c r="BG96" s="74" t="str">
        <f t="shared" ca="1" si="67"/>
        <v/>
      </c>
      <c r="BH96" s="74" t="str">
        <f t="shared" ca="1" si="67"/>
        <v/>
      </c>
      <c r="BI96" s="74" t="str">
        <f t="shared" ca="1" si="67"/>
        <v/>
      </c>
      <c r="BJ96" s="74" t="str">
        <f t="shared" ca="1" si="67"/>
        <v/>
      </c>
      <c r="BK96" s="74" t="str">
        <f t="shared" ca="1" si="67"/>
        <v/>
      </c>
      <c r="BL96" s="74" t="str">
        <f t="shared" ca="1" si="67"/>
        <v/>
      </c>
      <c r="BM96" s="74" t="str">
        <f t="shared" ca="1" si="67"/>
        <v/>
      </c>
      <c r="BN96" s="75" t="str">
        <f t="shared" ca="1" si="67"/>
        <v/>
      </c>
      <c r="BO96" s="75" t="str">
        <f t="shared" ca="1" si="75"/>
        <v/>
      </c>
      <c r="BP96" s="75" t="str">
        <f t="shared" ca="1" si="75"/>
        <v/>
      </c>
      <c r="BQ96" s="75" t="str">
        <f t="shared" ca="1" si="75"/>
        <v/>
      </c>
      <c r="BR96" s="75" t="str">
        <f t="shared" ca="1" si="75"/>
        <v/>
      </c>
      <c r="BS96" s="75" t="str">
        <f t="shared" ca="1" si="75"/>
        <v/>
      </c>
      <c r="BT96" s="75" t="str">
        <f t="shared" ca="1" si="75"/>
        <v/>
      </c>
      <c r="BU96" s="75" t="str">
        <f t="shared" ca="1" si="75"/>
        <v/>
      </c>
      <c r="BV96" s="75" t="str">
        <f t="shared" ca="1" si="75"/>
        <v/>
      </c>
      <c r="BW96" s="75" t="str">
        <f t="shared" ca="1" si="75"/>
        <v/>
      </c>
      <c r="BX96" s="75" t="str">
        <f t="shared" ca="1" si="75"/>
        <v/>
      </c>
      <c r="BY96" s="75" t="str">
        <f t="shared" ca="1" si="75"/>
        <v/>
      </c>
      <c r="BZ96" s="75" t="str">
        <f t="shared" ca="1" si="75"/>
        <v/>
      </c>
      <c r="CA96" s="75" t="str">
        <f t="shared" ca="1" si="75"/>
        <v/>
      </c>
      <c r="CB96" s="75" t="str">
        <f t="shared" ca="1" si="75"/>
        <v/>
      </c>
      <c r="CC96" s="75" t="str">
        <f t="shared" ca="1" si="75"/>
        <v/>
      </c>
      <c r="CD96" s="75" t="str">
        <f t="shared" ca="1" si="75"/>
        <v/>
      </c>
      <c r="CE96" s="75" t="str">
        <f t="shared" ca="1" si="68"/>
        <v/>
      </c>
      <c r="CF96" s="75" t="str">
        <f t="shared" ca="1" si="68"/>
        <v/>
      </c>
      <c r="CG96" s="74" t="str">
        <f t="shared" ca="1" si="68"/>
        <v/>
      </c>
      <c r="CH96" s="74" t="str">
        <f t="shared" ca="1" si="68"/>
        <v/>
      </c>
      <c r="CI96" s="74" t="str">
        <f t="shared" ca="1" si="68"/>
        <v/>
      </c>
      <c r="CJ96" s="74" t="str">
        <f t="shared" ca="1" si="68"/>
        <v/>
      </c>
      <c r="CK96" s="74" t="str">
        <f t="shared" ca="1" si="68"/>
        <v/>
      </c>
      <c r="CL96" s="74" t="str">
        <f t="shared" ca="1" si="68"/>
        <v/>
      </c>
      <c r="CM96" s="74" t="str">
        <f t="shared" ca="1" si="68"/>
        <v/>
      </c>
      <c r="CN96" s="74" t="str">
        <f t="shared" ca="1" si="68"/>
        <v/>
      </c>
      <c r="CO96" s="74" t="str">
        <f t="shared" ca="1" si="68"/>
        <v/>
      </c>
      <c r="CP96" s="74" t="str">
        <f t="shared" ca="1" si="68"/>
        <v/>
      </c>
      <c r="CQ96" s="74" t="str">
        <f t="shared" ca="1" si="68"/>
        <v/>
      </c>
      <c r="CR96" s="74" t="str">
        <f t="shared" ca="1" si="68"/>
        <v/>
      </c>
      <c r="CS96" s="74" t="str">
        <f t="shared" ca="1" si="68"/>
        <v/>
      </c>
      <c r="CT96" s="74" t="str">
        <f t="shared" ca="1" si="68"/>
        <v/>
      </c>
      <c r="CU96" s="74" t="str">
        <f t="shared" ca="1" si="76"/>
        <v/>
      </c>
      <c r="CV96" s="74" t="str">
        <f t="shared" ca="1" si="76"/>
        <v/>
      </c>
      <c r="CW96" s="74" t="str">
        <f t="shared" ca="1" si="76"/>
        <v/>
      </c>
      <c r="CX96" s="74" t="str">
        <f t="shared" ca="1" si="76"/>
        <v/>
      </c>
      <c r="CY96" s="74" t="str">
        <f t="shared" ca="1" si="76"/>
        <v/>
      </c>
      <c r="CZ96" s="75" t="str">
        <f t="shared" ca="1" si="76"/>
        <v/>
      </c>
      <c r="DA96" s="75" t="str">
        <f t="shared" ca="1" si="76"/>
        <v/>
      </c>
      <c r="DB96" s="75" t="str">
        <f t="shared" ca="1" si="76"/>
        <v/>
      </c>
      <c r="DC96" s="75" t="str">
        <f t="shared" ca="1" si="76"/>
        <v/>
      </c>
      <c r="DD96" s="75" t="str">
        <f t="shared" ca="1" si="76"/>
        <v/>
      </c>
      <c r="DE96" s="75" t="str">
        <f t="shared" ca="1" si="76"/>
        <v/>
      </c>
      <c r="DF96" s="75" t="str">
        <f t="shared" ca="1" si="76"/>
        <v/>
      </c>
      <c r="DG96" s="75" t="str">
        <f t="shared" ca="1" si="76"/>
        <v/>
      </c>
      <c r="DH96" s="75" t="str">
        <f t="shared" ca="1" si="76"/>
        <v/>
      </c>
      <c r="DI96" s="75" t="str">
        <f t="shared" ca="1" si="76"/>
        <v/>
      </c>
      <c r="DJ96" s="75" t="str">
        <f t="shared" ca="1" si="76"/>
        <v/>
      </c>
      <c r="DK96" s="75" t="str">
        <f t="shared" ca="1" si="69"/>
        <v/>
      </c>
      <c r="DL96" s="75" t="str">
        <f t="shared" ca="1" si="69"/>
        <v/>
      </c>
      <c r="DM96" s="75" t="str">
        <f t="shared" ca="1" si="69"/>
        <v/>
      </c>
      <c r="DN96" s="75" t="str">
        <f t="shared" ca="1" si="69"/>
        <v/>
      </c>
      <c r="DO96" s="75" t="str">
        <f t="shared" ca="1" si="69"/>
        <v/>
      </c>
      <c r="DP96" s="75" t="str">
        <f t="shared" ca="1" si="69"/>
        <v/>
      </c>
      <c r="DQ96" s="75" t="str">
        <f t="shared" ca="1" si="69"/>
        <v/>
      </c>
      <c r="DR96" s="75" t="str">
        <f t="shared" ca="1" si="69"/>
        <v/>
      </c>
      <c r="DS96" s="74" t="str">
        <f t="shared" ca="1" si="69"/>
        <v/>
      </c>
      <c r="DT96" s="74" t="str">
        <f t="shared" ca="1" si="69"/>
        <v/>
      </c>
      <c r="DU96" s="74" t="str">
        <f t="shared" ca="1" si="69"/>
        <v/>
      </c>
      <c r="DV96" s="74" t="str">
        <f t="shared" ca="1" si="69"/>
        <v/>
      </c>
      <c r="DW96" s="74" t="str">
        <f t="shared" ca="1" si="69"/>
        <v/>
      </c>
      <c r="DX96" s="74" t="str">
        <f t="shared" ca="1" si="69"/>
        <v/>
      </c>
      <c r="DY96" s="74" t="str">
        <f t="shared" ca="1" si="69"/>
        <v/>
      </c>
      <c r="DZ96" s="74" t="str">
        <f t="shared" ca="1" si="69"/>
        <v/>
      </c>
      <c r="EA96" s="74" t="str">
        <f t="shared" ca="1" si="77"/>
        <v/>
      </c>
      <c r="EB96" s="74" t="str">
        <f t="shared" ca="1" si="77"/>
        <v/>
      </c>
      <c r="EC96" s="74" t="str">
        <f t="shared" ca="1" si="77"/>
        <v/>
      </c>
      <c r="ED96" s="74" t="str">
        <f t="shared" ca="1" si="77"/>
        <v/>
      </c>
      <c r="EE96" s="74" t="str">
        <f t="shared" ca="1" si="77"/>
        <v/>
      </c>
      <c r="EF96" s="74" t="str">
        <f t="shared" ca="1" si="77"/>
        <v/>
      </c>
      <c r="EG96" s="74" t="str">
        <f t="shared" ca="1" si="77"/>
        <v/>
      </c>
      <c r="EH96" s="74" t="str">
        <f t="shared" ca="1" si="77"/>
        <v/>
      </c>
      <c r="EI96" s="74" t="str">
        <f t="shared" ca="1" si="77"/>
        <v/>
      </c>
      <c r="EJ96" s="74" t="str">
        <f t="shared" ca="1" si="77"/>
        <v/>
      </c>
      <c r="EK96" s="75" t="str">
        <f t="shared" ca="1" si="77"/>
        <v/>
      </c>
      <c r="EL96" s="75" t="str">
        <f t="shared" ca="1" si="77"/>
        <v/>
      </c>
      <c r="EM96" s="75" t="str">
        <f t="shared" ca="1" si="77"/>
        <v/>
      </c>
      <c r="EN96" s="75" t="str">
        <f t="shared" ca="1" si="77"/>
        <v/>
      </c>
      <c r="EO96" s="75" t="str">
        <f t="shared" ca="1" si="77"/>
        <v/>
      </c>
      <c r="EP96" s="75" t="str">
        <f t="shared" ca="1" si="77"/>
        <v/>
      </c>
      <c r="EQ96" s="75" t="str">
        <f t="shared" ca="1" si="70"/>
        <v/>
      </c>
      <c r="ER96" s="75" t="str">
        <f t="shared" ca="1" si="70"/>
        <v/>
      </c>
      <c r="ES96" s="75" t="str">
        <f t="shared" ca="1" si="70"/>
        <v/>
      </c>
      <c r="ET96" s="75" t="str">
        <f t="shared" ca="1" si="70"/>
        <v/>
      </c>
      <c r="EU96" s="75" t="str">
        <f t="shared" ca="1" si="70"/>
        <v/>
      </c>
      <c r="EV96" s="75" t="str">
        <f t="shared" ca="1" si="70"/>
        <v/>
      </c>
      <c r="EW96" s="75" t="str">
        <f t="shared" ca="1" si="70"/>
        <v/>
      </c>
      <c r="EX96" s="75" t="str">
        <f t="shared" ca="1" si="70"/>
        <v/>
      </c>
      <c r="EY96" s="75" t="str">
        <f t="shared" ca="1" si="70"/>
        <v/>
      </c>
      <c r="EZ96" s="75" t="str">
        <f t="shared" ca="1" si="70"/>
        <v/>
      </c>
      <c r="FA96" s="75" t="str">
        <f t="shared" ca="1" si="70"/>
        <v/>
      </c>
      <c r="FB96" s="75" t="str">
        <f t="shared" ca="1" si="70"/>
        <v/>
      </c>
      <c r="FC96" s="76" t="str">
        <f t="shared" ca="1" si="70"/>
        <v/>
      </c>
      <c r="FD96" s="74" t="str">
        <f t="shared" ca="1" si="70"/>
        <v/>
      </c>
      <c r="FE96" s="74" t="str">
        <f t="shared" ca="1" si="70"/>
        <v/>
      </c>
      <c r="FF96" s="74" t="str">
        <f t="shared" ca="1" si="70"/>
        <v/>
      </c>
      <c r="FG96" s="74" t="str">
        <f t="shared" ca="1" si="74"/>
        <v/>
      </c>
      <c r="FH96" s="74" t="str">
        <f t="shared" ca="1" si="74"/>
        <v/>
      </c>
      <c r="FI96" s="74" t="str">
        <f t="shared" ca="1" si="74"/>
        <v/>
      </c>
      <c r="FJ96" s="74" t="str">
        <f t="shared" ca="1" si="74"/>
        <v/>
      </c>
      <c r="FK96" s="74" t="str">
        <f t="shared" ca="1" si="74"/>
        <v/>
      </c>
      <c r="FL96" s="74" t="str">
        <f t="shared" ca="1" si="74"/>
        <v/>
      </c>
      <c r="FM96" s="74" t="str">
        <f t="shared" ca="1" si="74"/>
        <v/>
      </c>
      <c r="FN96" s="74" t="str">
        <f t="shared" ca="1" si="74"/>
        <v/>
      </c>
      <c r="FO96" s="74" t="str">
        <f t="shared" ca="1" si="74"/>
        <v/>
      </c>
      <c r="FP96" s="74" t="str">
        <f t="shared" ca="1" si="74"/>
        <v/>
      </c>
      <c r="FQ96" s="74" t="str">
        <f t="shared" ca="1" si="74"/>
        <v/>
      </c>
      <c r="FR96" s="74" t="str">
        <f t="shared" ca="1" si="74"/>
        <v/>
      </c>
      <c r="FS96" s="74" t="str">
        <f t="shared" ca="1" si="74"/>
        <v/>
      </c>
      <c r="FT96" s="74" t="str">
        <f t="shared" ca="1" si="74"/>
        <v/>
      </c>
    </row>
    <row r="97" spans="1:176" x14ac:dyDescent="0.35">
      <c r="A97" s="74"/>
      <c r="B97" s="74" t="str">
        <f t="shared" ca="1" si="72"/>
        <v/>
      </c>
      <c r="C97" s="74" t="str">
        <f t="shared" ca="1" si="72"/>
        <v/>
      </c>
      <c r="D97" s="74" t="str">
        <f t="shared" ca="1" si="72"/>
        <v/>
      </c>
      <c r="E97" s="74" t="str">
        <f t="shared" ca="1" si="72"/>
        <v/>
      </c>
      <c r="F97" t="str">
        <f t="shared" ca="1" si="63"/>
        <v/>
      </c>
      <c r="G97" t="str">
        <f t="shared" ca="1" si="63"/>
        <v/>
      </c>
      <c r="H97" t="str">
        <f t="shared" ca="1" si="63"/>
        <v/>
      </c>
      <c r="I97" s="74" t="str">
        <f t="shared" ca="1" si="72"/>
        <v/>
      </c>
      <c r="J97" s="74" t="str">
        <f t="shared" ca="1" si="72"/>
        <v/>
      </c>
      <c r="K97" s="74" t="str">
        <f t="shared" ca="1" si="72"/>
        <v/>
      </c>
      <c r="L97" s="74" t="str">
        <f t="shared" ca="1" si="72"/>
        <v/>
      </c>
      <c r="M97" s="74" t="str">
        <f t="shared" ca="1" si="72"/>
        <v/>
      </c>
      <c r="N97" s="74" t="str">
        <f t="shared" ca="1" si="72"/>
        <v/>
      </c>
      <c r="O97" s="74" t="str">
        <f t="shared" ca="1" si="72"/>
        <v/>
      </c>
      <c r="P97" s="74" t="str">
        <f t="shared" ca="1" si="72"/>
        <v/>
      </c>
      <c r="Q97" s="74" t="str">
        <f t="shared" ca="1" si="72"/>
        <v/>
      </c>
      <c r="R97" s="74" t="str">
        <f t="shared" ca="1" si="72"/>
        <v/>
      </c>
      <c r="S97" s="74" t="str">
        <f t="shared" ca="1" si="72"/>
        <v/>
      </c>
      <c r="T97" s="74" t="str">
        <f t="shared" ca="1" si="73"/>
        <v/>
      </c>
      <c r="U97" s="74" t="str">
        <f t="shared" ca="1" si="73"/>
        <v/>
      </c>
      <c r="V97" s="74" t="str">
        <f t="shared" ca="1" si="73"/>
        <v/>
      </c>
      <c r="W97" s="74" t="str">
        <f t="shared" ca="1" si="73"/>
        <v/>
      </c>
      <c r="X97" s="74" t="str">
        <f t="shared" ca="1" si="73"/>
        <v/>
      </c>
      <c r="Y97" s="74" t="str">
        <f t="shared" ca="1" si="73"/>
        <v/>
      </c>
      <c r="Z97" s="74" t="str">
        <f t="shared" ca="1" si="73"/>
        <v/>
      </c>
      <c r="AA97" s="74" t="str">
        <f t="shared" ca="1" si="73"/>
        <v/>
      </c>
      <c r="AB97" s="75" t="str">
        <f t="shared" ca="1" si="73"/>
        <v/>
      </c>
      <c r="AC97" s="75" t="str">
        <f t="shared" ca="1" si="73"/>
        <v/>
      </c>
      <c r="AD97" s="75" t="str">
        <f t="shared" ca="1" si="73"/>
        <v/>
      </c>
      <c r="AE97" s="75" t="str">
        <f t="shared" ca="1" si="73"/>
        <v/>
      </c>
      <c r="AF97" s="75" t="str">
        <f t="shared" ca="1" si="73"/>
        <v/>
      </c>
      <c r="AG97" s="75" t="str">
        <f t="shared" ca="1" si="73"/>
        <v/>
      </c>
      <c r="AH97" s="75" t="str">
        <f t="shared" ca="1" si="73"/>
        <v/>
      </c>
      <c r="AI97" s="75" t="str">
        <f t="shared" ca="1" si="71"/>
        <v/>
      </c>
      <c r="AJ97" s="75" t="str">
        <f t="shared" ca="1" si="71"/>
        <v/>
      </c>
      <c r="AK97" s="75" t="str">
        <f t="shared" ca="1" si="71"/>
        <v/>
      </c>
      <c r="AL97" s="75" t="str">
        <f t="shared" ca="1" si="71"/>
        <v/>
      </c>
      <c r="AM97" s="75" t="str">
        <f t="shared" ca="1" si="71"/>
        <v/>
      </c>
      <c r="AN97" s="75" t="str">
        <f t="shared" ca="1" si="71"/>
        <v/>
      </c>
      <c r="AO97" s="75" t="str">
        <f t="shared" ca="1" si="71"/>
        <v/>
      </c>
      <c r="AP97" s="75" t="str">
        <f t="shared" ca="1" si="71"/>
        <v/>
      </c>
      <c r="AQ97" s="75" t="str">
        <f t="shared" ca="1" si="71"/>
        <v/>
      </c>
      <c r="AR97" s="75" t="str">
        <f t="shared" ca="1" si="71"/>
        <v/>
      </c>
      <c r="AS97" s="75" t="str">
        <f t="shared" ca="1" si="71"/>
        <v/>
      </c>
      <c r="AT97" s="75" t="str">
        <f t="shared" ca="1" si="71"/>
        <v/>
      </c>
      <c r="AU97" s="74" t="str">
        <f t="shared" ca="1" si="71"/>
        <v/>
      </c>
      <c r="AV97" s="74" t="str">
        <f t="shared" ca="1" si="71"/>
        <v/>
      </c>
      <c r="AW97" s="74" t="str">
        <f t="shared" ca="1" si="71"/>
        <v/>
      </c>
      <c r="AX97" s="74" t="str">
        <f t="shared" ca="1" si="71"/>
        <v/>
      </c>
      <c r="AY97" s="74" t="str">
        <f t="shared" ref="AY97:BN112" ca="1" si="78">IF($A97="", "", IF(INDIRECT($A97&amp; "!"&amp; AY$2)="", "", INDIRECT($A97&amp; "!"&amp; AY$2)))</f>
        <v/>
      </c>
      <c r="AZ97" s="74" t="str">
        <f t="shared" ca="1" si="78"/>
        <v/>
      </c>
      <c r="BA97" s="74" t="str">
        <f t="shared" ca="1" si="78"/>
        <v/>
      </c>
      <c r="BB97" s="74" t="str">
        <f t="shared" ca="1" si="78"/>
        <v/>
      </c>
      <c r="BC97" s="74" t="str">
        <f t="shared" ca="1" si="78"/>
        <v/>
      </c>
      <c r="BD97" s="74" t="str">
        <f t="shared" ca="1" si="78"/>
        <v/>
      </c>
      <c r="BE97" s="74" t="str">
        <f t="shared" ca="1" si="78"/>
        <v/>
      </c>
      <c r="BF97" s="74" t="str">
        <f t="shared" ca="1" si="78"/>
        <v/>
      </c>
      <c r="BG97" s="74" t="str">
        <f t="shared" ca="1" si="78"/>
        <v/>
      </c>
      <c r="BH97" s="74" t="str">
        <f t="shared" ca="1" si="78"/>
        <v/>
      </c>
      <c r="BI97" s="74" t="str">
        <f t="shared" ca="1" si="78"/>
        <v/>
      </c>
      <c r="BJ97" s="74" t="str">
        <f t="shared" ca="1" si="78"/>
        <v/>
      </c>
      <c r="BK97" s="74" t="str">
        <f t="shared" ca="1" si="78"/>
        <v/>
      </c>
      <c r="BL97" s="74" t="str">
        <f t="shared" ca="1" si="78"/>
        <v/>
      </c>
      <c r="BM97" s="74" t="str">
        <f t="shared" ca="1" si="78"/>
        <v/>
      </c>
      <c r="BN97" s="75" t="str">
        <f t="shared" ca="1" si="78"/>
        <v/>
      </c>
      <c r="BO97" s="75" t="str">
        <f t="shared" ca="1" si="75"/>
        <v/>
      </c>
      <c r="BP97" s="75" t="str">
        <f t="shared" ca="1" si="75"/>
        <v/>
      </c>
      <c r="BQ97" s="75" t="str">
        <f t="shared" ca="1" si="75"/>
        <v/>
      </c>
      <c r="BR97" s="75" t="str">
        <f t="shared" ca="1" si="75"/>
        <v/>
      </c>
      <c r="BS97" s="75" t="str">
        <f t="shared" ca="1" si="75"/>
        <v/>
      </c>
      <c r="BT97" s="75" t="str">
        <f t="shared" ca="1" si="75"/>
        <v/>
      </c>
      <c r="BU97" s="75" t="str">
        <f t="shared" ca="1" si="75"/>
        <v/>
      </c>
      <c r="BV97" s="75" t="str">
        <f t="shared" ca="1" si="75"/>
        <v/>
      </c>
      <c r="BW97" s="75" t="str">
        <f t="shared" ca="1" si="75"/>
        <v/>
      </c>
      <c r="BX97" s="75" t="str">
        <f t="shared" ca="1" si="75"/>
        <v/>
      </c>
      <c r="BY97" s="75" t="str">
        <f t="shared" ca="1" si="75"/>
        <v/>
      </c>
      <c r="BZ97" s="75" t="str">
        <f t="shared" ca="1" si="75"/>
        <v/>
      </c>
      <c r="CA97" s="75" t="str">
        <f t="shared" ca="1" si="75"/>
        <v/>
      </c>
      <c r="CB97" s="75" t="str">
        <f t="shared" ca="1" si="75"/>
        <v/>
      </c>
      <c r="CC97" s="75" t="str">
        <f t="shared" ca="1" si="75"/>
        <v/>
      </c>
      <c r="CD97" s="75" t="str">
        <f t="shared" ca="1" si="75"/>
        <v/>
      </c>
      <c r="CE97" s="75" t="str">
        <f t="shared" ref="CE97:CT112" ca="1" si="79">IF($A97="", "", IF(INDIRECT($A97&amp; "!"&amp; CE$2)="", "", INDIRECT($A97&amp; "!"&amp; CE$2)))</f>
        <v/>
      </c>
      <c r="CF97" s="75" t="str">
        <f t="shared" ca="1" si="79"/>
        <v/>
      </c>
      <c r="CG97" s="74" t="str">
        <f t="shared" ca="1" si="79"/>
        <v/>
      </c>
      <c r="CH97" s="74" t="str">
        <f t="shared" ca="1" si="79"/>
        <v/>
      </c>
      <c r="CI97" s="74" t="str">
        <f t="shared" ca="1" si="79"/>
        <v/>
      </c>
      <c r="CJ97" s="74" t="str">
        <f t="shared" ca="1" si="79"/>
        <v/>
      </c>
      <c r="CK97" s="74" t="str">
        <f t="shared" ca="1" si="79"/>
        <v/>
      </c>
      <c r="CL97" s="74" t="str">
        <f t="shared" ca="1" si="79"/>
        <v/>
      </c>
      <c r="CM97" s="74" t="str">
        <f t="shared" ca="1" si="79"/>
        <v/>
      </c>
      <c r="CN97" s="74" t="str">
        <f t="shared" ca="1" si="79"/>
        <v/>
      </c>
      <c r="CO97" s="74" t="str">
        <f t="shared" ca="1" si="79"/>
        <v/>
      </c>
      <c r="CP97" s="74" t="str">
        <f t="shared" ca="1" si="79"/>
        <v/>
      </c>
      <c r="CQ97" s="74" t="str">
        <f t="shared" ca="1" si="79"/>
        <v/>
      </c>
      <c r="CR97" s="74" t="str">
        <f t="shared" ca="1" si="79"/>
        <v/>
      </c>
      <c r="CS97" s="74" t="str">
        <f t="shared" ca="1" si="79"/>
        <v/>
      </c>
      <c r="CT97" s="74" t="str">
        <f t="shared" ca="1" si="79"/>
        <v/>
      </c>
      <c r="CU97" s="74" t="str">
        <f t="shared" ca="1" si="76"/>
        <v/>
      </c>
      <c r="CV97" s="74" t="str">
        <f t="shared" ca="1" si="76"/>
        <v/>
      </c>
      <c r="CW97" s="74" t="str">
        <f t="shared" ca="1" si="76"/>
        <v/>
      </c>
      <c r="CX97" s="74" t="str">
        <f t="shared" ca="1" si="76"/>
        <v/>
      </c>
      <c r="CY97" s="74" t="str">
        <f t="shared" ca="1" si="76"/>
        <v/>
      </c>
      <c r="CZ97" s="75" t="str">
        <f t="shared" ca="1" si="76"/>
        <v/>
      </c>
      <c r="DA97" s="75" t="str">
        <f t="shared" ca="1" si="76"/>
        <v/>
      </c>
      <c r="DB97" s="75" t="str">
        <f t="shared" ca="1" si="76"/>
        <v/>
      </c>
      <c r="DC97" s="75" t="str">
        <f t="shared" ca="1" si="76"/>
        <v/>
      </c>
      <c r="DD97" s="75" t="str">
        <f t="shared" ca="1" si="76"/>
        <v/>
      </c>
      <c r="DE97" s="75" t="str">
        <f t="shared" ca="1" si="76"/>
        <v/>
      </c>
      <c r="DF97" s="75" t="str">
        <f t="shared" ca="1" si="76"/>
        <v/>
      </c>
      <c r="DG97" s="75" t="str">
        <f t="shared" ca="1" si="76"/>
        <v/>
      </c>
      <c r="DH97" s="75" t="str">
        <f t="shared" ca="1" si="76"/>
        <v/>
      </c>
      <c r="DI97" s="75" t="str">
        <f t="shared" ca="1" si="76"/>
        <v/>
      </c>
      <c r="DJ97" s="75" t="str">
        <f t="shared" ca="1" si="76"/>
        <v/>
      </c>
      <c r="DK97" s="75" t="str">
        <f t="shared" ref="DK97:DZ112" ca="1" si="80">IF($A97="", "", IF(INDIRECT($A97&amp; "!"&amp; DK$2)="", "", INDIRECT($A97&amp; "!"&amp; DK$2)))</f>
        <v/>
      </c>
      <c r="DL97" s="75" t="str">
        <f t="shared" ca="1" si="80"/>
        <v/>
      </c>
      <c r="DM97" s="75" t="str">
        <f t="shared" ca="1" si="80"/>
        <v/>
      </c>
      <c r="DN97" s="75" t="str">
        <f t="shared" ca="1" si="80"/>
        <v/>
      </c>
      <c r="DO97" s="75" t="str">
        <f t="shared" ca="1" si="80"/>
        <v/>
      </c>
      <c r="DP97" s="75" t="str">
        <f t="shared" ca="1" si="80"/>
        <v/>
      </c>
      <c r="DQ97" s="75" t="str">
        <f t="shared" ca="1" si="80"/>
        <v/>
      </c>
      <c r="DR97" s="75" t="str">
        <f t="shared" ca="1" si="80"/>
        <v/>
      </c>
      <c r="DS97" s="74" t="str">
        <f t="shared" ca="1" si="80"/>
        <v/>
      </c>
      <c r="DT97" s="74" t="str">
        <f t="shared" ca="1" si="80"/>
        <v/>
      </c>
      <c r="DU97" s="74" t="str">
        <f t="shared" ca="1" si="80"/>
        <v/>
      </c>
      <c r="DV97" s="74" t="str">
        <f t="shared" ca="1" si="80"/>
        <v/>
      </c>
      <c r="DW97" s="74" t="str">
        <f t="shared" ca="1" si="80"/>
        <v/>
      </c>
      <c r="DX97" s="74" t="str">
        <f t="shared" ca="1" si="80"/>
        <v/>
      </c>
      <c r="DY97" s="74" t="str">
        <f t="shared" ca="1" si="80"/>
        <v/>
      </c>
      <c r="DZ97" s="74" t="str">
        <f t="shared" ca="1" si="80"/>
        <v/>
      </c>
      <c r="EA97" s="74" t="str">
        <f t="shared" ca="1" si="77"/>
        <v/>
      </c>
      <c r="EB97" s="74" t="str">
        <f t="shared" ca="1" si="77"/>
        <v/>
      </c>
      <c r="EC97" s="74" t="str">
        <f t="shared" ca="1" si="77"/>
        <v/>
      </c>
      <c r="ED97" s="74" t="str">
        <f t="shared" ca="1" si="77"/>
        <v/>
      </c>
      <c r="EE97" s="74" t="str">
        <f t="shared" ca="1" si="77"/>
        <v/>
      </c>
      <c r="EF97" s="74" t="str">
        <f t="shared" ca="1" si="77"/>
        <v/>
      </c>
      <c r="EG97" s="74" t="str">
        <f t="shared" ca="1" si="77"/>
        <v/>
      </c>
      <c r="EH97" s="74" t="str">
        <f t="shared" ca="1" si="77"/>
        <v/>
      </c>
      <c r="EI97" s="74" t="str">
        <f t="shared" ca="1" si="77"/>
        <v/>
      </c>
      <c r="EJ97" s="74" t="str">
        <f t="shared" ca="1" si="77"/>
        <v/>
      </c>
      <c r="EK97" s="75" t="str">
        <f t="shared" ca="1" si="77"/>
        <v/>
      </c>
      <c r="EL97" s="75" t="str">
        <f t="shared" ca="1" si="77"/>
        <v/>
      </c>
      <c r="EM97" s="75" t="str">
        <f t="shared" ca="1" si="77"/>
        <v/>
      </c>
      <c r="EN97" s="75" t="str">
        <f t="shared" ca="1" si="77"/>
        <v/>
      </c>
      <c r="EO97" s="75" t="str">
        <f t="shared" ca="1" si="77"/>
        <v/>
      </c>
      <c r="EP97" s="75" t="str">
        <f t="shared" ca="1" si="77"/>
        <v/>
      </c>
      <c r="EQ97" s="75" t="str">
        <f t="shared" ca="1" si="70"/>
        <v/>
      </c>
      <c r="ER97" s="75" t="str">
        <f t="shared" ca="1" si="70"/>
        <v/>
      </c>
      <c r="ES97" s="75" t="str">
        <f t="shared" ca="1" si="70"/>
        <v/>
      </c>
      <c r="ET97" s="75" t="str">
        <f t="shared" ca="1" si="70"/>
        <v/>
      </c>
      <c r="EU97" s="75" t="str">
        <f t="shared" ca="1" si="70"/>
        <v/>
      </c>
      <c r="EV97" s="75" t="str">
        <f t="shared" ca="1" si="70"/>
        <v/>
      </c>
      <c r="EW97" s="75" t="str">
        <f t="shared" ca="1" si="70"/>
        <v/>
      </c>
      <c r="EX97" s="75" t="str">
        <f t="shared" ca="1" si="70"/>
        <v/>
      </c>
      <c r="EY97" s="75" t="str">
        <f t="shared" ca="1" si="70"/>
        <v/>
      </c>
      <c r="EZ97" s="75" t="str">
        <f t="shared" ca="1" si="70"/>
        <v/>
      </c>
      <c r="FA97" s="75" t="str">
        <f t="shared" ca="1" si="70"/>
        <v/>
      </c>
      <c r="FB97" s="75" t="str">
        <f t="shared" ca="1" si="70"/>
        <v/>
      </c>
      <c r="FC97" s="76" t="str">
        <f t="shared" ca="1" si="70"/>
        <v/>
      </c>
      <c r="FD97" s="74" t="str">
        <f t="shared" ca="1" si="70"/>
        <v/>
      </c>
      <c r="FE97" s="74" t="str">
        <f t="shared" ref="EQ97:FF112" ca="1" si="81">IF($A97="", "", IF(INDIRECT($A97&amp; "!"&amp; FE$2)="", "", INDIRECT($A97&amp; "!"&amp; FE$2)))</f>
        <v/>
      </c>
      <c r="FF97" s="74" t="str">
        <f t="shared" ca="1" si="81"/>
        <v/>
      </c>
      <c r="FG97" s="74" t="str">
        <f t="shared" ca="1" si="74"/>
        <v/>
      </c>
      <c r="FH97" s="74" t="str">
        <f t="shared" ca="1" si="74"/>
        <v/>
      </c>
      <c r="FI97" s="74" t="str">
        <f t="shared" ca="1" si="74"/>
        <v/>
      </c>
      <c r="FJ97" s="74" t="str">
        <f t="shared" ca="1" si="74"/>
        <v/>
      </c>
      <c r="FK97" s="74" t="str">
        <f t="shared" ca="1" si="74"/>
        <v/>
      </c>
      <c r="FL97" s="74" t="str">
        <f t="shared" ca="1" si="74"/>
        <v/>
      </c>
      <c r="FM97" s="74" t="str">
        <f t="shared" ca="1" si="74"/>
        <v/>
      </c>
      <c r="FN97" s="74" t="str">
        <f t="shared" ca="1" si="74"/>
        <v/>
      </c>
      <c r="FO97" s="74" t="str">
        <f t="shared" ca="1" si="74"/>
        <v/>
      </c>
      <c r="FP97" s="74" t="str">
        <f t="shared" ca="1" si="74"/>
        <v/>
      </c>
      <c r="FQ97" s="74" t="str">
        <f t="shared" ca="1" si="74"/>
        <v/>
      </c>
      <c r="FR97" s="74" t="str">
        <f t="shared" ca="1" si="74"/>
        <v/>
      </c>
      <c r="FS97" s="74" t="str">
        <f t="shared" ca="1" si="74"/>
        <v/>
      </c>
      <c r="FT97" s="74" t="str">
        <f t="shared" ca="1" si="74"/>
        <v/>
      </c>
    </row>
    <row r="98" spans="1:176" x14ac:dyDescent="0.35">
      <c r="A98" s="74"/>
      <c r="B98" s="74" t="str">
        <f t="shared" ca="1" si="72"/>
        <v/>
      </c>
      <c r="C98" s="74" t="str">
        <f t="shared" ca="1" si="72"/>
        <v/>
      </c>
      <c r="D98" s="74" t="str">
        <f t="shared" ca="1" si="72"/>
        <v/>
      </c>
      <c r="E98" s="74" t="str">
        <f t="shared" ca="1" si="72"/>
        <v/>
      </c>
      <c r="F98" t="str">
        <f t="shared" ca="1" si="63"/>
        <v/>
      </c>
      <c r="G98" t="str">
        <f t="shared" ca="1" si="63"/>
        <v/>
      </c>
      <c r="H98" t="str">
        <f t="shared" ca="1" si="63"/>
        <v/>
      </c>
      <c r="I98" s="74" t="str">
        <f t="shared" ca="1" si="72"/>
        <v/>
      </c>
      <c r="J98" s="74" t="str">
        <f t="shared" ca="1" si="72"/>
        <v/>
      </c>
      <c r="K98" s="74" t="str">
        <f t="shared" ca="1" si="72"/>
        <v/>
      </c>
      <c r="L98" s="74" t="str">
        <f t="shared" ca="1" si="72"/>
        <v/>
      </c>
      <c r="M98" s="74" t="str">
        <f t="shared" ca="1" si="72"/>
        <v/>
      </c>
      <c r="N98" s="74" t="str">
        <f t="shared" ca="1" si="72"/>
        <v/>
      </c>
      <c r="O98" s="74" t="str">
        <f t="shared" ca="1" si="72"/>
        <v/>
      </c>
      <c r="P98" s="74" t="str">
        <f t="shared" ca="1" si="72"/>
        <v/>
      </c>
      <c r="Q98" s="74" t="str">
        <f t="shared" ca="1" si="72"/>
        <v/>
      </c>
      <c r="R98" s="74" t="str">
        <f t="shared" ca="1" si="72"/>
        <v/>
      </c>
      <c r="S98" s="74" t="str">
        <f t="shared" ca="1" si="72"/>
        <v/>
      </c>
      <c r="T98" s="74" t="str">
        <f t="shared" ca="1" si="73"/>
        <v/>
      </c>
      <c r="U98" s="74" t="str">
        <f t="shared" ca="1" si="73"/>
        <v/>
      </c>
      <c r="V98" s="74" t="str">
        <f t="shared" ca="1" si="73"/>
        <v/>
      </c>
      <c r="W98" s="74" t="str">
        <f t="shared" ca="1" si="73"/>
        <v/>
      </c>
      <c r="X98" s="74" t="str">
        <f t="shared" ca="1" si="73"/>
        <v/>
      </c>
      <c r="Y98" s="74" t="str">
        <f t="shared" ca="1" si="73"/>
        <v/>
      </c>
      <c r="Z98" s="74" t="str">
        <f t="shared" ca="1" si="73"/>
        <v/>
      </c>
      <c r="AA98" s="74" t="str">
        <f t="shared" ca="1" si="73"/>
        <v/>
      </c>
      <c r="AB98" s="75" t="str">
        <f t="shared" ca="1" si="73"/>
        <v/>
      </c>
      <c r="AC98" s="75" t="str">
        <f t="shared" ca="1" si="73"/>
        <v/>
      </c>
      <c r="AD98" s="75" t="str">
        <f t="shared" ca="1" si="73"/>
        <v/>
      </c>
      <c r="AE98" s="75" t="str">
        <f t="shared" ca="1" si="73"/>
        <v/>
      </c>
      <c r="AF98" s="75" t="str">
        <f t="shared" ca="1" si="73"/>
        <v/>
      </c>
      <c r="AG98" s="75" t="str">
        <f t="shared" ca="1" si="73"/>
        <v/>
      </c>
      <c r="AH98" s="75" t="str">
        <f t="shared" ca="1" si="73"/>
        <v/>
      </c>
      <c r="AI98" s="75" t="str">
        <f t="shared" ca="1" si="71"/>
        <v/>
      </c>
      <c r="AJ98" s="75" t="str">
        <f t="shared" ca="1" si="71"/>
        <v/>
      </c>
      <c r="AK98" s="75" t="str">
        <f t="shared" ca="1" si="71"/>
        <v/>
      </c>
      <c r="AL98" s="75" t="str">
        <f t="shared" ca="1" si="71"/>
        <v/>
      </c>
      <c r="AM98" s="75" t="str">
        <f t="shared" ca="1" si="71"/>
        <v/>
      </c>
      <c r="AN98" s="75" t="str">
        <f t="shared" ca="1" si="71"/>
        <v/>
      </c>
      <c r="AO98" s="75" t="str">
        <f t="shared" ca="1" si="71"/>
        <v/>
      </c>
      <c r="AP98" s="75" t="str">
        <f t="shared" ca="1" si="71"/>
        <v/>
      </c>
      <c r="AQ98" s="75" t="str">
        <f t="shared" ca="1" si="71"/>
        <v/>
      </c>
      <c r="AR98" s="75" t="str">
        <f t="shared" ca="1" si="71"/>
        <v/>
      </c>
      <c r="AS98" s="75" t="str">
        <f t="shared" ca="1" si="71"/>
        <v/>
      </c>
      <c r="AT98" s="75" t="str">
        <f t="shared" ca="1" si="71"/>
        <v/>
      </c>
      <c r="AU98" s="74" t="str">
        <f t="shared" ca="1" si="71"/>
        <v/>
      </c>
      <c r="AV98" s="74" t="str">
        <f t="shared" ca="1" si="71"/>
        <v/>
      </c>
      <c r="AW98" s="74" t="str">
        <f t="shared" ref="AW98:AX113" ca="1" si="82">IF($A98="", "", IF(INDIRECT($A98&amp; "!"&amp; AW$2)="", "", INDIRECT($A98&amp; "!"&amp; AW$2)))</f>
        <v/>
      </c>
      <c r="AX98" s="74" t="str">
        <f t="shared" ca="1" si="82"/>
        <v/>
      </c>
      <c r="AY98" s="74" t="str">
        <f t="shared" ca="1" si="78"/>
        <v/>
      </c>
      <c r="AZ98" s="74" t="str">
        <f t="shared" ca="1" si="78"/>
        <v/>
      </c>
      <c r="BA98" s="74" t="str">
        <f t="shared" ca="1" si="78"/>
        <v/>
      </c>
      <c r="BB98" s="74" t="str">
        <f t="shared" ca="1" si="78"/>
        <v/>
      </c>
      <c r="BC98" s="74" t="str">
        <f t="shared" ca="1" si="78"/>
        <v/>
      </c>
      <c r="BD98" s="74" t="str">
        <f t="shared" ca="1" si="78"/>
        <v/>
      </c>
      <c r="BE98" s="74" t="str">
        <f t="shared" ca="1" si="78"/>
        <v/>
      </c>
      <c r="BF98" s="74" t="str">
        <f t="shared" ca="1" si="78"/>
        <v/>
      </c>
      <c r="BG98" s="74" t="str">
        <f t="shared" ca="1" si="78"/>
        <v/>
      </c>
      <c r="BH98" s="74" t="str">
        <f t="shared" ca="1" si="78"/>
        <v/>
      </c>
      <c r="BI98" s="74" t="str">
        <f t="shared" ca="1" si="78"/>
        <v/>
      </c>
      <c r="BJ98" s="74" t="str">
        <f t="shared" ca="1" si="78"/>
        <v/>
      </c>
      <c r="BK98" s="74" t="str">
        <f t="shared" ca="1" si="78"/>
        <v/>
      </c>
      <c r="BL98" s="74" t="str">
        <f t="shared" ca="1" si="78"/>
        <v/>
      </c>
      <c r="BM98" s="74" t="str">
        <f t="shared" ca="1" si="78"/>
        <v/>
      </c>
      <c r="BN98" s="75" t="str">
        <f t="shared" ca="1" si="78"/>
        <v/>
      </c>
      <c r="BO98" s="75" t="str">
        <f t="shared" ca="1" si="75"/>
        <v/>
      </c>
      <c r="BP98" s="75" t="str">
        <f t="shared" ca="1" si="75"/>
        <v/>
      </c>
      <c r="BQ98" s="75" t="str">
        <f t="shared" ca="1" si="75"/>
        <v/>
      </c>
      <c r="BR98" s="75" t="str">
        <f t="shared" ca="1" si="75"/>
        <v/>
      </c>
      <c r="BS98" s="75" t="str">
        <f t="shared" ca="1" si="75"/>
        <v/>
      </c>
      <c r="BT98" s="75" t="str">
        <f t="shared" ca="1" si="75"/>
        <v/>
      </c>
      <c r="BU98" s="75" t="str">
        <f t="shared" ca="1" si="75"/>
        <v/>
      </c>
      <c r="BV98" s="75" t="str">
        <f t="shared" ca="1" si="75"/>
        <v/>
      </c>
      <c r="BW98" s="75" t="str">
        <f t="shared" ca="1" si="75"/>
        <v/>
      </c>
      <c r="BX98" s="75" t="str">
        <f t="shared" ca="1" si="75"/>
        <v/>
      </c>
      <c r="BY98" s="75" t="str">
        <f t="shared" ca="1" si="75"/>
        <v/>
      </c>
      <c r="BZ98" s="75" t="str">
        <f t="shared" ca="1" si="75"/>
        <v/>
      </c>
      <c r="CA98" s="75" t="str">
        <f t="shared" ca="1" si="75"/>
        <v/>
      </c>
      <c r="CB98" s="75" t="str">
        <f t="shared" ca="1" si="75"/>
        <v/>
      </c>
      <c r="CC98" s="75" t="str">
        <f t="shared" ca="1" si="75"/>
        <v/>
      </c>
      <c r="CD98" s="75" t="str">
        <f t="shared" ca="1" si="75"/>
        <v/>
      </c>
      <c r="CE98" s="75" t="str">
        <f t="shared" ca="1" si="79"/>
        <v/>
      </c>
      <c r="CF98" s="75" t="str">
        <f t="shared" ca="1" si="79"/>
        <v/>
      </c>
      <c r="CG98" s="74" t="str">
        <f t="shared" ca="1" si="79"/>
        <v/>
      </c>
      <c r="CH98" s="74" t="str">
        <f t="shared" ca="1" si="79"/>
        <v/>
      </c>
      <c r="CI98" s="74" t="str">
        <f t="shared" ca="1" si="79"/>
        <v/>
      </c>
      <c r="CJ98" s="74" t="str">
        <f t="shared" ca="1" si="79"/>
        <v/>
      </c>
      <c r="CK98" s="74" t="str">
        <f t="shared" ca="1" si="79"/>
        <v/>
      </c>
      <c r="CL98" s="74" t="str">
        <f t="shared" ca="1" si="79"/>
        <v/>
      </c>
      <c r="CM98" s="74" t="str">
        <f t="shared" ca="1" si="79"/>
        <v/>
      </c>
      <c r="CN98" s="74" t="str">
        <f t="shared" ca="1" si="79"/>
        <v/>
      </c>
      <c r="CO98" s="74" t="str">
        <f t="shared" ca="1" si="79"/>
        <v/>
      </c>
      <c r="CP98" s="74" t="str">
        <f t="shared" ca="1" si="79"/>
        <v/>
      </c>
      <c r="CQ98" s="74" t="str">
        <f t="shared" ca="1" si="79"/>
        <v/>
      </c>
      <c r="CR98" s="74" t="str">
        <f t="shared" ca="1" si="79"/>
        <v/>
      </c>
      <c r="CS98" s="74" t="str">
        <f t="shared" ca="1" si="79"/>
        <v/>
      </c>
      <c r="CT98" s="74" t="str">
        <f t="shared" ca="1" si="79"/>
        <v/>
      </c>
      <c r="CU98" s="74" t="str">
        <f t="shared" ca="1" si="76"/>
        <v/>
      </c>
      <c r="CV98" s="74" t="str">
        <f t="shared" ca="1" si="76"/>
        <v/>
      </c>
      <c r="CW98" s="74" t="str">
        <f t="shared" ca="1" si="76"/>
        <v/>
      </c>
      <c r="CX98" s="74" t="str">
        <f t="shared" ca="1" si="76"/>
        <v/>
      </c>
      <c r="CY98" s="74" t="str">
        <f t="shared" ca="1" si="76"/>
        <v/>
      </c>
      <c r="CZ98" s="75" t="str">
        <f t="shared" ca="1" si="76"/>
        <v/>
      </c>
      <c r="DA98" s="75" t="str">
        <f t="shared" ca="1" si="76"/>
        <v/>
      </c>
      <c r="DB98" s="75" t="str">
        <f t="shared" ca="1" si="76"/>
        <v/>
      </c>
      <c r="DC98" s="75" t="str">
        <f t="shared" ca="1" si="76"/>
        <v/>
      </c>
      <c r="DD98" s="75" t="str">
        <f t="shared" ca="1" si="76"/>
        <v/>
      </c>
      <c r="DE98" s="75" t="str">
        <f t="shared" ca="1" si="76"/>
        <v/>
      </c>
      <c r="DF98" s="75" t="str">
        <f t="shared" ca="1" si="76"/>
        <v/>
      </c>
      <c r="DG98" s="75" t="str">
        <f t="shared" ca="1" si="76"/>
        <v/>
      </c>
      <c r="DH98" s="75" t="str">
        <f t="shared" ca="1" si="76"/>
        <v/>
      </c>
      <c r="DI98" s="75" t="str">
        <f t="shared" ca="1" si="76"/>
        <v/>
      </c>
      <c r="DJ98" s="75" t="str">
        <f t="shared" ca="1" si="76"/>
        <v/>
      </c>
      <c r="DK98" s="75" t="str">
        <f t="shared" ca="1" si="80"/>
        <v/>
      </c>
      <c r="DL98" s="75" t="str">
        <f t="shared" ca="1" si="80"/>
        <v/>
      </c>
      <c r="DM98" s="75" t="str">
        <f t="shared" ca="1" si="80"/>
        <v/>
      </c>
      <c r="DN98" s="75" t="str">
        <f t="shared" ca="1" si="80"/>
        <v/>
      </c>
      <c r="DO98" s="75" t="str">
        <f t="shared" ca="1" si="80"/>
        <v/>
      </c>
      <c r="DP98" s="75" t="str">
        <f t="shared" ca="1" si="80"/>
        <v/>
      </c>
      <c r="DQ98" s="75" t="str">
        <f t="shared" ca="1" si="80"/>
        <v/>
      </c>
      <c r="DR98" s="75" t="str">
        <f t="shared" ca="1" si="80"/>
        <v/>
      </c>
      <c r="DS98" s="74" t="str">
        <f t="shared" ca="1" si="80"/>
        <v/>
      </c>
      <c r="DT98" s="74" t="str">
        <f t="shared" ca="1" si="80"/>
        <v/>
      </c>
      <c r="DU98" s="74" t="str">
        <f t="shared" ca="1" si="80"/>
        <v/>
      </c>
      <c r="DV98" s="74" t="str">
        <f t="shared" ca="1" si="80"/>
        <v/>
      </c>
      <c r="DW98" s="74" t="str">
        <f t="shared" ca="1" si="80"/>
        <v/>
      </c>
      <c r="DX98" s="74" t="str">
        <f t="shared" ca="1" si="80"/>
        <v/>
      </c>
      <c r="DY98" s="74" t="str">
        <f t="shared" ca="1" si="80"/>
        <v/>
      </c>
      <c r="DZ98" s="74" t="str">
        <f t="shared" ca="1" si="80"/>
        <v/>
      </c>
      <c r="EA98" s="74" t="str">
        <f t="shared" ca="1" si="77"/>
        <v/>
      </c>
      <c r="EB98" s="74" t="str">
        <f t="shared" ca="1" si="77"/>
        <v/>
      </c>
      <c r="EC98" s="74" t="str">
        <f t="shared" ca="1" si="77"/>
        <v/>
      </c>
      <c r="ED98" s="74" t="str">
        <f t="shared" ca="1" si="77"/>
        <v/>
      </c>
      <c r="EE98" s="74" t="str">
        <f t="shared" ca="1" si="77"/>
        <v/>
      </c>
      <c r="EF98" s="74" t="str">
        <f t="shared" ca="1" si="77"/>
        <v/>
      </c>
      <c r="EG98" s="74" t="str">
        <f t="shared" ca="1" si="77"/>
        <v/>
      </c>
      <c r="EH98" s="74" t="str">
        <f t="shared" ca="1" si="77"/>
        <v/>
      </c>
      <c r="EI98" s="74" t="str">
        <f t="shared" ca="1" si="77"/>
        <v/>
      </c>
      <c r="EJ98" s="74" t="str">
        <f t="shared" ca="1" si="77"/>
        <v/>
      </c>
      <c r="EK98" s="75" t="str">
        <f t="shared" ca="1" si="77"/>
        <v/>
      </c>
      <c r="EL98" s="75" t="str">
        <f t="shared" ca="1" si="77"/>
        <v/>
      </c>
      <c r="EM98" s="75" t="str">
        <f t="shared" ca="1" si="77"/>
        <v/>
      </c>
      <c r="EN98" s="75" t="str">
        <f t="shared" ca="1" si="77"/>
        <v/>
      </c>
      <c r="EO98" s="75" t="str">
        <f t="shared" ca="1" si="77"/>
        <v/>
      </c>
      <c r="EP98" s="75" t="str">
        <f t="shared" ca="1" si="77"/>
        <v/>
      </c>
      <c r="EQ98" s="75" t="str">
        <f t="shared" ca="1" si="81"/>
        <v/>
      </c>
      <c r="ER98" s="75" t="str">
        <f t="shared" ca="1" si="81"/>
        <v/>
      </c>
      <c r="ES98" s="75" t="str">
        <f t="shared" ca="1" si="81"/>
        <v/>
      </c>
      <c r="ET98" s="75" t="str">
        <f t="shared" ca="1" si="81"/>
        <v/>
      </c>
      <c r="EU98" s="75" t="str">
        <f t="shared" ca="1" si="81"/>
        <v/>
      </c>
      <c r="EV98" s="75" t="str">
        <f t="shared" ca="1" si="81"/>
        <v/>
      </c>
      <c r="EW98" s="75" t="str">
        <f t="shared" ca="1" si="81"/>
        <v/>
      </c>
      <c r="EX98" s="75" t="str">
        <f t="shared" ca="1" si="81"/>
        <v/>
      </c>
      <c r="EY98" s="75" t="str">
        <f t="shared" ca="1" si="81"/>
        <v/>
      </c>
      <c r="EZ98" s="75" t="str">
        <f t="shared" ca="1" si="81"/>
        <v/>
      </c>
      <c r="FA98" s="75" t="str">
        <f t="shared" ca="1" si="81"/>
        <v/>
      </c>
      <c r="FB98" s="75" t="str">
        <f t="shared" ca="1" si="81"/>
        <v/>
      </c>
      <c r="FC98" s="76" t="str">
        <f t="shared" ca="1" si="81"/>
        <v/>
      </c>
      <c r="FD98" s="74" t="str">
        <f t="shared" ca="1" si="81"/>
        <v/>
      </c>
      <c r="FE98" s="74" t="str">
        <f t="shared" ca="1" si="81"/>
        <v/>
      </c>
      <c r="FF98" s="74" t="str">
        <f t="shared" ca="1" si="81"/>
        <v/>
      </c>
      <c r="FG98" s="74" t="str">
        <f t="shared" ca="1" si="74"/>
        <v/>
      </c>
      <c r="FH98" s="74" t="str">
        <f t="shared" ca="1" si="74"/>
        <v/>
      </c>
      <c r="FI98" s="74" t="str">
        <f t="shared" ca="1" si="74"/>
        <v/>
      </c>
      <c r="FJ98" s="74" t="str">
        <f t="shared" ca="1" si="74"/>
        <v/>
      </c>
      <c r="FK98" s="74" t="str">
        <f t="shared" ca="1" si="74"/>
        <v/>
      </c>
      <c r="FL98" s="74" t="str">
        <f t="shared" ca="1" si="74"/>
        <v/>
      </c>
      <c r="FM98" s="74" t="str">
        <f t="shared" ca="1" si="74"/>
        <v/>
      </c>
      <c r="FN98" s="74" t="str">
        <f t="shared" ca="1" si="74"/>
        <v/>
      </c>
      <c r="FO98" s="74" t="str">
        <f t="shared" ca="1" si="74"/>
        <v/>
      </c>
      <c r="FP98" s="74" t="str">
        <f t="shared" ca="1" si="74"/>
        <v/>
      </c>
      <c r="FQ98" s="74" t="str">
        <f t="shared" ca="1" si="74"/>
        <v/>
      </c>
      <c r="FR98" s="74" t="str">
        <f t="shared" ca="1" si="74"/>
        <v/>
      </c>
      <c r="FS98" s="74" t="str">
        <f t="shared" ca="1" si="74"/>
        <v/>
      </c>
      <c r="FT98" s="74" t="str">
        <f t="shared" ca="1" si="74"/>
        <v/>
      </c>
    </row>
    <row r="99" spans="1:176" x14ac:dyDescent="0.35">
      <c r="A99" s="74"/>
      <c r="B99" s="74" t="str">
        <f t="shared" ca="1" si="72"/>
        <v/>
      </c>
      <c r="C99" s="74" t="str">
        <f t="shared" ca="1" si="72"/>
        <v/>
      </c>
      <c r="D99" s="74" t="str">
        <f t="shared" ca="1" si="72"/>
        <v/>
      </c>
      <c r="E99" s="74" t="str">
        <f t="shared" ca="1" si="72"/>
        <v/>
      </c>
      <c r="F99" t="str">
        <f t="shared" ca="1" si="63"/>
        <v/>
      </c>
      <c r="G99" t="str">
        <f t="shared" ca="1" si="63"/>
        <v/>
      </c>
      <c r="H99" t="str">
        <f t="shared" ca="1" si="63"/>
        <v/>
      </c>
      <c r="I99" s="74" t="str">
        <f t="shared" ca="1" si="72"/>
        <v/>
      </c>
      <c r="J99" s="74" t="str">
        <f t="shared" ca="1" si="72"/>
        <v/>
      </c>
      <c r="K99" s="74" t="str">
        <f t="shared" ca="1" si="72"/>
        <v/>
      </c>
      <c r="L99" s="74" t="str">
        <f t="shared" ca="1" si="72"/>
        <v/>
      </c>
      <c r="M99" s="74" t="str">
        <f t="shared" ca="1" si="72"/>
        <v/>
      </c>
      <c r="N99" s="74" t="str">
        <f t="shared" ca="1" si="72"/>
        <v/>
      </c>
      <c r="O99" s="74" t="str">
        <f t="shared" ca="1" si="72"/>
        <v/>
      </c>
      <c r="P99" s="74" t="str">
        <f t="shared" ca="1" si="72"/>
        <v/>
      </c>
      <c r="Q99" s="74" t="str">
        <f t="shared" ca="1" si="72"/>
        <v/>
      </c>
      <c r="R99" s="74" t="str">
        <f t="shared" ca="1" si="72"/>
        <v/>
      </c>
      <c r="S99" s="74" t="str">
        <f t="shared" ref="B99:S114" ca="1" si="83">IF($A99="", "", IF(INDIRECT($A99&amp; "!"&amp; S$2)="", "", INDIRECT($A99&amp; "!"&amp; S$2)))</f>
        <v/>
      </c>
      <c r="T99" s="74" t="str">
        <f t="shared" ca="1" si="73"/>
        <v/>
      </c>
      <c r="U99" s="74" t="str">
        <f t="shared" ca="1" si="73"/>
        <v/>
      </c>
      <c r="V99" s="74" t="str">
        <f t="shared" ca="1" si="73"/>
        <v/>
      </c>
      <c r="W99" s="74" t="str">
        <f t="shared" ca="1" si="73"/>
        <v/>
      </c>
      <c r="X99" s="74" t="str">
        <f t="shared" ca="1" si="73"/>
        <v/>
      </c>
      <c r="Y99" s="74" t="str">
        <f t="shared" ca="1" si="73"/>
        <v/>
      </c>
      <c r="Z99" s="74" t="str">
        <f t="shared" ca="1" si="73"/>
        <v/>
      </c>
      <c r="AA99" s="74" t="str">
        <f t="shared" ca="1" si="73"/>
        <v/>
      </c>
      <c r="AB99" s="75" t="str">
        <f t="shared" ca="1" si="73"/>
        <v/>
      </c>
      <c r="AC99" s="75" t="str">
        <f t="shared" ca="1" si="73"/>
        <v/>
      </c>
      <c r="AD99" s="75" t="str">
        <f t="shared" ca="1" si="73"/>
        <v/>
      </c>
      <c r="AE99" s="75" t="str">
        <f t="shared" ca="1" si="73"/>
        <v/>
      </c>
      <c r="AF99" s="75" t="str">
        <f t="shared" ca="1" si="73"/>
        <v/>
      </c>
      <c r="AG99" s="75" t="str">
        <f t="shared" ca="1" si="73"/>
        <v/>
      </c>
      <c r="AH99" s="75" t="str">
        <f t="shared" ca="1" si="73"/>
        <v/>
      </c>
      <c r="AI99" s="75" t="str">
        <f t="shared" ca="1" si="73"/>
        <v/>
      </c>
      <c r="AJ99" s="75" t="str">
        <f t="shared" ref="AI99:AX116" ca="1" si="84">IF($A99="", "", IF(INDIRECT($A99&amp; "!"&amp; AJ$2)="", "", INDIRECT($A99&amp; "!"&amp; AJ$2)))</f>
        <v/>
      </c>
      <c r="AK99" s="75" t="str">
        <f t="shared" ca="1" si="84"/>
        <v/>
      </c>
      <c r="AL99" s="75" t="str">
        <f t="shared" ca="1" si="84"/>
        <v/>
      </c>
      <c r="AM99" s="75" t="str">
        <f t="shared" ca="1" si="84"/>
        <v/>
      </c>
      <c r="AN99" s="75" t="str">
        <f t="shared" ca="1" si="84"/>
        <v/>
      </c>
      <c r="AO99" s="75" t="str">
        <f t="shared" ca="1" si="84"/>
        <v/>
      </c>
      <c r="AP99" s="75" t="str">
        <f t="shared" ca="1" si="84"/>
        <v/>
      </c>
      <c r="AQ99" s="75" t="str">
        <f t="shared" ca="1" si="84"/>
        <v/>
      </c>
      <c r="AR99" s="75" t="str">
        <f t="shared" ca="1" si="84"/>
        <v/>
      </c>
      <c r="AS99" s="75" t="str">
        <f t="shared" ca="1" si="84"/>
        <v/>
      </c>
      <c r="AT99" s="75" t="str">
        <f t="shared" ca="1" si="84"/>
        <v/>
      </c>
      <c r="AU99" s="74" t="str">
        <f t="shared" ca="1" si="84"/>
        <v/>
      </c>
      <c r="AV99" s="74" t="str">
        <f t="shared" ca="1" si="84"/>
        <v/>
      </c>
      <c r="AW99" s="74" t="str">
        <f t="shared" ca="1" si="82"/>
        <v/>
      </c>
      <c r="AX99" s="74" t="str">
        <f t="shared" ca="1" si="82"/>
        <v/>
      </c>
      <c r="AY99" s="74" t="str">
        <f t="shared" ca="1" si="78"/>
        <v/>
      </c>
      <c r="AZ99" s="74" t="str">
        <f t="shared" ca="1" si="78"/>
        <v/>
      </c>
      <c r="BA99" s="74" t="str">
        <f t="shared" ca="1" si="78"/>
        <v/>
      </c>
      <c r="BB99" s="74" t="str">
        <f t="shared" ca="1" si="78"/>
        <v/>
      </c>
      <c r="BC99" s="74" t="str">
        <f t="shared" ca="1" si="78"/>
        <v/>
      </c>
      <c r="BD99" s="74" t="str">
        <f t="shared" ca="1" si="78"/>
        <v/>
      </c>
      <c r="BE99" s="74" t="str">
        <f t="shared" ca="1" si="78"/>
        <v/>
      </c>
      <c r="BF99" s="74" t="str">
        <f t="shared" ca="1" si="78"/>
        <v/>
      </c>
      <c r="BG99" s="74" t="str">
        <f t="shared" ca="1" si="78"/>
        <v/>
      </c>
      <c r="BH99" s="74" t="str">
        <f t="shared" ca="1" si="78"/>
        <v/>
      </c>
      <c r="BI99" s="74" t="str">
        <f t="shared" ca="1" si="78"/>
        <v/>
      </c>
      <c r="BJ99" s="74" t="str">
        <f t="shared" ca="1" si="78"/>
        <v/>
      </c>
      <c r="BK99" s="74" t="str">
        <f t="shared" ca="1" si="78"/>
        <v/>
      </c>
      <c r="BL99" s="74" t="str">
        <f t="shared" ca="1" si="78"/>
        <v/>
      </c>
      <c r="BM99" s="74" t="str">
        <f t="shared" ca="1" si="78"/>
        <v/>
      </c>
      <c r="BN99" s="75" t="str">
        <f t="shared" ca="1" si="78"/>
        <v/>
      </c>
      <c r="BO99" s="75" t="str">
        <f t="shared" ca="1" si="75"/>
        <v/>
      </c>
      <c r="BP99" s="75" t="str">
        <f t="shared" ca="1" si="75"/>
        <v/>
      </c>
      <c r="BQ99" s="75" t="str">
        <f t="shared" ca="1" si="75"/>
        <v/>
      </c>
      <c r="BR99" s="75" t="str">
        <f t="shared" ca="1" si="75"/>
        <v/>
      </c>
      <c r="BS99" s="75" t="str">
        <f t="shared" ca="1" si="75"/>
        <v/>
      </c>
      <c r="BT99" s="75" t="str">
        <f t="shared" ca="1" si="75"/>
        <v/>
      </c>
      <c r="BU99" s="75" t="str">
        <f t="shared" ca="1" si="75"/>
        <v/>
      </c>
      <c r="BV99" s="75" t="str">
        <f t="shared" ca="1" si="75"/>
        <v/>
      </c>
      <c r="BW99" s="75" t="str">
        <f t="shared" ca="1" si="75"/>
        <v/>
      </c>
      <c r="BX99" s="75" t="str">
        <f t="shared" ca="1" si="75"/>
        <v/>
      </c>
      <c r="BY99" s="75" t="str">
        <f t="shared" ca="1" si="75"/>
        <v/>
      </c>
      <c r="BZ99" s="75" t="str">
        <f t="shared" ca="1" si="75"/>
        <v/>
      </c>
      <c r="CA99" s="75" t="str">
        <f t="shared" ca="1" si="75"/>
        <v/>
      </c>
      <c r="CB99" s="75" t="str">
        <f t="shared" ca="1" si="75"/>
        <v/>
      </c>
      <c r="CC99" s="75" t="str">
        <f t="shared" ca="1" si="75"/>
        <v/>
      </c>
      <c r="CD99" s="75" t="str">
        <f t="shared" ca="1" si="75"/>
        <v/>
      </c>
      <c r="CE99" s="75" t="str">
        <f t="shared" ca="1" si="79"/>
        <v/>
      </c>
      <c r="CF99" s="75" t="str">
        <f t="shared" ca="1" si="79"/>
        <v/>
      </c>
      <c r="CG99" s="74" t="str">
        <f t="shared" ca="1" si="79"/>
        <v/>
      </c>
      <c r="CH99" s="74" t="str">
        <f t="shared" ca="1" si="79"/>
        <v/>
      </c>
      <c r="CI99" s="74" t="str">
        <f t="shared" ca="1" si="79"/>
        <v/>
      </c>
      <c r="CJ99" s="74" t="str">
        <f t="shared" ca="1" si="79"/>
        <v/>
      </c>
      <c r="CK99" s="74" t="str">
        <f t="shared" ca="1" si="79"/>
        <v/>
      </c>
      <c r="CL99" s="74" t="str">
        <f t="shared" ca="1" si="79"/>
        <v/>
      </c>
      <c r="CM99" s="74" t="str">
        <f t="shared" ca="1" si="79"/>
        <v/>
      </c>
      <c r="CN99" s="74" t="str">
        <f t="shared" ca="1" si="79"/>
        <v/>
      </c>
      <c r="CO99" s="74" t="str">
        <f t="shared" ca="1" si="79"/>
        <v/>
      </c>
      <c r="CP99" s="74" t="str">
        <f t="shared" ca="1" si="79"/>
        <v/>
      </c>
      <c r="CQ99" s="74" t="str">
        <f t="shared" ca="1" si="79"/>
        <v/>
      </c>
      <c r="CR99" s="74" t="str">
        <f t="shared" ca="1" si="79"/>
        <v/>
      </c>
      <c r="CS99" s="74" t="str">
        <f t="shared" ca="1" si="79"/>
        <v/>
      </c>
      <c r="CT99" s="74" t="str">
        <f t="shared" ca="1" si="79"/>
        <v/>
      </c>
      <c r="CU99" s="74" t="str">
        <f t="shared" ca="1" si="76"/>
        <v/>
      </c>
      <c r="CV99" s="74" t="str">
        <f t="shared" ca="1" si="76"/>
        <v/>
      </c>
      <c r="CW99" s="74" t="str">
        <f t="shared" ca="1" si="76"/>
        <v/>
      </c>
      <c r="CX99" s="74" t="str">
        <f t="shared" ca="1" si="76"/>
        <v/>
      </c>
      <c r="CY99" s="74" t="str">
        <f t="shared" ca="1" si="76"/>
        <v/>
      </c>
      <c r="CZ99" s="75" t="str">
        <f t="shared" ca="1" si="76"/>
        <v/>
      </c>
      <c r="DA99" s="75" t="str">
        <f t="shared" ca="1" si="76"/>
        <v/>
      </c>
      <c r="DB99" s="75" t="str">
        <f t="shared" ca="1" si="76"/>
        <v/>
      </c>
      <c r="DC99" s="75" t="str">
        <f t="shared" ca="1" si="76"/>
        <v/>
      </c>
      <c r="DD99" s="75" t="str">
        <f t="shared" ca="1" si="76"/>
        <v/>
      </c>
      <c r="DE99" s="75" t="str">
        <f t="shared" ca="1" si="76"/>
        <v/>
      </c>
      <c r="DF99" s="75" t="str">
        <f t="shared" ca="1" si="76"/>
        <v/>
      </c>
      <c r="DG99" s="75" t="str">
        <f t="shared" ca="1" si="76"/>
        <v/>
      </c>
      <c r="DH99" s="75" t="str">
        <f t="shared" ca="1" si="76"/>
        <v/>
      </c>
      <c r="DI99" s="75" t="str">
        <f t="shared" ca="1" si="76"/>
        <v/>
      </c>
      <c r="DJ99" s="75" t="str">
        <f t="shared" ca="1" si="76"/>
        <v/>
      </c>
      <c r="DK99" s="75" t="str">
        <f t="shared" ca="1" si="80"/>
        <v/>
      </c>
      <c r="DL99" s="75" t="str">
        <f t="shared" ca="1" si="80"/>
        <v/>
      </c>
      <c r="DM99" s="75" t="str">
        <f t="shared" ca="1" si="80"/>
        <v/>
      </c>
      <c r="DN99" s="75" t="str">
        <f t="shared" ca="1" si="80"/>
        <v/>
      </c>
      <c r="DO99" s="75" t="str">
        <f t="shared" ca="1" si="80"/>
        <v/>
      </c>
      <c r="DP99" s="75" t="str">
        <f t="shared" ca="1" si="80"/>
        <v/>
      </c>
      <c r="DQ99" s="75" t="str">
        <f t="shared" ca="1" si="80"/>
        <v/>
      </c>
      <c r="DR99" s="75" t="str">
        <f t="shared" ca="1" si="80"/>
        <v/>
      </c>
      <c r="DS99" s="74" t="str">
        <f t="shared" ca="1" si="80"/>
        <v/>
      </c>
      <c r="DT99" s="74" t="str">
        <f t="shared" ca="1" si="80"/>
        <v/>
      </c>
      <c r="DU99" s="74" t="str">
        <f t="shared" ca="1" si="80"/>
        <v/>
      </c>
      <c r="DV99" s="74" t="str">
        <f t="shared" ca="1" si="80"/>
        <v/>
      </c>
      <c r="DW99" s="74" t="str">
        <f t="shared" ca="1" si="80"/>
        <v/>
      </c>
      <c r="DX99" s="74" t="str">
        <f t="shared" ca="1" si="80"/>
        <v/>
      </c>
      <c r="DY99" s="74" t="str">
        <f t="shared" ca="1" si="80"/>
        <v/>
      </c>
      <c r="DZ99" s="74" t="str">
        <f t="shared" ca="1" si="80"/>
        <v/>
      </c>
      <c r="EA99" s="74" t="str">
        <f t="shared" ca="1" si="77"/>
        <v/>
      </c>
      <c r="EB99" s="74" t="str">
        <f t="shared" ca="1" si="77"/>
        <v/>
      </c>
      <c r="EC99" s="74" t="str">
        <f t="shared" ca="1" si="77"/>
        <v/>
      </c>
      <c r="ED99" s="74" t="str">
        <f t="shared" ca="1" si="77"/>
        <v/>
      </c>
      <c r="EE99" s="74" t="str">
        <f t="shared" ca="1" si="77"/>
        <v/>
      </c>
      <c r="EF99" s="74" t="str">
        <f t="shared" ca="1" si="77"/>
        <v/>
      </c>
      <c r="EG99" s="74" t="str">
        <f t="shared" ca="1" si="77"/>
        <v/>
      </c>
      <c r="EH99" s="74" t="str">
        <f t="shared" ca="1" si="77"/>
        <v/>
      </c>
      <c r="EI99" s="74" t="str">
        <f t="shared" ca="1" si="77"/>
        <v/>
      </c>
      <c r="EJ99" s="74" t="str">
        <f t="shared" ca="1" si="77"/>
        <v/>
      </c>
      <c r="EK99" s="75" t="str">
        <f t="shared" ca="1" si="77"/>
        <v/>
      </c>
      <c r="EL99" s="75" t="str">
        <f t="shared" ca="1" si="77"/>
        <v/>
      </c>
      <c r="EM99" s="75" t="str">
        <f t="shared" ca="1" si="77"/>
        <v/>
      </c>
      <c r="EN99" s="75" t="str">
        <f t="shared" ca="1" si="77"/>
        <v/>
      </c>
      <c r="EO99" s="75" t="str">
        <f t="shared" ca="1" si="77"/>
        <v/>
      </c>
      <c r="EP99" s="75" t="str">
        <f t="shared" ca="1" si="77"/>
        <v/>
      </c>
      <c r="EQ99" s="75" t="str">
        <f t="shared" ca="1" si="81"/>
        <v/>
      </c>
      <c r="ER99" s="75" t="str">
        <f t="shared" ca="1" si="81"/>
        <v/>
      </c>
      <c r="ES99" s="75" t="str">
        <f t="shared" ca="1" si="81"/>
        <v/>
      </c>
      <c r="ET99" s="75" t="str">
        <f t="shared" ca="1" si="81"/>
        <v/>
      </c>
      <c r="EU99" s="75" t="str">
        <f t="shared" ca="1" si="81"/>
        <v/>
      </c>
      <c r="EV99" s="75" t="str">
        <f t="shared" ca="1" si="81"/>
        <v/>
      </c>
      <c r="EW99" s="75" t="str">
        <f t="shared" ca="1" si="81"/>
        <v/>
      </c>
      <c r="EX99" s="75" t="str">
        <f t="shared" ca="1" si="81"/>
        <v/>
      </c>
      <c r="EY99" s="75" t="str">
        <f t="shared" ca="1" si="81"/>
        <v/>
      </c>
      <c r="EZ99" s="75" t="str">
        <f t="shared" ca="1" si="81"/>
        <v/>
      </c>
      <c r="FA99" s="75" t="str">
        <f t="shared" ca="1" si="81"/>
        <v/>
      </c>
      <c r="FB99" s="75" t="str">
        <f t="shared" ca="1" si="81"/>
        <v/>
      </c>
      <c r="FC99" s="76" t="str">
        <f t="shared" ca="1" si="81"/>
        <v/>
      </c>
      <c r="FD99" s="74" t="str">
        <f t="shared" ca="1" si="81"/>
        <v/>
      </c>
      <c r="FE99" s="74" t="str">
        <f t="shared" ca="1" si="81"/>
        <v/>
      </c>
      <c r="FF99" s="74" t="str">
        <f t="shared" ca="1" si="81"/>
        <v/>
      </c>
      <c r="FG99" s="74" t="str">
        <f t="shared" ca="1" si="74"/>
        <v/>
      </c>
      <c r="FH99" s="74" t="str">
        <f t="shared" ca="1" si="74"/>
        <v/>
      </c>
      <c r="FI99" s="74" t="str">
        <f t="shared" ca="1" si="74"/>
        <v/>
      </c>
      <c r="FJ99" s="74" t="str">
        <f t="shared" ca="1" si="74"/>
        <v/>
      </c>
      <c r="FK99" s="74" t="str">
        <f t="shared" ca="1" si="74"/>
        <v/>
      </c>
      <c r="FL99" s="74" t="str">
        <f t="shared" ca="1" si="74"/>
        <v/>
      </c>
      <c r="FM99" s="74" t="str">
        <f t="shared" ca="1" si="74"/>
        <v/>
      </c>
      <c r="FN99" s="74" t="str">
        <f t="shared" ca="1" si="74"/>
        <v/>
      </c>
      <c r="FO99" s="74" t="str">
        <f t="shared" ca="1" si="74"/>
        <v/>
      </c>
      <c r="FP99" s="74" t="str">
        <f t="shared" ca="1" si="74"/>
        <v/>
      </c>
      <c r="FQ99" s="74" t="str">
        <f t="shared" ca="1" si="74"/>
        <v/>
      </c>
      <c r="FR99" s="74" t="str">
        <f t="shared" ca="1" si="74"/>
        <v/>
      </c>
      <c r="FS99" s="74" t="str">
        <f t="shared" ca="1" si="74"/>
        <v/>
      </c>
      <c r="FT99" s="74" t="str">
        <f t="shared" ca="1" si="74"/>
        <v/>
      </c>
    </row>
    <row r="100" spans="1:176" x14ac:dyDescent="0.35">
      <c r="A100" s="74"/>
      <c r="B100" s="74" t="str">
        <f t="shared" ca="1" si="83"/>
        <v/>
      </c>
      <c r="C100" s="74" t="str">
        <f t="shared" ca="1" si="83"/>
        <v/>
      </c>
      <c r="D100" s="74" t="str">
        <f t="shared" ca="1" si="83"/>
        <v/>
      </c>
      <c r="E100" s="74" t="str">
        <f t="shared" ca="1" si="83"/>
        <v/>
      </c>
      <c r="F100" t="str">
        <f t="shared" ca="1" si="83"/>
        <v/>
      </c>
      <c r="G100" t="str">
        <f t="shared" ca="1" si="83"/>
        <v/>
      </c>
      <c r="H100" t="str">
        <f t="shared" ca="1" si="83"/>
        <v/>
      </c>
      <c r="I100" s="74" t="str">
        <f t="shared" ca="1" si="83"/>
        <v/>
      </c>
      <c r="J100" s="74" t="str">
        <f t="shared" ca="1" si="83"/>
        <v/>
      </c>
      <c r="K100" s="74" t="str">
        <f t="shared" ca="1" si="83"/>
        <v/>
      </c>
      <c r="L100" s="74" t="str">
        <f t="shared" ca="1" si="83"/>
        <v/>
      </c>
      <c r="M100" s="74" t="str">
        <f t="shared" ca="1" si="83"/>
        <v/>
      </c>
      <c r="N100" s="74" t="str">
        <f t="shared" ca="1" si="83"/>
        <v/>
      </c>
      <c r="O100" s="74" t="str">
        <f t="shared" ca="1" si="83"/>
        <v/>
      </c>
      <c r="P100" s="74" t="str">
        <f t="shared" ca="1" si="83"/>
        <v/>
      </c>
      <c r="Q100" s="74" t="str">
        <f t="shared" ca="1" si="83"/>
        <v/>
      </c>
      <c r="R100" s="74" t="str">
        <f t="shared" ca="1" si="83"/>
        <v/>
      </c>
      <c r="S100" s="74" t="str">
        <f t="shared" ca="1" si="83"/>
        <v/>
      </c>
      <c r="T100" s="74" t="str">
        <f t="shared" ref="T100:AH116" ca="1" si="85">IF($A100="", "", IF(INDIRECT($A100&amp; "!"&amp; T$2)="", "", INDIRECT($A100&amp; "!"&amp; T$2)))</f>
        <v/>
      </c>
      <c r="U100" s="74" t="str">
        <f t="shared" ca="1" si="85"/>
        <v/>
      </c>
      <c r="V100" s="74" t="str">
        <f t="shared" ca="1" si="85"/>
        <v/>
      </c>
      <c r="W100" s="74" t="str">
        <f t="shared" ca="1" si="85"/>
        <v/>
      </c>
      <c r="X100" s="74" t="str">
        <f t="shared" ca="1" si="85"/>
        <v/>
      </c>
      <c r="Y100" s="74" t="str">
        <f t="shared" ca="1" si="85"/>
        <v/>
      </c>
      <c r="Z100" s="74" t="str">
        <f t="shared" ca="1" si="85"/>
        <v/>
      </c>
      <c r="AA100" s="74" t="str">
        <f t="shared" ca="1" si="85"/>
        <v/>
      </c>
      <c r="AB100" s="75" t="str">
        <f t="shared" ca="1" si="85"/>
        <v/>
      </c>
      <c r="AC100" s="75" t="str">
        <f t="shared" ca="1" si="85"/>
        <v/>
      </c>
      <c r="AD100" s="75" t="str">
        <f t="shared" ca="1" si="85"/>
        <v/>
      </c>
      <c r="AE100" s="75" t="str">
        <f t="shared" ca="1" si="85"/>
        <v/>
      </c>
      <c r="AF100" s="75" t="str">
        <f t="shared" ca="1" si="85"/>
        <v/>
      </c>
      <c r="AG100" s="75" t="str">
        <f t="shared" ca="1" si="85"/>
        <v/>
      </c>
      <c r="AH100" s="75" t="str">
        <f t="shared" ca="1" si="85"/>
        <v/>
      </c>
      <c r="AI100" s="75" t="str">
        <f t="shared" ca="1" si="84"/>
        <v/>
      </c>
      <c r="AJ100" s="75" t="str">
        <f t="shared" ca="1" si="84"/>
        <v/>
      </c>
      <c r="AK100" s="75" t="str">
        <f t="shared" ca="1" si="84"/>
        <v/>
      </c>
      <c r="AL100" s="75" t="str">
        <f t="shared" ca="1" si="84"/>
        <v/>
      </c>
      <c r="AM100" s="75" t="str">
        <f t="shared" ca="1" si="84"/>
        <v/>
      </c>
      <c r="AN100" s="75" t="str">
        <f t="shared" ca="1" si="84"/>
        <v/>
      </c>
      <c r="AO100" s="75" t="str">
        <f t="shared" ca="1" si="84"/>
        <v/>
      </c>
      <c r="AP100" s="75" t="str">
        <f t="shared" ca="1" si="84"/>
        <v/>
      </c>
      <c r="AQ100" s="75" t="str">
        <f t="shared" ca="1" si="84"/>
        <v/>
      </c>
      <c r="AR100" s="75" t="str">
        <f t="shared" ca="1" si="84"/>
        <v/>
      </c>
      <c r="AS100" s="75" t="str">
        <f t="shared" ca="1" si="84"/>
        <v/>
      </c>
      <c r="AT100" s="75" t="str">
        <f t="shared" ca="1" si="84"/>
        <v/>
      </c>
      <c r="AU100" s="74" t="str">
        <f t="shared" ca="1" si="84"/>
        <v/>
      </c>
      <c r="AV100" s="74" t="str">
        <f t="shared" ca="1" si="84"/>
        <v/>
      </c>
      <c r="AW100" s="74" t="str">
        <f t="shared" ca="1" si="82"/>
        <v/>
      </c>
      <c r="AX100" s="74" t="str">
        <f t="shared" ca="1" si="82"/>
        <v/>
      </c>
      <c r="AY100" s="74" t="str">
        <f t="shared" ca="1" si="78"/>
        <v/>
      </c>
      <c r="AZ100" s="74" t="str">
        <f t="shared" ca="1" si="78"/>
        <v/>
      </c>
      <c r="BA100" s="74" t="str">
        <f t="shared" ca="1" si="78"/>
        <v/>
      </c>
      <c r="BB100" s="74" t="str">
        <f t="shared" ca="1" si="78"/>
        <v/>
      </c>
      <c r="BC100" s="74" t="str">
        <f t="shared" ca="1" si="78"/>
        <v/>
      </c>
      <c r="BD100" s="74" t="str">
        <f t="shared" ca="1" si="78"/>
        <v/>
      </c>
      <c r="BE100" s="74" t="str">
        <f t="shared" ca="1" si="78"/>
        <v/>
      </c>
      <c r="BF100" s="74" t="str">
        <f t="shared" ca="1" si="78"/>
        <v/>
      </c>
      <c r="BG100" s="74" t="str">
        <f t="shared" ca="1" si="78"/>
        <v/>
      </c>
      <c r="BH100" s="74" t="str">
        <f t="shared" ca="1" si="78"/>
        <v/>
      </c>
      <c r="BI100" s="74" t="str">
        <f t="shared" ca="1" si="78"/>
        <v/>
      </c>
      <c r="BJ100" s="74" t="str">
        <f t="shared" ca="1" si="78"/>
        <v/>
      </c>
      <c r="BK100" s="74" t="str">
        <f t="shared" ca="1" si="78"/>
        <v/>
      </c>
      <c r="BL100" s="74" t="str">
        <f t="shared" ca="1" si="78"/>
        <v/>
      </c>
      <c r="BM100" s="74" t="str">
        <f t="shared" ca="1" si="78"/>
        <v/>
      </c>
      <c r="BN100" s="75" t="str">
        <f t="shared" ca="1" si="78"/>
        <v/>
      </c>
      <c r="BO100" s="75" t="str">
        <f t="shared" ca="1" si="75"/>
        <v/>
      </c>
      <c r="BP100" s="75" t="str">
        <f t="shared" ca="1" si="75"/>
        <v/>
      </c>
      <c r="BQ100" s="75" t="str">
        <f t="shared" ca="1" si="75"/>
        <v/>
      </c>
      <c r="BR100" s="75" t="str">
        <f t="shared" ca="1" si="75"/>
        <v/>
      </c>
      <c r="BS100" s="75" t="str">
        <f t="shared" ca="1" si="75"/>
        <v/>
      </c>
      <c r="BT100" s="75" t="str">
        <f t="shared" ca="1" si="75"/>
        <v/>
      </c>
      <c r="BU100" s="75" t="str">
        <f t="shared" ca="1" si="75"/>
        <v/>
      </c>
      <c r="BV100" s="75" t="str">
        <f t="shared" ca="1" si="75"/>
        <v/>
      </c>
      <c r="BW100" s="75" t="str">
        <f t="shared" ca="1" si="75"/>
        <v/>
      </c>
      <c r="BX100" s="75" t="str">
        <f t="shared" ca="1" si="75"/>
        <v/>
      </c>
      <c r="BY100" s="75" t="str">
        <f t="shared" ca="1" si="75"/>
        <v/>
      </c>
      <c r="BZ100" s="75" t="str">
        <f t="shared" ca="1" si="75"/>
        <v/>
      </c>
      <c r="CA100" s="75" t="str">
        <f t="shared" ca="1" si="75"/>
        <v/>
      </c>
      <c r="CB100" s="75" t="str">
        <f t="shared" ca="1" si="75"/>
        <v/>
      </c>
      <c r="CC100" s="75" t="str">
        <f t="shared" ca="1" si="75"/>
        <v/>
      </c>
      <c r="CD100" s="75" t="str">
        <f t="shared" ca="1" si="75"/>
        <v/>
      </c>
      <c r="CE100" s="75" t="str">
        <f t="shared" ca="1" si="79"/>
        <v/>
      </c>
      <c r="CF100" s="75" t="str">
        <f t="shared" ca="1" si="79"/>
        <v/>
      </c>
      <c r="CG100" s="74" t="str">
        <f t="shared" ca="1" si="79"/>
        <v/>
      </c>
      <c r="CH100" s="74" t="str">
        <f t="shared" ca="1" si="79"/>
        <v/>
      </c>
      <c r="CI100" s="74" t="str">
        <f t="shared" ca="1" si="79"/>
        <v/>
      </c>
      <c r="CJ100" s="74" t="str">
        <f t="shared" ca="1" si="79"/>
        <v/>
      </c>
      <c r="CK100" s="74" t="str">
        <f t="shared" ca="1" si="79"/>
        <v/>
      </c>
      <c r="CL100" s="74" t="str">
        <f t="shared" ca="1" si="79"/>
        <v/>
      </c>
      <c r="CM100" s="74" t="str">
        <f t="shared" ca="1" si="79"/>
        <v/>
      </c>
      <c r="CN100" s="74" t="str">
        <f t="shared" ca="1" si="79"/>
        <v/>
      </c>
      <c r="CO100" s="74" t="str">
        <f t="shared" ca="1" si="79"/>
        <v/>
      </c>
      <c r="CP100" s="74" t="str">
        <f t="shared" ca="1" si="79"/>
        <v/>
      </c>
      <c r="CQ100" s="74" t="str">
        <f t="shared" ca="1" si="79"/>
        <v/>
      </c>
      <c r="CR100" s="74" t="str">
        <f t="shared" ca="1" si="79"/>
        <v/>
      </c>
      <c r="CS100" s="74" t="str">
        <f t="shared" ca="1" si="79"/>
        <v/>
      </c>
      <c r="CT100" s="74" t="str">
        <f t="shared" ca="1" si="79"/>
        <v/>
      </c>
      <c r="CU100" s="74" t="str">
        <f t="shared" ca="1" si="76"/>
        <v/>
      </c>
      <c r="CV100" s="74" t="str">
        <f t="shared" ca="1" si="76"/>
        <v/>
      </c>
      <c r="CW100" s="74" t="str">
        <f t="shared" ca="1" si="76"/>
        <v/>
      </c>
      <c r="CX100" s="74" t="str">
        <f t="shared" ca="1" si="76"/>
        <v/>
      </c>
      <c r="CY100" s="74" t="str">
        <f t="shared" ca="1" si="76"/>
        <v/>
      </c>
      <c r="CZ100" s="75" t="str">
        <f t="shared" ca="1" si="76"/>
        <v/>
      </c>
      <c r="DA100" s="75" t="str">
        <f t="shared" ca="1" si="76"/>
        <v/>
      </c>
      <c r="DB100" s="75" t="str">
        <f t="shared" ca="1" si="76"/>
        <v/>
      </c>
      <c r="DC100" s="75" t="str">
        <f t="shared" ca="1" si="76"/>
        <v/>
      </c>
      <c r="DD100" s="75" t="str">
        <f t="shared" ca="1" si="76"/>
        <v/>
      </c>
      <c r="DE100" s="75" t="str">
        <f t="shared" ca="1" si="76"/>
        <v/>
      </c>
      <c r="DF100" s="75" t="str">
        <f t="shared" ca="1" si="76"/>
        <v/>
      </c>
      <c r="DG100" s="75" t="str">
        <f t="shared" ca="1" si="76"/>
        <v/>
      </c>
      <c r="DH100" s="75" t="str">
        <f t="shared" ca="1" si="76"/>
        <v/>
      </c>
      <c r="DI100" s="75" t="str">
        <f t="shared" ca="1" si="76"/>
        <v/>
      </c>
      <c r="DJ100" s="75" t="str">
        <f t="shared" ca="1" si="76"/>
        <v/>
      </c>
      <c r="DK100" s="75" t="str">
        <f t="shared" ca="1" si="80"/>
        <v/>
      </c>
      <c r="DL100" s="75" t="str">
        <f t="shared" ca="1" si="80"/>
        <v/>
      </c>
      <c r="DM100" s="75" t="str">
        <f t="shared" ca="1" si="80"/>
        <v/>
      </c>
      <c r="DN100" s="75" t="str">
        <f t="shared" ca="1" si="80"/>
        <v/>
      </c>
      <c r="DO100" s="75" t="str">
        <f t="shared" ca="1" si="80"/>
        <v/>
      </c>
      <c r="DP100" s="75" t="str">
        <f t="shared" ca="1" si="80"/>
        <v/>
      </c>
      <c r="DQ100" s="75" t="str">
        <f t="shared" ca="1" si="80"/>
        <v/>
      </c>
      <c r="DR100" s="75" t="str">
        <f t="shared" ca="1" si="80"/>
        <v/>
      </c>
      <c r="DS100" s="74" t="str">
        <f t="shared" ca="1" si="80"/>
        <v/>
      </c>
      <c r="DT100" s="74" t="str">
        <f t="shared" ca="1" si="80"/>
        <v/>
      </c>
      <c r="DU100" s="74" t="str">
        <f t="shared" ca="1" si="80"/>
        <v/>
      </c>
      <c r="DV100" s="74" t="str">
        <f t="shared" ca="1" si="80"/>
        <v/>
      </c>
      <c r="DW100" s="74" t="str">
        <f t="shared" ca="1" si="80"/>
        <v/>
      </c>
      <c r="DX100" s="74" t="str">
        <f t="shared" ca="1" si="80"/>
        <v/>
      </c>
      <c r="DY100" s="74" t="str">
        <f t="shared" ca="1" si="80"/>
        <v/>
      </c>
      <c r="DZ100" s="74" t="str">
        <f t="shared" ca="1" si="80"/>
        <v/>
      </c>
      <c r="EA100" s="74" t="str">
        <f t="shared" ca="1" si="77"/>
        <v/>
      </c>
      <c r="EB100" s="74" t="str">
        <f t="shared" ca="1" si="77"/>
        <v/>
      </c>
      <c r="EC100" s="74" t="str">
        <f t="shared" ca="1" si="77"/>
        <v/>
      </c>
      <c r="ED100" s="74" t="str">
        <f t="shared" ca="1" si="77"/>
        <v/>
      </c>
      <c r="EE100" s="74" t="str">
        <f t="shared" ca="1" si="77"/>
        <v/>
      </c>
      <c r="EF100" s="74" t="str">
        <f t="shared" ca="1" si="77"/>
        <v/>
      </c>
      <c r="EG100" s="74" t="str">
        <f t="shared" ca="1" si="77"/>
        <v/>
      </c>
      <c r="EH100" s="74" t="str">
        <f t="shared" ca="1" si="77"/>
        <v/>
      </c>
      <c r="EI100" s="74" t="str">
        <f t="shared" ca="1" si="77"/>
        <v/>
      </c>
      <c r="EJ100" s="74" t="str">
        <f t="shared" ca="1" si="77"/>
        <v/>
      </c>
      <c r="EK100" s="75" t="str">
        <f t="shared" ca="1" si="77"/>
        <v/>
      </c>
      <c r="EL100" s="75" t="str">
        <f t="shared" ca="1" si="77"/>
        <v/>
      </c>
      <c r="EM100" s="75" t="str">
        <f t="shared" ca="1" si="77"/>
        <v/>
      </c>
      <c r="EN100" s="75" t="str">
        <f t="shared" ca="1" si="77"/>
        <v/>
      </c>
      <c r="EO100" s="75" t="str">
        <f t="shared" ca="1" si="77"/>
        <v/>
      </c>
      <c r="EP100" s="75" t="str">
        <f t="shared" ca="1" si="77"/>
        <v/>
      </c>
      <c r="EQ100" s="75" t="str">
        <f t="shared" ca="1" si="81"/>
        <v/>
      </c>
      <c r="ER100" s="75" t="str">
        <f t="shared" ca="1" si="81"/>
        <v/>
      </c>
      <c r="ES100" s="75" t="str">
        <f t="shared" ca="1" si="81"/>
        <v/>
      </c>
      <c r="ET100" s="75" t="str">
        <f t="shared" ca="1" si="81"/>
        <v/>
      </c>
      <c r="EU100" s="75" t="str">
        <f t="shared" ca="1" si="81"/>
        <v/>
      </c>
      <c r="EV100" s="75" t="str">
        <f t="shared" ca="1" si="81"/>
        <v/>
      </c>
      <c r="EW100" s="75" t="str">
        <f t="shared" ca="1" si="81"/>
        <v/>
      </c>
      <c r="EX100" s="75" t="str">
        <f t="shared" ca="1" si="81"/>
        <v/>
      </c>
      <c r="EY100" s="75" t="str">
        <f t="shared" ca="1" si="81"/>
        <v/>
      </c>
      <c r="EZ100" s="75" t="str">
        <f t="shared" ca="1" si="81"/>
        <v/>
      </c>
      <c r="FA100" s="75" t="str">
        <f t="shared" ca="1" si="81"/>
        <v/>
      </c>
      <c r="FB100" s="75" t="str">
        <f t="shared" ca="1" si="81"/>
        <v/>
      </c>
      <c r="FC100" s="76" t="str">
        <f t="shared" ca="1" si="81"/>
        <v/>
      </c>
      <c r="FD100" s="74" t="str">
        <f t="shared" ca="1" si="81"/>
        <v/>
      </c>
      <c r="FE100" s="74" t="str">
        <f t="shared" ca="1" si="81"/>
        <v/>
      </c>
      <c r="FF100" s="74" t="str">
        <f t="shared" ca="1" si="81"/>
        <v/>
      </c>
      <c r="FG100" s="74" t="str">
        <f t="shared" ref="FG100:FT118" ca="1" si="86">IF($A100="", "", IF(INDIRECT($A100&amp; "!"&amp; FG$2)="", "", INDIRECT($A100&amp; "!"&amp; FG$2)))</f>
        <v/>
      </c>
      <c r="FH100" s="74" t="str">
        <f t="shared" ca="1" si="86"/>
        <v/>
      </c>
      <c r="FI100" s="74" t="str">
        <f t="shared" ca="1" si="86"/>
        <v/>
      </c>
      <c r="FJ100" s="74" t="str">
        <f t="shared" ca="1" si="86"/>
        <v/>
      </c>
      <c r="FK100" s="74" t="str">
        <f t="shared" ca="1" si="86"/>
        <v/>
      </c>
      <c r="FL100" s="74" t="str">
        <f t="shared" ca="1" si="86"/>
        <v/>
      </c>
      <c r="FM100" s="74" t="str">
        <f t="shared" ca="1" si="86"/>
        <v/>
      </c>
      <c r="FN100" s="74" t="str">
        <f t="shared" ca="1" si="86"/>
        <v/>
      </c>
      <c r="FO100" s="74" t="str">
        <f t="shared" ca="1" si="86"/>
        <v/>
      </c>
      <c r="FP100" s="74" t="str">
        <f t="shared" ca="1" si="86"/>
        <v/>
      </c>
      <c r="FQ100" s="74" t="str">
        <f t="shared" ca="1" si="86"/>
        <v/>
      </c>
      <c r="FR100" s="74" t="str">
        <f t="shared" ca="1" si="86"/>
        <v/>
      </c>
      <c r="FS100" s="74" t="str">
        <f t="shared" ca="1" si="86"/>
        <v/>
      </c>
      <c r="FT100" s="74" t="str">
        <f t="shared" ca="1" si="86"/>
        <v/>
      </c>
    </row>
    <row r="101" spans="1:176" x14ac:dyDescent="0.35">
      <c r="A101" s="74"/>
      <c r="B101" s="74" t="str">
        <f t="shared" ca="1" si="83"/>
        <v/>
      </c>
      <c r="C101" s="74" t="str">
        <f t="shared" ca="1" si="83"/>
        <v/>
      </c>
      <c r="D101" s="74" t="str">
        <f t="shared" ca="1" si="83"/>
        <v/>
      </c>
      <c r="E101" s="74" t="str">
        <f t="shared" ca="1" si="83"/>
        <v/>
      </c>
      <c r="F101" t="str">
        <f t="shared" ca="1" si="83"/>
        <v/>
      </c>
      <c r="G101" t="str">
        <f t="shared" ca="1" si="83"/>
        <v/>
      </c>
      <c r="H101" t="str">
        <f t="shared" ca="1" si="83"/>
        <v/>
      </c>
      <c r="I101" s="74" t="str">
        <f t="shared" ca="1" si="83"/>
        <v/>
      </c>
      <c r="J101" s="74" t="str">
        <f t="shared" ca="1" si="83"/>
        <v/>
      </c>
      <c r="K101" s="74" t="str">
        <f t="shared" ca="1" si="83"/>
        <v/>
      </c>
      <c r="L101" s="74" t="str">
        <f t="shared" ca="1" si="83"/>
        <v/>
      </c>
      <c r="M101" s="74" t="str">
        <f t="shared" ca="1" si="83"/>
        <v/>
      </c>
      <c r="N101" s="74" t="str">
        <f t="shared" ca="1" si="83"/>
        <v/>
      </c>
      <c r="O101" s="74" t="str">
        <f t="shared" ca="1" si="83"/>
        <v/>
      </c>
      <c r="P101" s="74" t="str">
        <f t="shared" ca="1" si="83"/>
        <v/>
      </c>
      <c r="Q101" s="74" t="str">
        <f t="shared" ca="1" si="83"/>
        <v/>
      </c>
      <c r="R101" s="74" t="str">
        <f t="shared" ca="1" si="83"/>
        <v/>
      </c>
      <c r="S101" s="74" t="str">
        <f t="shared" ca="1" si="83"/>
        <v/>
      </c>
      <c r="T101" s="74" t="str">
        <f t="shared" ca="1" si="85"/>
        <v/>
      </c>
      <c r="U101" s="74" t="str">
        <f t="shared" ca="1" si="85"/>
        <v/>
      </c>
      <c r="V101" s="74" t="str">
        <f t="shared" ca="1" si="85"/>
        <v/>
      </c>
      <c r="W101" s="74" t="str">
        <f t="shared" ca="1" si="85"/>
        <v/>
      </c>
      <c r="X101" s="74" t="str">
        <f t="shared" ca="1" si="85"/>
        <v/>
      </c>
      <c r="Y101" s="74" t="str">
        <f t="shared" ca="1" si="85"/>
        <v/>
      </c>
      <c r="Z101" s="74" t="str">
        <f t="shared" ca="1" si="85"/>
        <v/>
      </c>
      <c r="AA101" s="74" t="str">
        <f t="shared" ca="1" si="85"/>
        <v/>
      </c>
      <c r="AB101" s="75" t="str">
        <f t="shared" ca="1" si="85"/>
        <v/>
      </c>
      <c r="AC101" s="75" t="str">
        <f t="shared" ca="1" si="85"/>
        <v/>
      </c>
      <c r="AD101" s="75" t="str">
        <f t="shared" ca="1" si="85"/>
        <v/>
      </c>
      <c r="AE101" s="75" t="str">
        <f t="shared" ca="1" si="85"/>
        <v/>
      </c>
      <c r="AF101" s="75" t="str">
        <f t="shared" ca="1" si="85"/>
        <v/>
      </c>
      <c r="AG101" s="75" t="str">
        <f t="shared" ca="1" si="85"/>
        <v/>
      </c>
      <c r="AH101" s="75" t="str">
        <f t="shared" ca="1" si="85"/>
        <v/>
      </c>
      <c r="AI101" s="75" t="str">
        <f t="shared" ca="1" si="84"/>
        <v/>
      </c>
      <c r="AJ101" s="75" t="str">
        <f t="shared" ca="1" si="84"/>
        <v/>
      </c>
      <c r="AK101" s="75" t="str">
        <f t="shared" ca="1" si="84"/>
        <v/>
      </c>
      <c r="AL101" s="75" t="str">
        <f t="shared" ca="1" si="84"/>
        <v/>
      </c>
      <c r="AM101" s="75" t="str">
        <f t="shared" ca="1" si="84"/>
        <v/>
      </c>
      <c r="AN101" s="75" t="str">
        <f t="shared" ca="1" si="84"/>
        <v/>
      </c>
      <c r="AO101" s="75" t="str">
        <f t="shared" ca="1" si="84"/>
        <v/>
      </c>
      <c r="AP101" s="75" t="str">
        <f t="shared" ca="1" si="84"/>
        <v/>
      </c>
      <c r="AQ101" s="75" t="str">
        <f t="shared" ca="1" si="84"/>
        <v/>
      </c>
      <c r="AR101" s="75" t="str">
        <f t="shared" ca="1" si="84"/>
        <v/>
      </c>
      <c r="AS101" s="75" t="str">
        <f t="shared" ca="1" si="84"/>
        <v/>
      </c>
      <c r="AT101" s="75" t="str">
        <f t="shared" ca="1" si="84"/>
        <v/>
      </c>
      <c r="AU101" s="74" t="str">
        <f t="shared" ca="1" si="84"/>
        <v/>
      </c>
      <c r="AV101" s="74" t="str">
        <f t="shared" ca="1" si="84"/>
        <v/>
      </c>
      <c r="AW101" s="74" t="str">
        <f t="shared" ca="1" si="82"/>
        <v/>
      </c>
      <c r="AX101" s="74" t="str">
        <f t="shared" ca="1" si="82"/>
        <v/>
      </c>
      <c r="AY101" s="74" t="str">
        <f t="shared" ca="1" si="78"/>
        <v/>
      </c>
      <c r="AZ101" s="74" t="str">
        <f t="shared" ca="1" si="78"/>
        <v/>
      </c>
      <c r="BA101" s="74" t="str">
        <f t="shared" ca="1" si="78"/>
        <v/>
      </c>
      <c r="BB101" s="74" t="str">
        <f t="shared" ca="1" si="78"/>
        <v/>
      </c>
      <c r="BC101" s="74" t="str">
        <f t="shared" ca="1" si="78"/>
        <v/>
      </c>
      <c r="BD101" s="74" t="str">
        <f t="shared" ca="1" si="78"/>
        <v/>
      </c>
      <c r="BE101" s="74" t="str">
        <f t="shared" ca="1" si="78"/>
        <v/>
      </c>
      <c r="BF101" s="74" t="str">
        <f t="shared" ca="1" si="78"/>
        <v/>
      </c>
      <c r="BG101" s="74" t="str">
        <f t="shared" ca="1" si="78"/>
        <v/>
      </c>
      <c r="BH101" s="74" t="str">
        <f t="shared" ca="1" si="78"/>
        <v/>
      </c>
      <c r="BI101" s="74" t="str">
        <f t="shared" ca="1" si="78"/>
        <v/>
      </c>
      <c r="BJ101" s="74" t="str">
        <f t="shared" ca="1" si="78"/>
        <v/>
      </c>
      <c r="BK101" s="74" t="str">
        <f t="shared" ca="1" si="78"/>
        <v/>
      </c>
      <c r="BL101" s="74" t="str">
        <f t="shared" ca="1" si="78"/>
        <v/>
      </c>
      <c r="BM101" s="74" t="str">
        <f t="shared" ca="1" si="78"/>
        <v/>
      </c>
      <c r="BN101" s="75" t="str">
        <f t="shared" ca="1" si="78"/>
        <v/>
      </c>
      <c r="BO101" s="75" t="str">
        <f t="shared" ca="1" si="75"/>
        <v/>
      </c>
      <c r="BP101" s="75" t="str">
        <f t="shared" ca="1" si="75"/>
        <v/>
      </c>
      <c r="BQ101" s="75" t="str">
        <f t="shared" ca="1" si="75"/>
        <v/>
      </c>
      <c r="BR101" s="75" t="str">
        <f t="shared" ca="1" si="75"/>
        <v/>
      </c>
      <c r="BS101" s="75" t="str">
        <f t="shared" ca="1" si="75"/>
        <v/>
      </c>
      <c r="BT101" s="75" t="str">
        <f t="shared" ca="1" si="75"/>
        <v/>
      </c>
      <c r="BU101" s="75" t="str">
        <f t="shared" ca="1" si="75"/>
        <v/>
      </c>
      <c r="BV101" s="75" t="str">
        <f t="shared" ca="1" si="75"/>
        <v/>
      </c>
      <c r="BW101" s="75" t="str">
        <f t="shared" ca="1" si="75"/>
        <v/>
      </c>
      <c r="BX101" s="75" t="str">
        <f t="shared" ca="1" si="75"/>
        <v/>
      </c>
      <c r="BY101" s="75" t="str">
        <f t="shared" ca="1" si="75"/>
        <v/>
      </c>
      <c r="BZ101" s="75" t="str">
        <f t="shared" ca="1" si="75"/>
        <v/>
      </c>
      <c r="CA101" s="75" t="str">
        <f t="shared" ca="1" si="75"/>
        <v/>
      </c>
      <c r="CB101" s="75" t="str">
        <f t="shared" ca="1" si="75"/>
        <v/>
      </c>
      <c r="CC101" s="75" t="str">
        <f t="shared" ca="1" si="75"/>
        <v/>
      </c>
      <c r="CD101" s="75" t="str">
        <f t="shared" ca="1" si="75"/>
        <v/>
      </c>
      <c r="CE101" s="75" t="str">
        <f t="shared" ca="1" si="79"/>
        <v/>
      </c>
      <c r="CF101" s="75" t="str">
        <f t="shared" ca="1" si="79"/>
        <v/>
      </c>
      <c r="CG101" s="74" t="str">
        <f t="shared" ca="1" si="79"/>
        <v/>
      </c>
      <c r="CH101" s="74" t="str">
        <f t="shared" ca="1" si="79"/>
        <v/>
      </c>
      <c r="CI101" s="74" t="str">
        <f t="shared" ca="1" si="79"/>
        <v/>
      </c>
      <c r="CJ101" s="74" t="str">
        <f t="shared" ca="1" si="79"/>
        <v/>
      </c>
      <c r="CK101" s="74" t="str">
        <f t="shared" ca="1" si="79"/>
        <v/>
      </c>
      <c r="CL101" s="74" t="str">
        <f t="shared" ca="1" si="79"/>
        <v/>
      </c>
      <c r="CM101" s="74" t="str">
        <f t="shared" ca="1" si="79"/>
        <v/>
      </c>
      <c r="CN101" s="74" t="str">
        <f t="shared" ca="1" si="79"/>
        <v/>
      </c>
      <c r="CO101" s="74" t="str">
        <f t="shared" ca="1" si="79"/>
        <v/>
      </c>
      <c r="CP101" s="74" t="str">
        <f t="shared" ca="1" si="79"/>
        <v/>
      </c>
      <c r="CQ101" s="74" t="str">
        <f t="shared" ca="1" si="79"/>
        <v/>
      </c>
      <c r="CR101" s="74" t="str">
        <f t="shared" ca="1" si="79"/>
        <v/>
      </c>
      <c r="CS101" s="74" t="str">
        <f t="shared" ca="1" si="79"/>
        <v/>
      </c>
      <c r="CT101" s="74" t="str">
        <f t="shared" ca="1" si="79"/>
        <v/>
      </c>
      <c r="CU101" s="74" t="str">
        <f t="shared" ca="1" si="76"/>
        <v/>
      </c>
      <c r="CV101" s="74" t="str">
        <f t="shared" ca="1" si="76"/>
        <v/>
      </c>
      <c r="CW101" s="74" t="str">
        <f t="shared" ca="1" si="76"/>
        <v/>
      </c>
      <c r="CX101" s="74" t="str">
        <f t="shared" ca="1" si="76"/>
        <v/>
      </c>
      <c r="CY101" s="74" t="str">
        <f t="shared" ca="1" si="76"/>
        <v/>
      </c>
      <c r="CZ101" s="75" t="str">
        <f t="shared" ca="1" si="76"/>
        <v/>
      </c>
      <c r="DA101" s="75" t="str">
        <f t="shared" ca="1" si="76"/>
        <v/>
      </c>
      <c r="DB101" s="75" t="str">
        <f t="shared" ca="1" si="76"/>
        <v/>
      </c>
      <c r="DC101" s="75" t="str">
        <f t="shared" ca="1" si="76"/>
        <v/>
      </c>
      <c r="DD101" s="75" t="str">
        <f t="shared" ca="1" si="76"/>
        <v/>
      </c>
      <c r="DE101" s="75" t="str">
        <f t="shared" ca="1" si="76"/>
        <v/>
      </c>
      <c r="DF101" s="75" t="str">
        <f t="shared" ca="1" si="76"/>
        <v/>
      </c>
      <c r="DG101" s="75" t="str">
        <f t="shared" ca="1" si="76"/>
        <v/>
      </c>
      <c r="DH101" s="75" t="str">
        <f t="shared" ca="1" si="76"/>
        <v/>
      </c>
      <c r="DI101" s="75" t="str">
        <f t="shared" ca="1" si="76"/>
        <v/>
      </c>
      <c r="DJ101" s="75" t="str">
        <f t="shared" ca="1" si="76"/>
        <v/>
      </c>
      <c r="DK101" s="75" t="str">
        <f t="shared" ca="1" si="80"/>
        <v/>
      </c>
      <c r="DL101" s="75" t="str">
        <f t="shared" ca="1" si="80"/>
        <v/>
      </c>
      <c r="DM101" s="75" t="str">
        <f t="shared" ca="1" si="80"/>
        <v/>
      </c>
      <c r="DN101" s="75" t="str">
        <f t="shared" ca="1" si="80"/>
        <v/>
      </c>
      <c r="DO101" s="75" t="str">
        <f t="shared" ca="1" si="80"/>
        <v/>
      </c>
      <c r="DP101" s="75" t="str">
        <f t="shared" ca="1" si="80"/>
        <v/>
      </c>
      <c r="DQ101" s="75" t="str">
        <f t="shared" ca="1" si="80"/>
        <v/>
      </c>
      <c r="DR101" s="75" t="str">
        <f t="shared" ca="1" si="80"/>
        <v/>
      </c>
      <c r="DS101" s="74" t="str">
        <f t="shared" ca="1" si="80"/>
        <v/>
      </c>
      <c r="DT101" s="74" t="str">
        <f t="shared" ca="1" si="80"/>
        <v/>
      </c>
      <c r="DU101" s="74" t="str">
        <f t="shared" ca="1" si="80"/>
        <v/>
      </c>
      <c r="DV101" s="74" t="str">
        <f t="shared" ca="1" si="80"/>
        <v/>
      </c>
      <c r="DW101" s="74" t="str">
        <f t="shared" ca="1" si="80"/>
        <v/>
      </c>
      <c r="DX101" s="74" t="str">
        <f t="shared" ca="1" si="80"/>
        <v/>
      </c>
      <c r="DY101" s="74" t="str">
        <f t="shared" ca="1" si="80"/>
        <v/>
      </c>
      <c r="DZ101" s="74" t="str">
        <f t="shared" ca="1" si="80"/>
        <v/>
      </c>
      <c r="EA101" s="74" t="str">
        <f t="shared" ca="1" si="77"/>
        <v/>
      </c>
      <c r="EB101" s="74" t="str">
        <f t="shared" ca="1" si="77"/>
        <v/>
      </c>
      <c r="EC101" s="74" t="str">
        <f t="shared" ca="1" si="77"/>
        <v/>
      </c>
      <c r="ED101" s="74" t="str">
        <f t="shared" ca="1" si="77"/>
        <v/>
      </c>
      <c r="EE101" s="74" t="str">
        <f t="shared" ca="1" si="77"/>
        <v/>
      </c>
      <c r="EF101" s="74" t="str">
        <f t="shared" ca="1" si="77"/>
        <v/>
      </c>
      <c r="EG101" s="74" t="str">
        <f t="shared" ca="1" si="77"/>
        <v/>
      </c>
      <c r="EH101" s="74" t="str">
        <f t="shared" ca="1" si="77"/>
        <v/>
      </c>
      <c r="EI101" s="74" t="str">
        <f t="shared" ca="1" si="77"/>
        <v/>
      </c>
      <c r="EJ101" s="74" t="str">
        <f t="shared" ca="1" si="77"/>
        <v/>
      </c>
      <c r="EK101" s="75" t="str">
        <f t="shared" ca="1" si="77"/>
        <v/>
      </c>
      <c r="EL101" s="75" t="str">
        <f t="shared" ca="1" si="77"/>
        <v/>
      </c>
      <c r="EM101" s="75" t="str">
        <f t="shared" ca="1" si="77"/>
        <v/>
      </c>
      <c r="EN101" s="75" t="str">
        <f t="shared" ca="1" si="77"/>
        <v/>
      </c>
      <c r="EO101" s="75" t="str">
        <f t="shared" ca="1" si="77"/>
        <v/>
      </c>
      <c r="EP101" s="75" t="str">
        <f t="shared" ca="1" si="77"/>
        <v/>
      </c>
      <c r="EQ101" s="75" t="str">
        <f t="shared" ca="1" si="81"/>
        <v/>
      </c>
      <c r="ER101" s="75" t="str">
        <f t="shared" ca="1" si="81"/>
        <v/>
      </c>
      <c r="ES101" s="75" t="str">
        <f t="shared" ca="1" si="81"/>
        <v/>
      </c>
      <c r="ET101" s="75" t="str">
        <f t="shared" ca="1" si="81"/>
        <v/>
      </c>
      <c r="EU101" s="75" t="str">
        <f t="shared" ca="1" si="81"/>
        <v/>
      </c>
      <c r="EV101" s="75" t="str">
        <f t="shared" ca="1" si="81"/>
        <v/>
      </c>
      <c r="EW101" s="75" t="str">
        <f t="shared" ca="1" si="81"/>
        <v/>
      </c>
      <c r="EX101" s="75" t="str">
        <f t="shared" ca="1" si="81"/>
        <v/>
      </c>
      <c r="EY101" s="75" t="str">
        <f t="shared" ca="1" si="81"/>
        <v/>
      </c>
      <c r="EZ101" s="75" t="str">
        <f t="shared" ca="1" si="81"/>
        <v/>
      </c>
      <c r="FA101" s="75" t="str">
        <f t="shared" ca="1" si="81"/>
        <v/>
      </c>
      <c r="FB101" s="75" t="str">
        <f t="shared" ca="1" si="81"/>
        <v/>
      </c>
      <c r="FC101" s="76" t="str">
        <f t="shared" ca="1" si="81"/>
        <v/>
      </c>
      <c r="FD101" s="74" t="str">
        <f t="shared" ca="1" si="81"/>
        <v/>
      </c>
      <c r="FE101" s="74" t="str">
        <f t="shared" ca="1" si="81"/>
        <v/>
      </c>
      <c r="FF101" s="74" t="str">
        <f t="shared" ca="1" si="81"/>
        <v/>
      </c>
      <c r="FG101" s="74" t="str">
        <f t="shared" ca="1" si="86"/>
        <v/>
      </c>
      <c r="FH101" s="74" t="str">
        <f t="shared" ca="1" si="86"/>
        <v/>
      </c>
      <c r="FI101" s="74" t="str">
        <f t="shared" ca="1" si="86"/>
        <v/>
      </c>
      <c r="FJ101" s="74" t="str">
        <f t="shared" ca="1" si="86"/>
        <v/>
      </c>
      <c r="FK101" s="74" t="str">
        <f t="shared" ca="1" si="86"/>
        <v/>
      </c>
      <c r="FL101" s="74" t="str">
        <f t="shared" ca="1" si="86"/>
        <v/>
      </c>
      <c r="FM101" s="74" t="str">
        <f t="shared" ca="1" si="86"/>
        <v/>
      </c>
      <c r="FN101" s="74" t="str">
        <f t="shared" ca="1" si="86"/>
        <v/>
      </c>
      <c r="FO101" s="74" t="str">
        <f t="shared" ca="1" si="86"/>
        <v/>
      </c>
      <c r="FP101" s="74" t="str">
        <f t="shared" ca="1" si="86"/>
        <v/>
      </c>
      <c r="FQ101" s="74" t="str">
        <f t="shared" ca="1" si="86"/>
        <v/>
      </c>
      <c r="FR101" s="74" t="str">
        <f t="shared" ca="1" si="86"/>
        <v/>
      </c>
      <c r="FS101" s="74" t="str">
        <f t="shared" ca="1" si="86"/>
        <v/>
      </c>
      <c r="FT101" s="74" t="str">
        <f t="shared" ca="1" si="86"/>
        <v/>
      </c>
    </row>
    <row r="102" spans="1:176" x14ac:dyDescent="0.35">
      <c r="A102" s="74"/>
      <c r="B102" s="74" t="str">
        <f t="shared" ca="1" si="83"/>
        <v/>
      </c>
      <c r="C102" s="74" t="str">
        <f t="shared" ca="1" si="83"/>
        <v/>
      </c>
      <c r="D102" s="74" t="str">
        <f t="shared" ca="1" si="83"/>
        <v/>
      </c>
      <c r="E102" s="74" t="str">
        <f t="shared" ca="1" si="83"/>
        <v/>
      </c>
      <c r="F102" t="str">
        <f t="shared" ca="1" si="83"/>
        <v/>
      </c>
      <c r="G102" t="str">
        <f t="shared" ca="1" si="83"/>
        <v/>
      </c>
      <c r="H102" t="str">
        <f t="shared" ca="1" si="83"/>
        <v/>
      </c>
      <c r="I102" s="74" t="str">
        <f t="shared" ca="1" si="83"/>
        <v/>
      </c>
      <c r="J102" s="74" t="str">
        <f t="shared" ca="1" si="83"/>
        <v/>
      </c>
      <c r="K102" s="74" t="str">
        <f t="shared" ca="1" si="83"/>
        <v/>
      </c>
      <c r="L102" s="74" t="str">
        <f t="shared" ca="1" si="83"/>
        <v/>
      </c>
      <c r="M102" s="74" t="str">
        <f t="shared" ca="1" si="83"/>
        <v/>
      </c>
      <c r="N102" s="74" t="str">
        <f t="shared" ca="1" si="83"/>
        <v/>
      </c>
      <c r="O102" s="74" t="str">
        <f t="shared" ca="1" si="83"/>
        <v/>
      </c>
      <c r="P102" s="74" t="str">
        <f t="shared" ca="1" si="83"/>
        <v/>
      </c>
      <c r="Q102" s="74" t="str">
        <f t="shared" ca="1" si="83"/>
        <v/>
      </c>
      <c r="R102" s="74" t="str">
        <f t="shared" ca="1" si="83"/>
        <v/>
      </c>
      <c r="S102" s="74" t="str">
        <f t="shared" ca="1" si="83"/>
        <v/>
      </c>
      <c r="T102" s="74" t="str">
        <f t="shared" ca="1" si="85"/>
        <v/>
      </c>
      <c r="U102" s="74" t="str">
        <f t="shared" ca="1" si="85"/>
        <v/>
      </c>
      <c r="V102" s="74" t="str">
        <f t="shared" ca="1" si="85"/>
        <v/>
      </c>
      <c r="W102" s="74" t="str">
        <f t="shared" ca="1" si="85"/>
        <v/>
      </c>
      <c r="X102" s="74" t="str">
        <f t="shared" ca="1" si="85"/>
        <v/>
      </c>
      <c r="Y102" s="74" t="str">
        <f t="shared" ca="1" si="85"/>
        <v/>
      </c>
      <c r="Z102" s="74" t="str">
        <f t="shared" ca="1" si="85"/>
        <v/>
      </c>
      <c r="AA102" s="74" t="str">
        <f t="shared" ca="1" si="85"/>
        <v/>
      </c>
      <c r="AB102" s="75" t="str">
        <f t="shared" ca="1" si="85"/>
        <v/>
      </c>
      <c r="AC102" s="75" t="str">
        <f t="shared" ca="1" si="85"/>
        <v/>
      </c>
      <c r="AD102" s="75" t="str">
        <f t="shared" ca="1" si="85"/>
        <v/>
      </c>
      <c r="AE102" s="75" t="str">
        <f t="shared" ca="1" si="85"/>
        <v/>
      </c>
      <c r="AF102" s="75" t="str">
        <f t="shared" ca="1" si="85"/>
        <v/>
      </c>
      <c r="AG102" s="75" t="str">
        <f t="shared" ca="1" si="85"/>
        <v/>
      </c>
      <c r="AH102" s="75" t="str">
        <f t="shared" ca="1" si="85"/>
        <v/>
      </c>
      <c r="AI102" s="75" t="str">
        <f t="shared" ca="1" si="84"/>
        <v/>
      </c>
      <c r="AJ102" s="75" t="str">
        <f t="shared" ca="1" si="84"/>
        <v/>
      </c>
      <c r="AK102" s="75" t="str">
        <f t="shared" ca="1" si="84"/>
        <v/>
      </c>
      <c r="AL102" s="75" t="str">
        <f t="shared" ca="1" si="84"/>
        <v/>
      </c>
      <c r="AM102" s="75" t="str">
        <f t="shared" ca="1" si="84"/>
        <v/>
      </c>
      <c r="AN102" s="75" t="str">
        <f t="shared" ca="1" si="84"/>
        <v/>
      </c>
      <c r="AO102" s="75" t="str">
        <f t="shared" ca="1" si="84"/>
        <v/>
      </c>
      <c r="AP102" s="75" t="str">
        <f t="shared" ca="1" si="84"/>
        <v/>
      </c>
      <c r="AQ102" s="75" t="str">
        <f t="shared" ca="1" si="84"/>
        <v/>
      </c>
      <c r="AR102" s="75" t="str">
        <f t="shared" ca="1" si="84"/>
        <v/>
      </c>
      <c r="AS102" s="75" t="str">
        <f t="shared" ca="1" si="84"/>
        <v/>
      </c>
      <c r="AT102" s="75" t="str">
        <f t="shared" ca="1" si="84"/>
        <v/>
      </c>
      <c r="AU102" s="74" t="str">
        <f t="shared" ca="1" si="84"/>
        <v/>
      </c>
      <c r="AV102" s="74" t="str">
        <f t="shared" ca="1" si="84"/>
        <v/>
      </c>
      <c r="AW102" s="74" t="str">
        <f t="shared" ca="1" si="82"/>
        <v/>
      </c>
      <c r="AX102" s="74" t="str">
        <f t="shared" ca="1" si="82"/>
        <v/>
      </c>
      <c r="AY102" s="74" t="str">
        <f t="shared" ca="1" si="78"/>
        <v/>
      </c>
      <c r="AZ102" s="74" t="str">
        <f t="shared" ca="1" si="78"/>
        <v/>
      </c>
      <c r="BA102" s="74" t="str">
        <f t="shared" ca="1" si="78"/>
        <v/>
      </c>
      <c r="BB102" s="74" t="str">
        <f t="shared" ca="1" si="78"/>
        <v/>
      </c>
      <c r="BC102" s="74" t="str">
        <f t="shared" ca="1" si="78"/>
        <v/>
      </c>
      <c r="BD102" s="74" t="str">
        <f t="shared" ca="1" si="78"/>
        <v/>
      </c>
      <c r="BE102" s="74" t="str">
        <f t="shared" ca="1" si="78"/>
        <v/>
      </c>
      <c r="BF102" s="74" t="str">
        <f t="shared" ca="1" si="78"/>
        <v/>
      </c>
      <c r="BG102" s="74" t="str">
        <f t="shared" ca="1" si="78"/>
        <v/>
      </c>
      <c r="BH102" s="74" t="str">
        <f t="shared" ca="1" si="78"/>
        <v/>
      </c>
      <c r="BI102" s="74" t="str">
        <f t="shared" ca="1" si="78"/>
        <v/>
      </c>
      <c r="BJ102" s="74" t="str">
        <f t="shared" ca="1" si="78"/>
        <v/>
      </c>
      <c r="BK102" s="74" t="str">
        <f t="shared" ca="1" si="78"/>
        <v/>
      </c>
      <c r="BL102" s="74" t="str">
        <f t="shared" ca="1" si="78"/>
        <v/>
      </c>
      <c r="BM102" s="74" t="str">
        <f t="shared" ca="1" si="78"/>
        <v/>
      </c>
      <c r="BN102" s="75" t="str">
        <f t="shared" ca="1" si="78"/>
        <v/>
      </c>
      <c r="BO102" s="75" t="str">
        <f t="shared" ca="1" si="75"/>
        <v/>
      </c>
      <c r="BP102" s="75" t="str">
        <f t="shared" ca="1" si="75"/>
        <v/>
      </c>
      <c r="BQ102" s="75" t="str">
        <f t="shared" ca="1" si="75"/>
        <v/>
      </c>
      <c r="BR102" s="75" t="str">
        <f t="shared" ca="1" si="75"/>
        <v/>
      </c>
      <c r="BS102" s="75" t="str">
        <f t="shared" ca="1" si="75"/>
        <v/>
      </c>
      <c r="BT102" s="75" t="str">
        <f t="shared" ca="1" si="75"/>
        <v/>
      </c>
      <c r="BU102" s="75" t="str">
        <f t="shared" ca="1" si="75"/>
        <v/>
      </c>
      <c r="BV102" s="75" t="str">
        <f t="shared" ca="1" si="75"/>
        <v/>
      </c>
      <c r="BW102" s="75" t="str">
        <f t="shared" ca="1" si="75"/>
        <v/>
      </c>
      <c r="BX102" s="75" t="str">
        <f t="shared" ca="1" si="75"/>
        <v/>
      </c>
      <c r="BY102" s="75" t="str">
        <f t="shared" ca="1" si="75"/>
        <v/>
      </c>
      <c r="BZ102" s="75" t="str">
        <f t="shared" ca="1" si="75"/>
        <v/>
      </c>
      <c r="CA102" s="75" t="str">
        <f t="shared" ca="1" si="75"/>
        <v/>
      </c>
      <c r="CB102" s="75" t="str">
        <f t="shared" ca="1" si="75"/>
        <v/>
      </c>
      <c r="CC102" s="75" t="str">
        <f t="shared" ca="1" si="75"/>
        <v/>
      </c>
      <c r="CD102" s="75" t="str">
        <f t="shared" ca="1" si="75"/>
        <v/>
      </c>
      <c r="CE102" s="75" t="str">
        <f t="shared" ca="1" si="79"/>
        <v/>
      </c>
      <c r="CF102" s="75" t="str">
        <f t="shared" ca="1" si="79"/>
        <v/>
      </c>
      <c r="CG102" s="74" t="str">
        <f t="shared" ca="1" si="79"/>
        <v/>
      </c>
      <c r="CH102" s="74" t="str">
        <f t="shared" ca="1" si="79"/>
        <v/>
      </c>
      <c r="CI102" s="74" t="str">
        <f t="shared" ca="1" si="79"/>
        <v/>
      </c>
      <c r="CJ102" s="74" t="str">
        <f t="shared" ca="1" si="79"/>
        <v/>
      </c>
      <c r="CK102" s="74" t="str">
        <f t="shared" ca="1" si="79"/>
        <v/>
      </c>
      <c r="CL102" s="74" t="str">
        <f t="shared" ca="1" si="79"/>
        <v/>
      </c>
      <c r="CM102" s="74" t="str">
        <f t="shared" ca="1" si="79"/>
        <v/>
      </c>
      <c r="CN102" s="74" t="str">
        <f t="shared" ca="1" si="79"/>
        <v/>
      </c>
      <c r="CO102" s="74" t="str">
        <f t="shared" ca="1" si="79"/>
        <v/>
      </c>
      <c r="CP102" s="74" t="str">
        <f t="shared" ca="1" si="79"/>
        <v/>
      </c>
      <c r="CQ102" s="74" t="str">
        <f t="shared" ca="1" si="79"/>
        <v/>
      </c>
      <c r="CR102" s="74" t="str">
        <f t="shared" ca="1" si="79"/>
        <v/>
      </c>
      <c r="CS102" s="74" t="str">
        <f t="shared" ca="1" si="79"/>
        <v/>
      </c>
      <c r="CT102" s="74" t="str">
        <f t="shared" ca="1" si="79"/>
        <v/>
      </c>
      <c r="CU102" s="74" t="str">
        <f t="shared" ca="1" si="76"/>
        <v/>
      </c>
      <c r="CV102" s="74" t="str">
        <f t="shared" ca="1" si="76"/>
        <v/>
      </c>
      <c r="CW102" s="74" t="str">
        <f t="shared" ca="1" si="76"/>
        <v/>
      </c>
      <c r="CX102" s="74" t="str">
        <f t="shared" ca="1" si="76"/>
        <v/>
      </c>
      <c r="CY102" s="74" t="str">
        <f t="shared" ca="1" si="76"/>
        <v/>
      </c>
      <c r="CZ102" s="75" t="str">
        <f t="shared" ca="1" si="76"/>
        <v/>
      </c>
      <c r="DA102" s="75" t="str">
        <f t="shared" ca="1" si="76"/>
        <v/>
      </c>
      <c r="DB102" s="75" t="str">
        <f t="shared" ca="1" si="76"/>
        <v/>
      </c>
      <c r="DC102" s="75" t="str">
        <f t="shared" ca="1" si="76"/>
        <v/>
      </c>
      <c r="DD102" s="75" t="str">
        <f t="shared" ca="1" si="76"/>
        <v/>
      </c>
      <c r="DE102" s="75" t="str">
        <f t="shared" ca="1" si="76"/>
        <v/>
      </c>
      <c r="DF102" s="75" t="str">
        <f t="shared" ca="1" si="76"/>
        <v/>
      </c>
      <c r="DG102" s="75" t="str">
        <f t="shared" ca="1" si="76"/>
        <v/>
      </c>
      <c r="DH102" s="75" t="str">
        <f t="shared" ca="1" si="76"/>
        <v/>
      </c>
      <c r="DI102" s="75" t="str">
        <f t="shared" ca="1" si="76"/>
        <v/>
      </c>
      <c r="DJ102" s="75" t="str">
        <f t="shared" ca="1" si="76"/>
        <v/>
      </c>
      <c r="DK102" s="75" t="str">
        <f t="shared" ca="1" si="80"/>
        <v/>
      </c>
      <c r="DL102" s="75" t="str">
        <f t="shared" ca="1" si="80"/>
        <v/>
      </c>
      <c r="DM102" s="75" t="str">
        <f t="shared" ca="1" si="80"/>
        <v/>
      </c>
      <c r="DN102" s="75" t="str">
        <f t="shared" ca="1" si="80"/>
        <v/>
      </c>
      <c r="DO102" s="75" t="str">
        <f t="shared" ca="1" si="80"/>
        <v/>
      </c>
      <c r="DP102" s="75" t="str">
        <f t="shared" ca="1" si="80"/>
        <v/>
      </c>
      <c r="DQ102" s="75" t="str">
        <f t="shared" ca="1" si="80"/>
        <v/>
      </c>
      <c r="DR102" s="75" t="str">
        <f t="shared" ca="1" si="80"/>
        <v/>
      </c>
      <c r="DS102" s="74" t="str">
        <f t="shared" ca="1" si="80"/>
        <v/>
      </c>
      <c r="DT102" s="74" t="str">
        <f t="shared" ca="1" si="80"/>
        <v/>
      </c>
      <c r="DU102" s="74" t="str">
        <f t="shared" ca="1" si="80"/>
        <v/>
      </c>
      <c r="DV102" s="74" t="str">
        <f t="shared" ca="1" si="80"/>
        <v/>
      </c>
      <c r="DW102" s="74" t="str">
        <f t="shared" ca="1" si="80"/>
        <v/>
      </c>
      <c r="DX102" s="74" t="str">
        <f t="shared" ca="1" si="80"/>
        <v/>
      </c>
      <c r="DY102" s="74" t="str">
        <f t="shared" ca="1" si="80"/>
        <v/>
      </c>
      <c r="DZ102" s="74" t="str">
        <f t="shared" ca="1" si="80"/>
        <v/>
      </c>
      <c r="EA102" s="74" t="str">
        <f t="shared" ca="1" si="77"/>
        <v/>
      </c>
      <c r="EB102" s="74" t="str">
        <f t="shared" ca="1" si="77"/>
        <v/>
      </c>
      <c r="EC102" s="74" t="str">
        <f t="shared" ca="1" si="77"/>
        <v/>
      </c>
      <c r="ED102" s="74" t="str">
        <f t="shared" ca="1" si="77"/>
        <v/>
      </c>
      <c r="EE102" s="74" t="str">
        <f t="shared" ca="1" si="77"/>
        <v/>
      </c>
      <c r="EF102" s="74" t="str">
        <f t="shared" ca="1" si="77"/>
        <v/>
      </c>
      <c r="EG102" s="74" t="str">
        <f t="shared" ca="1" si="77"/>
        <v/>
      </c>
      <c r="EH102" s="74" t="str">
        <f t="shared" ca="1" si="77"/>
        <v/>
      </c>
      <c r="EI102" s="74" t="str">
        <f t="shared" ca="1" si="77"/>
        <v/>
      </c>
      <c r="EJ102" s="74" t="str">
        <f t="shared" ca="1" si="77"/>
        <v/>
      </c>
      <c r="EK102" s="75" t="str">
        <f t="shared" ca="1" si="77"/>
        <v/>
      </c>
      <c r="EL102" s="75" t="str">
        <f t="shared" ca="1" si="77"/>
        <v/>
      </c>
      <c r="EM102" s="75" t="str">
        <f t="shared" ca="1" si="77"/>
        <v/>
      </c>
      <c r="EN102" s="75" t="str">
        <f t="shared" ca="1" si="77"/>
        <v/>
      </c>
      <c r="EO102" s="75" t="str">
        <f t="shared" ca="1" si="77"/>
        <v/>
      </c>
      <c r="EP102" s="75" t="str">
        <f t="shared" ca="1" si="77"/>
        <v/>
      </c>
      <c r="EQ102" s="75" t="str">
        <f t="shared" ca="1" si="81"/>
        <v/>
      </c>
      <c r="ER102" s="75" t="str">
        <f t="shared" ca="1" si="81"/>
        <v/>
      </c>
      <c r="ES102" s="75" t="str">
        <f t="shared" ca="1" si="81"/>
        <v/>
      </c>
      <c r="ET102" s="75" t="str">
        <f t="shared" ca="1" si="81"/>
        <v/>
      </c>
      <c r="EU102" s="75" t="str">
        <f t="shared" ca="1" si="81"/>
        <v/>
      </c>
      <c r="EV102" s="75" t="str">
        <f t="shared" ca="1" si="81"/>
        <v/>
      </c>
      <c r="EW102" s="75" t="str">
        <f t="shared" ca="1" si="81"/>
        <v/>
      </c>
      <c r="EX102" s="75" t="str">
        <f t="shared" ca="1" si="81"/>
        <v/>
      </c>
      <c r="EY102" s="75" t="str">
        <f t="shared" ca="1" si="81"/>
        <v/>
      </c>
      <c r="EZ102" s="75" t="str">
        <f t="shared" ca="1" si="81"/>
        <v/>
      </c>
      <c r="FA102" s="75" t="str">
        <f t="shared" ca="1" si="81"/>
        <v/>
      </c>
      <c r="FB102" s="75" t="str">
        <f t="shared" ca="1" si="81"/>
        <v/>
      </c>
      <c r="FC102" s="76" t="str">
        <f t="shared" ca="1" si="81"/>
        <v/>
      </c>
      <c r="FD102" s="74" t="str">
        <f t="shared" ca="1" si="81"/>
        <v/>
      </c>
      <c r="FE102" s="74" t="str">
        <f t="shared" ca="1" si="81"/>
        <v/>
      </c>
      <c r="FF102" s="74" t="str">
        <f t="shared" ca="1" si="81"/>
        <v/>
      </c>
      <c r="FG102" s="74" t="str">
        <f t="shared" ca="1" si="86"/>
        <v/>
      </c>
      <c r="FH102" s="74" t="str">
        <f t="shared" ca="1" si="86"/>
        <v/>
      </c>
      <c r="FI102" s="74" t="str">
        <f t="shared" ca="1" si="86"/>
        <v/>
      </c>
      <c r="FJ102" s="74" t="str">
        <f t="shared" ca="1" si="86"/>
        <v/>
      </c>
      <c r="FK102" s="74" t="str">
        <f t="shared" ca="1" si="86"/>
        <v/>
      </c>
      <c r="FL102" s="74" t="str">
        <f t="shared" ca="1" si="86"/>
        <v/>
      </c>
      <c r="FM102" s="74" t="str">
        <f t="shared" ca="1" si="86"/>
        <v/>
      </c>
      <c r="FN102" s="74" t="str">
        <f t="shared" ca="1" si="86"/>
        <v/>
      </c>
      <c r="FO102" s="74" t="str">
        <f t="shared" ca="1" si="86"/>
        <v/>
      </c>
      <c r="FP102" s="74" t="str">
        <f t="shared" ca="1" si="86"/>
        <v/>
      </c>
      <c r="FQ102" s="74" t="str">
        <f t="shared" ca="1" si="86"/>
        <v/>
      </c>
      <c r="FR102" s="74" t="str">
        <f t="shared" ca="1" si="86"/>
        <v/>
      </c>
      <c r="FS102" s="74" t="str">
        <f t="shared" ca="1" si="86"/>
        <v/>
      </c>
      <c r="FT102" s="74" t="str">
        <f t="shared" ca="1" si="86"/>
        <v/>
      </c>
    </row>
    <row r="103" spans="1:176" x14ac:dyDescent="0.35">
      <c r="A103" s="74"/>
      <c r="B103" s="74" t="str">
        <f t="shared" ca="1" si="83"/>
        <v/>
      </c>
      <c r="C103" s="74" t="str">
        <f t="shared" ca="1" si="83"/>
        <v/>
      </c>
      <c r="D103" s="74" t="str">
        <f t="shared" ca="1" si="83"/>
        <v/>
      </c>
      <c r="E103" s="74" t="str">
        <f t="shared" ca="1" si="83"/>
        <v/>
      </c>
      <c r="F103" t="str">
        <f t="shared" ca="1" si="83"/>
        <v/>
      </c>
      <c r="G103" t="str">
        <f t="shared" ca="1" si="83"/>
        <v/>
      </c>
      <c r="H103" t="str">
        <f t="shared" ca="1" si="83"/>
        <v/>
      </c>
      <c r="I103" s="74" t="str">
        <f t="shared" ca="1" si="83"/>
        <v/>
      </c>
      <c r="J103" s="74" t="str">
        <f t="shared" ca="1" si="83"/>
        <v/>
      </c>
      <c r="K103" s="74" t="str">
        <f t="shared" ca="1" si="83"/>
        <v/>
      </c>
      <c r="L103" s="74" t="str">
        <f t="shared" ca="1" si="83"/>
        <v/>
      </c>
      <c r="M103" s="74" t="str">
        <f t="shared" ca="1" si="83"/>
        <v/>
      </c>
      <c r="N103" s="74" t="str">
        <f t="shared" ca="1" si="83"/>
        <v/>
      </c>
      <c r="O103" s="74" t="str">
        <f t="shared" ca="1" si="83"/>
        <v/>
      </c>
      <c r="P103" s="74" t="str">
        <f t="shared" ca="1" si="83"/>
        <v/>
      </c>
      <c r="Q103" s="74" t="str">
        <f t="shared" ca="1" si="83"/>
        <v/>
      </c>
      <c r="R103" s="74" t="str">
        <f t="shared" ca="1" si="83"/>
        <v/>
      </c>
      <c r="S103" s="74" t="str">
        <f t="shared" ca="1" si="83"/>
        <v/>
      </c>
      <c r="T103" s="74" t="str">
        <f t="shared" ca="1" si="85"/>
        <v/>
      </c>
      <c r="U103" s="74" t="str">
        <f t="shared" ca="1" si="85"/>
        <v/>
      </c>
      <c r="V103" s="74" t="str">
        <f t="shared" ca="1" si="85"/>
        <v/>
      </c>
      <c r="W103" s="74" t="str">
        <f t="shared" ca="1" si="85"/>
        <v/>
      </c>
      <c r="X103" s="74" t="str">
        <f t="shared" ca="1" si="85"/>
        <v/>
      </c>
      <c r="Y103" s="74" t="str">
        <f t="shared" ca="1" si="85"/>
        <v/>
      </c>
      <c r="Z103" s="74" t="str">
        <f t="shared" ca="1" si="85"/>
        <v/>
      </c>
      <c r="AA103" s="74" t="str">
        <f t="shared" ca="1" si="85"/>
        <v/>
      </c>
      <c r="AB103" s="75" t="str">
        <f t="shared" ca="1" si="85"/>
        <v/>
      </c>
      <c r="AC103" s="75" t="str">
        <f t="shared" ca="1" si="85"/>
        <v/>
      </c>
      <c r="AD103" s="75" t="str">
        <f t="shared" ca="1" si="85"/>
        <v/>
      </c>
      <c r="AE103" s="75" t="str">
        <f t="shared" ca="1" si="85"/>
        <v/>
      </c>
      <c r="AF103" s="75" t="str">
        <f t="shared" ca="1" si="85"/>
        <v/>
      </c>
      <c r="AG103" s="75" t="str">
        <f t="shared" ca="1" si="85"/>
        <v/>
      </c>
      <c r="AH103" s="75" t="str">
        <f t="shared" ca="1" si="85"/>
        <v/>
      </c>
      <c r="AI103" s="75" t="str">
        <f t="shared" ca="1" si="84"/>
        <v/>
      </c>
      <c r="AJ103" s="75" t="str">
        <f t="shared" ca="1" si="84"/>
        <v/>
      </c>
      <c r="AK103" s="75" t="str">
        <f t="shared" ca="1" si="84"/>
        <v/>
      </c>
      <c r="AL103" s="75" t="str">
        <f t="shared" ca="1" si="84"/>
        <v/>
      </c>
      <c r="AM103" s="75" t="str">
        <f t="shared" ca="1" si="84"/>
        <v/>
      </c>
      <c r="AN103" s="75" t="str">
        <f t="shared" ca="1" si="84"/>
        <v/>
      </c>
      <c r="AO103" s="75" t="str">
        <f t="shared" ca="1" si="84"/>
        <v/>
      </c>
      <c r="AP103" s="75" t="str">
        <f t="shared" ca="1" si="84"/>
        <v/>
      </c>
      <c r="AQ103" s="75" t="str">
        <f t="shared" ca="1" si="84"/>
        <v/>
      </c>
      <c r="AR103" s="75" t="str">
        <f t="shared" ca="1" si="84"/>
        <v/>
      </c>
      <c r="AS103" s="75" t="str">
        <f t="shared" ca="1" si="84"/>
        <v/>
      </c>
      <c r="AT103" s="75" t="str">
        <f t="shared" ca="1" si="84"/>
        <v/>
      </c>
      <c r="AU103" s="74" t="str">
        <f t="shared" ca="1" si="84"/>
        <v/>
      </c>
      <c r="AV103" s="74" t="str">
        <f t="shared" ca="1" si="84"/>
        <v/>
      </c>
      <c r="AW103" s="74" t="str">
        <f t="shared" ca="1" si="82"/>
        <v/>
      </c>
      <c r="AX103" s="74" t="str">
        <f t="shared" ca="1" si="82"/>
        <v/>
      </c>
      <c r="AY103" s="74" t="str">
        <f t="shared" ca="1" si="78"/>
        <v/>
      </c>
      <c r="AZ103" s="74" t="str">
        <f t="shared" ca="1" si="78"/>
        <v/>
      </c>
      <c r="BA103" s="74" t="str">
        <f t="shared" ca="1" si="78"/>
        <v/>
      </c>
      <c r="BB103" s="74" t="str">
        <f t="shared" ca="1" si="78"/>
        <v/>
      </c>
      <c r="BC103" s="74" t="str">
        <f t="shared" ca="1" si="78"/>
        <v/>
      </c>
      <c r="BD103" s="74" t="str">
        <f t="shared" ca="1" si="78"/>
        <v/>
      </c>
      <c r="BE103" s="74" t="str">
        <f t="shared" ca="1" si="78"/>
        <v/>
      </c>
      <c r="BF103" s="74" t="str">
        <f t="shared" ca="1" si="78"/>
        <v/>
      </c>
      <c r="BG103" s="74" t="str">
        <f t="shared" ca="1" si="78"/>
        <v/>
      </c>
      <c r="BH103" s="74" t="str">
        <f t="shared" ca="1" si="78"/>
        <v/>
      </c>
      <c r="BI103" s="74" t="str">
        <f t="shared" ca="1" si="78"/>
        <v/>
      </c>
      <c r="BJ103" s="74" t="str">
        <f t="shared" ca="1" si="78"/>
        <v/>
      </c>
      <c r="BK103" s="74" t="str">
        <f t="shared" ca="1" si="78"/>
        <v/>
      </c>
      <c r="BL103" s="74" t="str">
        <f t="shared" ca="1" si="78"/>
        <v/>
      </c>
      <c r="BM103" s="74" t="str">
        <f t="shared" ca="1" si="78"/>
        <v/>
      </c>
      <c r="BN103" s="75" t="str">
        <f t="shared" ca="1" si="78"/>
        <v/>
      </c>
      <c r="BO103" s="75" t="str">
        <f t="shared" ca="1" si="75"/>
        <v/>
      </c>
      <c r="BP103" s="75" t="str">
        <f t="shared" ca="1" si="75"/>
        <v/>
      </c>
      <c r="BQ103" s="75" t="str">
        <f t="shared" ca="1" si="75"/>
        <v/>
      </c>
      <c r="BR103" s="75" t="str">
        <f t="shared" ca="1" si="75"/>
        <v/>
      </c>
      <c r="BS103" s="75" t="str">
        <f t="shared" ca="1" si="75"/>
        <v/>
      </c>
      <c r="BT103" s="75" t="str">
        <f t="shared" ca="1" si="75"/>
        <v/>
      </c>
      <c r="BU103" s="75" t="str">
        <f t="shared" ca="1" si="75"/>
        <v/>
      </c>
      <c r="BV103" s="75" t="str">
        <f t="shared" ca="1" si="75"/>
        <v/>
      </c>
      <c r="BW103" s="75" t="str">
        <f t="shared" ca="1" si="75"/>
        <v/>
      </c>
      <c r="BX103" s="75" t="str">
        <f t="shared" ca="1" si="75"/>
        <v/>
      </c>
      <c r="BY103" s="75" t="str">
        <f t="shared" ca="1" si="75"/>
        <v/>
      </c>
      <c r="BZ103" s="75" t="str">
        <f t="shared" ca="1" si="75"/>
        <v/>
      </c>
      <c r="CA103" s="75" t="str">
        <f t="shared" ca="1" si="75"/>
        <v/>
      </c>
      <c r="CB103" s="75" t="str">
        <f t="shared" ca="1" si="75"/>
        <v/>
      </c>
      <c r="CC103" s="75" t="str">
        <f t="shared" ca="1" si="75"/>
        <v/>
      </c>
      <c r="CD103" s="75" t="str">
        <f t="shared" ca="1" si="75"/>
        <v/>
      </c>
      <c r="CE103" s="75" t="str">
        <f t="shared" ca="1" si="79"/>
        <v/>
      </c>
      <c r="CF103" s="75" t="str">
        <f t="shared" ca="1" si="79"/>
        <v/>
      </c>
      <c r="CG103" s="74" t="str">
        <f t="shared" ca="1" si="79"/>
        <v/>
      </c>
      <c r="CH103" s="74" t="str">
        <f t="shared" ca="1" si="79"/>
        <v/>
      </c>
      <c r="CI103" s="74" t="str">
        <f t="shared" ca="1" si="79"/>
        <v/>
      </c>
      <c r="CJ103" s="74" t="str">
        <f t="shared" ca="1" si="79"/>
        <v/>
      </c>
      <c r="CK103" s="74" t="str">
        <f t="shared" ca="1" si="79"/>
        <v/>
      </c>
      <c r="CL103" s="74" t="str">
        <f t="shared" ca="1" si="79"/>
        <v/>
      </c>
      <c r="CM103" s="74" t="str">
        <f t="shared" ca="1" si="79"/>
        <v/>
      </c>
      <c r="CN103" s="74" t="str">
        <f t="shared" ca="1" si="79"/>
        <v/>
      </c>
      <c r="CO103" s="74" t="str">
        <f t="shared" ca="1" si="79"/>
        <v/>
      </c>
      <c r="CP103" s="74" t="str">
        <f t="shared" ca="1" si="79"/>
        <v/>
      </c>
      <c r="CQ103" s="74" t="str">
        <f t="shared" ca="1" si="79"/>
        <v/>
      </c>
      <c r="CR103" s="74" t="str">
        <f t="shared" ca="1" si="79"/>
        <v/>
      </c>
      <c r="CS103" s="74" t="str">
        <f t="shared" ca="1" si="79"/>
        <v/>
      </c>
      <c r="CT103" s="74" t="str">
        <f t="shared" ca="1" si="79"/>
        <v/>
      </c>
      <c r="CU103" s="74" t="str">
        <f t="shared" ca="1" si="76"/>
        <v/>
      </c>
      <c r="CV103" s="74" t="str">
        <f t="shared" ca="1" si="76"/>
        <v/>
      </c>
      <c r="CW103" s="74" t="str">
        <f t="shared" ca="1" si="76"/>
        <v/>
      </c>
      <c r="CX103" s="74" t="str">
        <f t="shared" ca="1" si="76"/>
        <v/>
      </c>
      <c r="CY103" s="74" t="str">
        <f t="shared" ca="1" si="76"/>
        <v/>
      </c>
      <c r="CZ103" s="75" t="str">
        <f t="shared" ca="1" si="76"/>
        <v/>
      </c>
      <c r="DA103" s="75" t="str">
        <f t="shared" ca="1" si="76"/>
        <v/>
      </c>
      <c r="DB103" s="75" t="str">
        <f t="shared" ca="1" si="76"/>
        <v/>
      </c>
      <c r="DC103" s="75" t="str">
        <f t="shared" ca="1" si="76"/>
        <v/>
      </c>
      <c r="DD103" s="75" t="str">
        <f t="shared" ca="1" si="76"/>
        <v/>
      </c>
      <c r="DE103" s="75" t="str">
        <f t="shared" ca="1" si="76"/>
        <v/>
      </c>
      <c r="DF103" s="75" t="str">
        <f t="shared" ca="1" si="76"/>
        <v/>
      </c>
      <c r="DG103" s="75" t="str">
        <f t="shared" ca="1" si="76"/>
        <v/>
      </c>
      <c r="DH103" s="75" t="str">
        <f t="shared" ca="1" si="76"/>
        <v/>
      </c>
      <c r="DI103" s="75" t="str">
        <f t="shared" ca="1" si="76"/>
        <v/>
      </c>
      <c r="DJ103" s="75" t="str">
        <f t="shared" ca="1" si="76"/>
        <v/>
      </c>
      <c r="DK103" s="75" t="str">
        <f t="shared" ca="1" si="80"/>
        <v/>
      </c>
      <c r="DL103" s="75" t="str">
        <f t="shared" ca="1" si="80"/>
        <v/>
      </c>
      <c r="DM103" s="75" t="str">
        <f t="shared" ca="1" si="80"/>
        <v/>
      </c>
      <c r="DN103" s="75" t="str">
        <f t="shared" ca="1" si="80"/>
        <v/>
      </c>
      <c r="DO103" s="75" t="str">
        <f t="shared" ca="1" si="80"/>
        <v/>
      </c>
      <c r="DP103" s="75" t="str">
        <f t="shared" ca="1" si="80"/>
        <v/>
      </c>
      <c r="DQ103" s="75" t="str">
        <f t="shared" ca="1" si="80"/>
        <v/>
      </c>
      <c r="DR103" s="75" t="str">
        <f t="shared" ca="1" si="80"/>
        <v/>
      </c>
      <c r="DS103" s="74" t="str">
        <f t="shared" ca="1" si="80"/>
        <v/>
      </c>
      <c r="DT103" s="74" t="str">
        <f t="shared" ca="1" si="80"/>
        <v/>
      </c>
      <c r="DU103" s="74" t="str">
        <f t="shared" ca="1" si="80"/>
        <v/>
      </c>
      <c r="DV103" s="74" t="str">
        <f t="shared" ca="1" si="80"/>
        <v/>
      </c>
      <c r="DW103" s="74" t="str">
        <f t="shared" ca="1" si="80"/>
        <v/>
      </c>
      <c r="DX103" s="74" t="str">
        <f t="shared" ca="1" si="80"/>
        <v/>
      </c>
      <c r="DY103" s="74" t="str">
        <f t="shared" ca="1" si="80"/>
        <v/>
      </c>
      <c r="DZ103" s="74" t="str">
        <f t="shared" ca="1" si="80"/>
        <v/>
      </c>
      <c r="EA103" s="74" t="str">
        <f t="shared" ca="1" si="77"/>
        <v/>
      </c>
      <c r="EB103" s="74" t="str">
        <f t="shared" ca="1" si="77"/>
        <v/>
      </c>
      <c r="EC103" s="74" t="str">
        <f t="shared" ca="1" si="77"/>
        <v/>
      </c>
      <c r="ED103" s="74" t="str">
        <f t="shared" ca="1" si="77"/>
        <v/>
      </c>
      <c r="EE103" s="74" t="str">
        <f t="shared" ca="1" si="77"/>
        <v/>
      </c>
      <c r="EF103" s="74" t="str">
        <f t="shared" ca="1" si="77"/>
        <v/>
      </c>
      <c r="EG103" s="74" t="str">
        <f t="shared" ca="1" si="77"/>
        <v/>
      </c>
      <c r="EH103" s="74" t="str">
        <f t="shared" ca="1" si="77"/>
        <v/>
      </c>
      <c r="EI103" s="74" t="str">
        <f t="shared" ca="1" si="77"/>
        <v/>
      </c>
      <c r="EJ103" s="74" t="str">
        <f t="shared" ca="1" si="77"/>
        <v/>
      </c>
      <c r="EK103" s="75" t="str">
        <f t="shared" ca="1" si="77"/>
        <v/>
      </c>
      <c r="EL103" s="75" t="str">
        <f t="shared" ca="1" si="77"/>
        <v/>
      </c>
      <c r="EM103" s="75" t="str">
        <f t="shared" ca="1" si="77"/>
        <v/>
      </c>
      <c r="EN103" s="75" t="str">
        <f t="shared" ca="1" si="77"/>
        <v/>
      </c>
      <c r="EO103" s="75" t="str">
        <f t="shared" ca="1" si="77"/>
        <v/>
      </c>
      <c r="EP103" s="75" t="str">
        <f t="shared" ca="1" si="77"/>
        <v/>
      </c>
      <c r="EQ103" s="75" t="str">
        <f t="shared" ca="1" si="81"/>
        <v/>
      </c>
      <c r="ER103" s="75" t="str">
        <f t="shared" ca="1" si="81"/>
        <v/>
      </c>
      <c r="ES103" s="75" t="str">
        <f t="shared" ca="1" si="81"/>
        <v/>
      </c>
      <c r="ET103" s="75" t="str">
        <f t="shared" ca="1" si="81"/>
        <v/>
      </c>
      <c r="EU103" s="75" t="str">
        <f t="shared" ca="1" si="81"/>
        <v/>
      </c>
      <c r="EV103" s="75" t="str">
        <f t="shared" ca="1" si="81"/>
        <v/>
      </c>
      <c r="EW103" s="75" t="str">
        <f t="shared" ca="1" si="81"/>
        <v/>
      </c>
      <c r="EX103" s="75" t="str">
        <f t="shared" ca="1" si="81"/>
        <v/>
      </c>
      <c r="EY103" s="75" t="str">
        <f t="shared" ca="1" si="81"/>
        <v/>
      </c>
      <c r="EZ103" s="75" t="str">
        <f t="shared" ca="1" si="81"/>
        <v/>
      </c>
      <c r="FA103" s="75" t="str">
        <f t="shared" ca="1" si="81"/>
        <v/>
      </c>
      <c r="FB103" s="75" t="str">
        <f t="shared" ca="1" si="81"/>
        <v/>
      </c>
      <c r="FC103" s="76" t="str">
        <f t="shared" ca="1" si="81"/>
        <v/>
      </c>
      <c r="FD103" s="74" t="str">
        <f t="shared" ca="1" si="81"/>
        <v/>
      </c>
      <c r="FE103" s="74" t="str">
        <f t="shared" ca="1" si="81"/>
        <v/>
      </c>
      <c r="FF103" s="74" t="str">
        <f t="shared" ca="1" si="81"/>
        <v/>
      </c>
      <c r="FG103" s="74" t="str">
        <f t="shared" ca="1" si="86"/>
        <v/>
      </c>
      <c r="FH103" s="74" t="str">
        <f t="shared" ca="1" si="86"/>
        <v/>
      </c>
      <c r="FI103" s="74" t="str">
        <f t="shared" ca="1" si="86"/>
        <v/>
      </c>
      <c r="FJ103" s="74" t="str">
        <f t="shared" ca="1" si="86"/>
        <v/>
      </c>
      <c r="FK103" s="74" t="str">
        <f t="shared" ca="1" si="86"/>
        <v/>
      </c>
      <c r="FL103" s="74" t="str">
        <f t="shared" ca="1" si="86"/>
        <v/>
      </c>
      <c r="FM103" s="74" t="str">
        <f t="shared" ca="1" si="86"/>
        <v/>
      </c>
      <c r="FN103" s="74" t="str">
        <f t="shared" ca="1" si="86"/>
        <v/>
      </c>
      <c r="FO103" s="74" t="str">
        <f t="shared" ca="1" si="86"/>
        <v/>
      </c>
      <c r="FP103" s="74" t="str">
        <f t="shared" ca="1" si="86"/>
        <v/>
      </c>
      <c r="FQ103" s="74" t="str">
        <f t="shared" ca="1" si="86"/>
        <v/>
      </c>
      <c r="FR103" s="74" t="str">
        <f t="shared" ca="1" si="86"/>
        <v/>
      </c>
      <c r="FS103" s="74" t="str">
        <f t="shared" ca="1" si="86"/>
        <v/>
      </c>
      <c r="FT103" s="74" t="str">
        <f t="shared" ca="1" si="86"/>
        <v/>
      </c>
    </row>
    <row r="104" spans="1:176" x14ac:dyDescent="0.35">
      <c r="A104" s="74"/>
      <c r="B104" s="74" t="str">
        <f t="shared" ca="1" si="83"/>
        <v/>
      </c>
      <c r="C104" s="74" t="str">
        <f t="shared" ca="1" si="83"/>
        <v/>
      </c>
      <c r="D104" s="74" t="str">
        <f t="shared" ca="1" si="83"/>
        <v/>
      </c>
      <c r="E104" s="74" t="str">
        <f t="shared" ca="1" si="83"/>
        <v/>
      </c>
      <c r="F104" t="str">
        <f t="shared" ca="1" si="83"/>
        <v/>
      </c>
      <c r="G104" t="str">
        <f t="shared" ca="1" si="83"/>
        <v/>
      </c>
      <c r="H104" t="str">
        <f t="shared" ca="1" si="83"/>
        <v/>
      </c>
      <c r="I104" s="74" t="str">
        <f t="shared" ca="1" si="83"/>
        <v/>
      </c>
      <c r="J104" s="74" t="str">
        <f t="shared" ca="1" si="83"/>
        <v/>
      </c>
      <c r="K104" s="74" t="str">
        <f t="shared" ca="1" si="83"/>
        <v/>
      </c>
      <c r="L104" s="74" t="str">
        <f t="shared" ca="1" si="83"/>
        <v/>
      </c>
      <c r="M104" s="74" t="str">
        <f t="shared" ca="1" si="83"/>
        <v/>
      </c>
      <c r="N104" s="74" t="str">
        <f t="shared" ca="1" si="83"/>
        <v/>
      </c>
      <c r="O104" s="74" t="str">
        <f t="shared" ca="1" si="83"/>
        <v/>
      </c>
      <c r="P104" s="74" t="str">
        <f t="shared" ca="1" si="83"/>
        <v/>
      </c>
      <c r="Q104" s="74" t="str">
        <f t="shared" ca="1" si="83"/>
        <v/>
      </c>
      <c r="R104" s="74" t="str">
        <f t="shared" ca="1" si="83"/>
        <v/>
      </c>
      <c r="S104" s="74" t="str">
        <f t="shared" ca="1" si="83"/>
        <v/>
      </c>
      <c r="T104" s="74" t="str">
        <f t="shared" ca="1" si="85"/>
        <v/>
      </c>
      <c r="U104" s="74" t="str">
        <f t="shared" ca="1" si="85"/>
        <v/>
      </c>
      <c r="V104" s="74" t="str">
        <f t="shared" ca="1" si="85"/>
        <v/>
      </c>
      <c r="W104" s="74" t="str">
        <f t="shared" ca="1" si="85"/>
        <v/>
      </c>
      <c r="X104" s="74" t="str">
        <f t="shared" ca="1" si="85"/>
        <v/>
      </c>
      <c r="Y104" s="74" t="str">
        <f t="shared" ca="1" si="85"/>
        <v/>
      </c>
      <c r="Z104" s="74" t="str">
        <f t="shared" ca="1" si="85"/>
        <v/>
      </c>
      <c r="AA104" s="74" t="str">
        <f t="shared" ca="1" si="85"/>
        <v/>
      </c>
      <c r="AB104" s="75" t="str">
        <f t="shared" ca="1" si="85"/>
        <v/>
      </c>
      <c r="AC104" s="75" t="str">
        <f t="shared" ca="1" si="85"/>
        <v/>
      </c>
      <c r="AD104" s="75" t="str">
        <f t="shared" ca="1" si="85"/>
        <v/>
      </c>
      <c r="AE104" s="75" t="str">
        <f t="shared" ca="1" si="85"/>
        <v/>
      </c>
      <c r="AF104" s="75" t="str">
        <f t="shared" ca="1" si="85"/>
        <v/>
      </c>
      <c r="AG104" s="75" t="str">
        <f t="shared" ca="1" si="85"/>
        <v/>
      </c>
      <c r="AH104" s="75" t="str">
        <f t="shared" ca="1" si="85"/>
        <v/>
      </c>
      <c r="AI104" s="75" t="str">
        <f t="shared" ca="1" si="84"/>
        <v/>
      </c>
      <c r="AJ104" s="75" t="str">
        <f t="shared" ca="1" si="84"/>
        <v/>
      </c>
      <c r="AK104" s="75" t="str">
        <f t="shared" ca="1" si="84"/>
        <v/>
      </c>
      <c r="AL104" s="75" t="str">
        <f t="shared" ca="1" si="84"/>
        <v/>
      </c>
      <c r="AM104" s="75" t="str">
        <f t="shared" ca="1" si="84"/>
        <v/>
      </c>
      <c r="AN104" s="75" t="str">
        <f t="shared" ca="1" si="84"/>
        <v/>
      </c>
      <c r="AO104" s="75" t="str">
        <f t="shared" ca="1" si="84"/>
        <v/>
      </c>
      <c r="AP104" s="75" t="str">
        <f t="shared" ca="1" si="84"/>
        <v/>
      </c>
      <c r="AQ104" s="75" t="str">
        <f t="shared" ca="1" si="84"/>
        <v/>
      </c>
      <c r="AR104" s="75" t="str">
        <f t="shared" ca="1" si="84"/>
        <v/>
      </c>
      <c r="AS104" s="75" t="str">
        <f t="shared" ca="1" si="84"/>
        <v/>
      </c>
      <c r="AT104" s="75" t="str">
        <f t="shared" ca="1" si="84"/>
        <v/>
      </c>
      <c r="AU104" s="74" t="str">
        <f t="shared" ca="1" si="84"/>
        <v/>
      </c>
      <c r="AV104" s="74" t="str">
        <f t="shared" ca="1" si="84"/>
        <v/>
      </c>
      <c r="AW104" s="74" t="str">
        <f t="shared" ca="1" si="82"/>
        <v/>
      </c>
      <c r="AX104" s="74" t="str">
        <f t="shared" ca="1" si="82"/>
        <v/>
      </c>
      <c r="AY104" s="74" t="str">
        <f t="shared" ca="1" si="78"/>
        <v/>
      </c>
      <c r="AZ104" s="74" t="str">
        <f t="shared" ca="1" si="78"/>
        <v/>
      </c>
      <c r="BA104" s="74" t="str">
        <f t="shared" ca="1" si="78"/>
        <v/>
      </c>
      <c r="BB104" s="74" t="str">
        <f t="shared" ca="1" si="78"/>
        <v/>
      </c>
      <c r="BC104" s="74" t="str">
        <f t="shared" ca="1" si="78"/>
        <v/>
      </c>
      <c r="BD104" s="74" t="str">
        <f t="shared" ca="1" si="78"/>
        <v/>
      </c>
      <c r="BE104" s="74" t="str">
        <f t="shared" ca="1" si="78"/>
        <v/>
      </c>
      <c r="BF104" s="74" t="str">
        <f t="shared" ca="1" si="78"/>
        <v/>
      </c>
      <c r="BG104" s="74" t="str">
        <f t="shared" ca="1" si="78"/>
        <v/>
      </c>
      <c r="BH104" s="74" t="str">
        <f t="shared" ca="1" si="78"/>
        <v/>
      </c>
      <c r="BI104" s="74" t="str">
        <f t="shared" ca="1" si="78"/>
        <v/>
      </c>
      <c r="BJ104" s="74" t="str">
        <f t="shared" ca="1" si="78"/>
        <v/>
      </c>
      <c r="BK104" s="74" t="str">
        <f t="shared" ca="1" si="78"/>
        <v/>
      </c>
      <c r="BL104" s="74" t="str">
        <f t="shared" ca="1" si="78"/>
        <v/>
      </c>
      <c r="BM104" s="74" t="str">
        <f t="shared" ca="1" si="78"/>
        <v/>
      </c>
      <c r="BN104" s="75" t="str">
        <f t="shared" ca="1" si="78"/>
        <v/>
      </c>
      <c r="BO104" s="75" t="str">
        <f t="shared" ca="1" si="75"/>
        <v/>
      </c>
      <c r="BP104" s="75" t="str">
        <f t="shared" ca="1" si="75"/>
        <v/>
      </c>
      <c r="BQ104" s="75" t="str">
        <f t="shared" ca="1" si="75"/>
        <v/>
      </c>
      <c r="BR104" s="75" t="str">
        <f t="shared" ca="1" si="75"/>
        <v/>
      </c>
      <c r="BS104" s="75" t="str">
        <f t="shared" ca="1" si="75"/>
        <v/>
      </c>
      <c r="BT104" s="75" t="str">
        <f t="shared" ca="1" si="75"/>
        <v/>
      </c>
      <c r="BU104" s="75" t="str">
        <f t="shared" ca="1" si="75"/>
        <v/>
      </c>
      <c r="BV104" s="75" t="str">
        <f t="shared" ca="1" si="75"/>
        <v/>
      </c>
      <c r="BW104" s="75" t="str">
        <f t="shared" ca="1" si="75"/>
        <v/>
      </c>
      <c r="BX104" s="75" t="str">
        <f t="shared" ca="1" si="75"/>
        <v/>
      </c>
      <c r="BY104" s="75" t="str">
        <f t="shared" ca="1" si="75"/>
        <v/>
      </c>
      <c r="BZ104" s="75" t="str">
        <f t="shared" ca="1" si="75"/>
        <v/>
      </c>
      <c r="CA104" s="75" t="str">
        <f t="shared" ca="1" si="75"/>
        <v/>
      </c>
      <c r="CB104" s="75" t="str">
        <f t="shared" ca="1" si="75"/>
        <v/>
      </c>
      <c r="CC104" s="75" t="str">
        <f t="shared" ca="1" si="75"/>
        <v/>
      </c>
      <c r="CD104" s="75" t="str">
        <f t="shared" ca="1" si="75"/>
        <v/>
      </c>
      <c r="CE104" s="75" t="str">
        <f t="shared" ca="1" si="79"/>
        <v/>
      </c>
      <c r="CF104" s="75" t="str">
        <f t="shared" ca="1" si="79"/>
        <v/>
      </c>
      <c r="CG104" s="74" t="str">
        <f t="shared" ca="1" si="79"/>
        <v/>
      </c>
      <c r="CH104" s="74" t="str">
        <f t="shared" ca="1" si="79"/>
        <v/>
      </c>
      <c r="CI104" s="74" t="str">
        <f t="shared" ca="1" si="79"/>
        <v/>
      </c>
      <c r="CJ104" s="74" t="str">
        <f t="shared" ca="1" si="79"/>
        <v/>
      </c>
      <c r="CK104" s="74" t="str">
        <f t="shared" ca="1" si="79"/>
        <v/>
      </c>
      <c r="CL104" s="74" t="str">
        <f t="shared" ca="1" si="79"/>
        <v/>
      </c>
      <c r="CM104" s="74" t="str">
        <f t="shared" ca="1" si="79"/>
        <v/>
      </c>
      <c r="CN104" s="74" t="str">
        <f t="shared" ca="1" si="79"/>
        <v/>
      </c>
      <c r="CO104" s="74" t="str">
        <f t="shared" ca="1" si="79"/>
        <v/>
      </c>
      <c r="CP104" s="74" t="str">
        <f t="shared" ca="1" si="79"/>
        <v/>
      </c>
      <c r="CQ104" s="74" t="str">
        <f t="shared" ca="1" si="79"/>
        <v/>
      </c>
      <c r="CR104" s="74" t="str">
        <f t="shared" ca="1" si="79"/>
        <v/>
      </c>
      <c r="CS104" s="74" t="str">
        <f t="shared" ca="1" si="79"/>
        <v/>
      </c>
      <c r="CT104" s="74" t="str">
        <f t="shared" ca="1" si="79"/>
        <v/>
      </c>
      <c r="CU104" s="74" t="str">
        <f t="shared" ca="1" si="76"/>
        <v/>
      </c>
      <c r="CV104" s="74" t="str">
        <f t="shared" ca="1" si="76"/>
        <v/>
      </c>
      <c r="CW104" s="74" t="str">
        <f t="shared" ca="1" si="76"/>
        <v/>
      </c>
      <c r="CX104" s="74" t="str">
        <f t="shared" ca="1" si="76"/>
        <v/>
      </c>
      <c r="CY104" s="74" t="str">
        <f t="shared" ca="1" si="76"/>
        <v/>
      </c>
      <c r="CZ104" s="75" t="str">
        <f t="shared" ca="1" si="76"/>
        <v/>
      </c>
      <c r="DA104" s="75" t="str">
        <f t="shared" ca="1" si="76"/>
        <v/>
      </c>
      <c r="DB104" s="75" t="str">
        <f t="shared" ca="1" si="76"/>
        <v/>
      </c>
      <c r="DC104" s="75" t="str">
        <f t="shared" ca="1" si="76"/>
        <v/>
      </c>
      <c r="DD104" s="75" t="str">
        <f t="shared" ca="1" si="76"/>
        <v/>
      </c>
      <c r="DE104" s="75" t="str">
        <f t="shared" ca="1" si="76"/>
        <v/>
      </c>
      <c r="DF104" s="75" t="str">
        <f t="shared" ca="1" si="76"/>
        <v/>
      </c>
      <c r="DG104" s="75" t="str">
        <f t="shared" ca="1" si="76"/>
        <v/>
      </c>
      <c r="DH104" s="75" t="str">
        <f t="shared" ca="1" si="76"/>
        <v/>
      </c>
      <c r="DI104" s="75" t="str">
        <f t="shared" ca="1" si="76"/>
        <v/>
      </c>
      <c r="DJ104" s="75" t="str">
        <f t="shared" ca="1" si="76"/>
        <v/>
      </c>
      <c r="DK104" s="75" t="str">
        <f t="shared" ca="1" si="80"/>
        <v/>
      </c>
      <c r="DL104" s="75" t="str">
        <f t="shared" ca="1" si="80"/>
        <v/>
      </c>
      <c r="DM104" s="75" t="str">
        <f t="shared" ca="1" si="80"/>
        <v/>
      </c>
      <c r="DN104" s="75" t="str">
        <f t="shared" ca="1" si="80"/>
        <v/>
      </c>
      <c r="DO104" s="75" t="str">
        <f t="shared" ca="1" si="80"/>
        <v/>
      </c>
      <c r="DP104" s="75" t="str">
        <f t="shared" ca="1" si="80"/>
        <v/>
      </c>
      <c r="DQ104" s="75" t="str">
        <f t="shared" ca="1" si="80"/>
        <v/>
      </c>
      <c r="DR104" s="75" t="str">
        <f t="shared" ca="1" si="80"/>
        <v/>
      </c>
      <c r="DS104" s="74" t="str">
        <f t="shared" ca="1" si="80"/>
        <v/>
      </c>
      <c r="DT104" s="74" t="str">
        <f t="shared" ca="1" si="80"/>
        <v/>
      </c>
      <c r="DU104" s="74" t="str">
        <f t="shared" ca="1" si="80"/>
        <v/>
      </c>
      <c r="DV104" s="74" t="str">
        <f t="shared" ca="1" si="80"/>
        <v/>
      </c>
      <c r="DW104" s="74" t="str">
        <f t="shared" ca="1" si="80"/>
        <v/>
      </c>
      <c r="DX104" s="74" t="str">
        <f t="shared" ca="1" si="80"/>
        <v/>
      </c>
      <c r="DY104" s="74" t="str">
        <f t="shared" ca="1" si="80"/>
        <v/>
      </c>
      <c r="DZ104" s="74" t="str">
        <f t="shared" ca="1" si="80"/>
        <v/>
      </c>
      <c r="EA104" s="74" t="str">
        <f t="shared" ca="1" si="77"/>
        <v/>
      </c>
      <c r="EB104" s="74" t="str">
        <f t="shared" ca="1" si="77"/>
        <v/>
      </c>
      <c r="EC104" s="74" t="str">
        <f t="shared" ca="1" si="77"/>
        <v/>
      </c>
      <c r="ED104" s="74" t="str">
        <f t="shared" ca="1" si="77"/>
        <v/>
      </c>
      <c r="EE104" s="74" t="str">
        <f t="shared" ca="1" si="77"/>
        <v/>
      </c>
      <c r="EF104" s="74" t="str">
        <f t="shared" ca="1" si="77"/>
        <v/>
      </c>
      <c r="EG104" s="74" t="str">
        <f t="shared" ca="1" si="77"/>
        <v/>
      </c>
      <c r="EH104" s="74" t="str">
        <f t="shared" ca="1" si="77"/>
        <v/>
      </c>
      <c r="EI104" s="74" t="str">
        <f t="shared" ca="1" si="77"/>
        <v/>
      </c>
      <c r="EJ104" s="74" t="str">
        <f t="shared" ca="1" si="77"/>
        <v/>
      </c>
      <c r="EK104" s="75" t="str">
        <f t="shared" ca="1" si="77"/>
        <v/>
      </c>
      <c r="EL104" s="75" t="str">
        <f t="shared" ca="1" si="77"/>
        <v/>
      </c>
      <c r="EM104" s="75" t="str">
        <f t="shared" ca="1" si="77"/>
        <v/>
      </c>
      <c r="EN104" s="75" t="str">
        <f t="shared" ca="1" si="77"/>
        <v/>
      </c>
      <c r="EO104" s="75" t="str">
        <f t="shared" ca="1" si="77"/>
        <v/>
      </c>
      <c r="EP104" s="75" t="str">
        <f t="shared" ca="1" si="77"/>
        <v/>
      </c>
      <c r="EQ104" s="75" t="str">
        <f t="shared" ca="1" si="81"/>
        <v/>
      </c>
      <c r="ER104" s="75" t="str">
        <f t="shared" ca="1" si="81"/>
        <v/>
      </c>
      <c r="ES104" s="75" t="str">
        <f t="shared" ca="1" si="81"/>
        <v/>
      </c>
      <c r="ET104" s="75" t="str">
        <f t="shared" ca="1" si="81"/>
        <v/>
      </c>
      <c r="EU104" s="75" t="str">
        <f t="shared" ca="1" si="81"/>
        <v/>
      </c>
      <c r="EV104" s="75" t="str">
        <f t="shared" ca="1" si="81"/>
        <v/>
      </c>
      <c r="EW104" s="75" t="str">
        <f t="shared" ca="1" si="81"/>
        <v/>
      </c>
      <c r="EX104" s="75" t="str">
        <f t="shared" ca="1" si="81"/>
        <v/>
      </c>
      <c r="EY104" s="75" t="str">
        <f t="shared" ca="1" si="81"/>
        <v/>
      </c>
      <c r="EZ104" s="75" t="str">
        <f t="shared" ca="1" si="81"/>
        <v/>
      </c>
      <c r="FA104" s="75" t="str">
        <f t="shared" ca="1" si="81"/>
        <v/>
      </c>
      <c r="FB104" s="75" t="str">
        <f t="shared" ca="1" si="81"/>
        <v/>
      </c>
      <c r="FC104" s="76" t="str">
        <f t="shared" ca="1" si="81"/>
        <v/>
      </c>
      <c r="FD104" s="74" t="str">
        <f t="shared" ca="1" si="81"/>
        <v/>
      </c>
      <c r="FE104" s="74" t="str">
        <f t="shared" ca="1" si="81"/>
        <v/>
      </c>
      <c r="FF104" s="74" t="str">
        <f t="shared" ca="1" si="81"/>
        <v/>
      </c>
      <c r="FG104" s="74" t="str">
        <f t="shared" ca="1" si="86"/>
        <v/>
      </c>
      <c r="FH104" s="74" t="str">
        <f t="shared" ca="1" si="86"/>
        <v/>
      </c>
      <c r="FI104" s="74" t="str">
        <f t="shared" ca="1" si="86"/>
        <v/>
      </c>
      <c r="FJ104" s="74" t="str">
        <f t="shared" ca="1" si="86"/>
        <v/>
      </c>
      <c r="FK104" s="74" t="str">
        <f t="shared" ca="1" si="86"/>
        <v/>
      </c>
      <c r="FL104" s="74" t="str">
        <f t="shared" ca="1" si="86"/>
        <v/>
      </c>
      <c r="FM104" s="74" t="str">
        <f t="shared" ca="1" si="86"/>
        <v/>
      </c>
      <c r="FN104" s="74" t="str">
        <f t="shared" ca="1" si="86"/>
        <v/>
      </c>
      <c r="FO104" s="74" t="str">
        <f t="shared" ca="1" si="86"/>
        <v/>
      </c>
      <c r="FP104" s="74" t="str">
        <f t="shared" ca="1" si="86"/>
        <v/>
      </c>
      <c r="FQ104" s="74" t="str">
        <f t="shared" ca="1" si="86"/>
        <v/>
      </c>
      <c r="FR104" s="74" t="str">
        <f t="shared" ca="1" si="86"/>
        <v/>
      </c>
      <c r="FS104" s="74" t="str">
        <f t="shared" ca="1" si="86"/>
        <v/>
      </c>
      <c r="FT104" s="74" t="str">
        <f t="shared" ca="1" si="86"/>
        <v/>
      </c>
    </row>
    <row r="105" spans="1:176" x14ac:dyDescent="0.35">
      <c r="A105" s="74"/>
      <c r="B105" s="74" t="str">
        <f t="shared" ca="1" si="83"/>
        <v/>
      </c>
      <c r="C105" s="74" t="str">
        <f t="shared" ca="1" si="83"/>
        <v/>
      </c>
      <c r="D105" s="74" t="str">
        <f t="shared" ca="1" si="83"/>
        <v/>
      </c>
      <c r="E105" s="74" t="str">
        <f t="shared" ca="1" si="83"/>
        <v/>
      </c>
      <c r="F105" t="str">
        <f t="shared" ca="1" si="83"/>
        <v/>
      </c>
      <c r="G105" t="str">
        <f t="shared" ca="1" si="83"/>
        <v/>
      </c>
      <c r="H105" t="str">
        <f t="shared" ca="1" si="83"/>
        <v/>
      </c>
      <c r="I105" s="74" t="str">
        <f t="shared" ca="1" si="83"/>
        <v/>
      </c>
      <c r="J105" s="74" t="str">
        <f t="shared" ca="1" si="83"/>
        <v/>
      </c>
      <c r="K105" s="74" t="str">
        <f t="shared" ca="1" si="83"/>
        <v/>
      </c>
      <c r="L105" s="74" t="str">
        <f t="shared" ca="1" si="83"/>
        <v/>
      </c>
      <c r="M105" s="74" t="str">
        <f t="shared" ca="1" si="83"/>
        <v/>
      </c>
      <c r="N105" s="74" t="str">
        <f t="shared" ca="1" si="83"/>
        <v/>
      </c>
      <c r="O105" s="74" t="str">
        <f t="shared" ca="1" si="83"/>
        <v/>
      </c>
      <c r="P105" s="74" t="str">
        <f t="shared" ca="1" si="83"/>
        <v/>
      </c>
      <c r="Q105" s="74" t="str">
        <f t="shared" ca="1" si="83"/>
        <v/>
      </c>
      <c r="R105" s="74" t="str">
        <f t="shared" ca="1" si="83"/>
        <v/>
      </c>
      <c r="S105" s="74" t="str">
        <f t="shared" ca="1" si="83"/>
        <v/>
      </c>
      <c r="T105" s="74" t="str">
        <f t="shared" ca="1" si="85"/>
        <v/>
      </c>
      <c r="U105" s="74" t="str">
        <f t="shared" ca="1" si="85"/>
        <v/>
      </c>
      <c r="V105" s="74" t="str">
        <f t="shared" ca="1" si="85"/>
        <v/>
      </c>
      <c r="W105" s="74" t="str">
        <f t="shared" ca="1" si="85"/>
        <v/>
      </c>
      <c r="X105" s="74" t="str">
        <f t="shared" ca="1" si="85"/>
        <v/>
      </c>
      <c r="Y105" s="74" t="str">
        <f t="shared" ca="1" si="85"/>
        <v/>
      </c>
      <c r="Z105" s="74" t="str">
        <f t="shared" ca="1" si="85"/>
        <v/>
      </c>
      <c r="AA105" s="74" t="str">
        <f t="shared" ca="1" si="85"/>
        <v/>
      </c>
      <c r="AB105" s="75" t="str">
        <f t="shared" ca="1" si="85"/>
        <v/>
      </c>
      <c r="AC105" s="75" t="str">
        <f t="shared" ca="1" si="85"/>
        <v/>
      </c>
      <c r="AD105" s="75" t="str">
        <f t="shared" ca="1" si="85"/>
        <v/>
      </c>
      <c r="AE105" s="75" t="str">
        <f t="shared" ca="1" si="85"/>
        <v/>
      </c>
      <c r="AF105" s="75" t="str">
        <f t="shared" ca="1" si="85"/>
        <v/>
      </c>
      <c r="AG105" s="75" t="str">
        <f t="shared" ca="1" si="85"/>
        <v/>
      </c>
      <c r="AH105" s="75" t="str">
        <f t="shared" ca="1" si="85"/>
        <v/>
      </c>
      <c r="AI105" s="75" t="str">
        <f t="shared" ca="1" si="84"/>
        <v/>
      </c>
      <c r="AJ105" s="75" t="str">
        <f t="shared" ca="1" si="84"/>
        <v/>
      </c>
      <c r="AK105" s="75" t="str">
        <f t="shared" ca="1" si="84"/>
        <v/>
      </c>
      <c r="AL105" s="75" t="str">
        <f t="shared" ca="1" si="84"/>
        <v/>
      </c>
      <c r="AM105" s="75" t="str">
        <f t="shared" ca="1" si="84"/>
        <v/>
      </c>
      <c r="AN105" s="75" t="str">
        <f t="shared" ca="1" si="84"/>
        <v/>
      </c>
      <c r="AO105" s="75" t="str">
        <f t="shared" ca="1" si="84"/>
        <v/>
      </c>
      <c r="AP105" s="75" t="str">
        <f t="shared" ca="1" si="84"/>
        <v/>
      </c>
      <c r="AQ105" s="75" t="str">
        <f t="shared" ca="1" si="84"/>
        <v/>
      </c>
      <c r="AR105" s="75" t="str">
        <f t="shared" ca="1" si="84"/>
        <v/>
      </c>
      <c r="AS105" s="75" t="str">
        <f t="shared" ca="1" si="84"/>
        <v/>
      </c>
      <c r="AT105" s="75" t="str">
        <f t="shared" ca="1" si="84"/>
        <v/>
      </c>
      <c r="AU105" s="74" t="str">
        <f t="shared" ca="1" si="84"/>
        <v/>
      </c>
      <c r="AV105" s="74" t="str">
        <f t="shared" ca="1" si="84"/>
        <v/>
      </c>
      <c r="AW105" s="74" t="str">
        <f t="shared" ca="1" si="82"/>
        <v/>
      </c>
      <c r="AX105" s="74" t="str">
        <f t="shared" ca="1" si="82"/>
        <v/>
      </c>
      <c r="AY105" s="74" t="str">
        <f t="shared" ca="1" si="78"/>
        <v/>
      </c>
      <c r="AZ105" s="74" t="str">
        <f t="shared" ca="1" si="78"/>
        <v/>
      </c>
      <c r="BA105" s="74" t="str">
        <f t="shared" ca="1" si="78"/>
        <v/>
      </c>
      <c r="BB105" s="74" t="str">
        <f t="shared" ca="1" si="78"/>
        <v/>
      </c>
      <c r="BC105" s="74" t="str">
        <f t="shared" ca="1" si="78"/>
        <v/>
      </c>
      <c r="BD105" s="74" t="str">
        <f t="shared" ca="1" si="78"/>
        <v/>
      </c>
      <c r="BE105" s="74" t="str">
        <f t="shared" ca="1" si="78"/>
        <v/>
      </c>
      <c r="BF105" s="74" t="str">
        <f t="shared" ca="1" si="78"/>
        <v/>
      </c>
      <c r="BG105" s="74" t="str">
        <f t="shared" ca="1" si="78"/>
        <v/>
      </c>
      <c r="BH105" s="74" t="str">
        <f t="shared" ca="1" si="78"/>
        <v/>
      </c>
      <c r="BI105" s="74" t="str">
        <f t="shared" ca="1" si="78"/>
        <v/>
      </c>
      <c r="BJ105" s="74" t="str">
        <f t="shared" ca="1" si="78"/>
        <v/>
      </c>
      <c r="BK105" s="74" t="str">
        <f t="shared" ca="1" si="78"/>
        <v/>
      </c>
      <c r="BL105" s="74" t="str">
        <f t="shared" ca="1" si="78"/>
        <v/>
      </c>
      <c r="BM105" s="74" t="str">
        <f t="shared" ca="1" si="78"/>
        <v/>
      </c>
      <c r="BN105" s="75" t="str">
        <f t="shared" ca="1" si="78"/>
        <v/>
      </c>
      <c r="BO105" s="75" t="str">
        <f t="shared" ca="1" si="75"/>
        <v/>
      </c>
      <c r="BP105" s="75" t="str">
        <f t="shared" ca="1" si="75"/>
        <v/>
      </c>
      <c r="BQ105" s="75" t="str">
        <f t="shared" ca="1" si="75"/>
        <v/>
      </c>
      <c r="BR105" s="75" t="str">
        <f t="shared" ca="1" si="75"/>
        <v/>
      </c>
      <c r="BS105" s="75" t="str">
        <f t="shared" ca="1" si="75"/>
        <v/>
      </c>
      <c r="BT105" s="75" t="str">
        <f t="shared" ca="1" si="75"/>
        <v/>
      </c>
      <c r="BU105" s="75" t="str">
        <f t="shared" ca="1" si="75"/>
        <v/>
      </c>
      <c r="BV105" s="75" t="str">
        <f t="shared" ca="1" si="75"/>
        <v/>
      </c>
      <c r="BW105" s="75" t="str">
        <f t="shared" ca="1" si="75"/>
        <v/>
      </c>
      <c r="BX105" s="75" t="str">
        <f t="shared" ca="1" si="75"/>
        <v/>
      </c>
      <c r="BY105" s="75" t="str">
        <f t="shared" ca="1" si="75"/>
        <v/>
      </c>
      <c r="BZ105" s="75" t="str">
        <f t="shared" ca="1" si="75"/>
        <v/>
      </c>
      <c r="CA105" s="75" t="str">
        <f t="shared" ca="1" si="75"/>
        <v/>
      </c>
      <c r="CB105" s="75" t="str">
        <f t="shared" ca="1" si="75"/>
        <v/>
      </c>
      <c r="CC105" s="75" t="str">
        <f t="shared" ca="1" si="75"/>
        <v/>
      </c>
      <c r="CD105" s="75" t="str">
        <f t="shared" ca="1" si="75"/>
        <v/>
      </c>
      <c r="CE105" s="75" t="str">
        <f t="shared" ca="1" si="79"/>
        <v/>
      </c>
      <c r="CF105" s="75" t="str">
        <f t="shared" ca="1" si="79"/>
        <v/>
      </c>
      <c r="CG105" s="74" t="str">
        <f t="shared" ca="1" si="79"/>
        <v/>
      </c>
      <c r="CH105" s="74" t="str">
        <f t="shared" ca="1" si="79"/>
        <v/>
      </c>
      <c r="CI105" s="74" t="str">
        <f t="shared" ca="1" si="79"/>
        <v/>
      </c>
      <c r="CJ105" s="74" t="str">
        <f t="shared" ca="1" si="79"/>
        <v/>
      </c>
      <c r="CK105" s="74" t="str">
        <f t="shared" ca="1" si="79"/>
        <v/>
      </c>
      <c r="CL105" s="74" t="str">
        <f t="shared" ca="1" si="79"/>
        <v/>
      </c>
      <c r="CM105" s="74" t="str">
        <f t="shared" ca="1" si="79"/>
        <v/>
      </c>
      <c r="CN105" s="74" t="str">
        <f t="shared" ca="1" si="79"/>
        <v/>
      </c>
      <c r="CO105" s="74" t="str">
        <f t="shared" ca="1" si="79"/>
        <v/>
      </c>
      <c r="CP105" s="74" t="str">
        <f t="shared" ca="1" si="79"/>
        <v/>
      </c>
      <c r="CQ105" s="74" t="str">
        <f t="shared" ca="1" si="79"/>
        <v/>
      </c>
      <c r="CR105" s="74" t="str">
        <f t="shared" ca="1" si="79"/>
        <v/>
      </c>
      <c r="CS105" s="74" t="str">
        <f t="shared" ca="1" si="79"/>
        <v/>
      </c>
      <c r="CT105" s="74" t="str">
        <f t="shared" ca="1" si="79"/>
        <v/>
      </c>
      <c r="CU105" s="74" t="str">
        <f t="shared" ca="1" si="76"/>
        <v/>
      </c>
      <c r="CV105" s="74" t="str">
        <f t="shared" ca="1" si="76"/>
        <v/>
      </c>
      <c r="CW105" s="74" t="str">
        <f t="shared" ca="1" si="76"/>
        <v/>
      </c>
      <c r="CX105" s="74" t="str">
        <f t="shared" ca="1" si="76"/>
        <v/>
      </c>
      <c r="CY105" s="74" t="str">
        <f t="shared" ca="1" si="76"/>
        <v/>
      </c>
      <c r="CZ105" s="75" t="str">
        <f t="shared" ca="1" si="76"/>
        <v/>
      </c>
      <c r="DA105" s="75" t="str">
        <f t="shared" ca="1" si="76"/>
        <v/>
      </c>
      <c r="DB105" s="75" t="str">
        <f t="shared" ca="1" si="76"/>
        <v/>
      </c>
      <c r="DC105" s="75" t="str">
        <f t="shared" ca="1" si="76"/>
        <v/>
      </c>
      <c r="DD105" s="75" t="str">
        <f t="shared" ca="1" si="76"/>
        <v/>
      </c>
      <c r="DE105" s="75" t="str">
        <f t="shared" ca="1" si="76"/>
        <v/>
      </c>
      <c r="DF105" s="75" t="str">
        <f t="shared" ca="1" si="76"/>
        <v/>
      </c>
      <c r="DG105" s="75" t="str">
        <f t="shared" ca="1" si="76"/>
        <v/>
      </c>
      <c r="DH105" s="75" t="str">
        <f t="shared" ca="1" si="76"/>
        <v/>
      </c>
      <c r="DI105" s="75" t="str">
        <f t="shared" ca="1" si="76"/>
        <v/>
      </c>
      <c r="DJ105" s="75" t="str">
        <f t="shared" ca="1" si="76"/>
        <v/>
      </c>
      <c r="DK105" s="75" t="str">
        <f t="shared" ca="1" si="80"/>
        <v/>
      </c>
      <c r="DL105" s="75" t="str">
        <f t="shared" ca="1" si="80"/>
        <v/>
      </c>
      <c r="DM105" s="75" t="str">
        <f t="shared" ca="1" si="80"/>
        <v/>
      </c>
      <c r="DN105" s="75" t="str">
        <f t="shared" ca="1" si="80"/>
        <v/>
      </c>
      <c r="DO105" s="75" t="str">
        <f t="shared" ca="1" si="80"/>
        <v/>
      </c>
      <c r="DP105" s="75" t="str">
        <f t="shared" ca="1" si="80"/>
        <v/>
      </c>
      <c r="DQ105" s="75" t="str">
        <f t="shared" ca="1" si="80"/>
        <v/>
      </c>
      <c r="DR105" s="75" t="str">
        <f t="shared" ca="1" si="80"/>
        <v/>
      </c>
      <c r="DS105" s="74" t="str">
        <f t="shared" ca="1" si="80"/>
        <v/>
      </c>
      <c r="DT105" s="74" t="str">
        <f t="shared" ca="1" si="80"/>
        <v/>
      </c>
      <c r="DU105" s="74" t="str">
        <f t="shared" ca="1" si="80"/>
        <v/>
      </c>
      <c r="DV105" s="74" t="str">
        <f t="shared" ca="1" si="80"/>
        <v/>
      </c>
      <c r="DW105" s="74" t="str">
        <f t="shared" ca="1" si="80"/>
        <v/>
      </c>
      <c r="DX105" s="74" t="str">
        <f t="shared" ca="1" si="80"/>
        <v/>
      </c>
      <c r="DY105" s="74" t="str">
        <f t="shared" ca="1" si="80"/>
        <v/>
      </c>
      <c r="DZ105" s="74" t="str">
        <f t="shared" ca="1" si="80"/>
        <v/>
      </c>
      <c r="EA105" s="74" t="str">
        <f t="shared" ca="1" si="77"/>
        <v/>
      </c>
      <c r="EB105" s="74" t="str">
        <f t="shared" ca="1" si="77"/>
        <v/>
      </c>
      <c r="EC105" s="74" t="str">
        <f t="shared" ca="1" si="77"/>
        <v/>
      </c>
      <c r="ED105" s="74" t="str">
        <f t="shared" ca="1" si="77"/>
        <v/>
      </c>
      <c r="EE105" s="74" t="str">
        <f t="shared" ca="1" si="77"/>
        <v/>
      </c>
      <c r="EF105" s="74" t="str">
        <f t="shared" ca="1" si="77"/>
        <v/>
      </c>
      <c r="EG105" s="74" t="str">
        <f t="shared" ca="1" si="77"/>
        <v/>
      </c>
      <c r="EH105" s="74" t="str">
        <f t="shared" ca="1" si="77"/>
        <v/>
      </c>
      <c r="EI105" s="74" t="str">
        <f t="shared" ca="1" si="77"/>
        <v/>
      </c>
      <c r="EJ105" s="74" t="str">
        <f t="shared" ca="1" si="77"/>
        <v/>
      </c>
      <c r="EK105" s="75" t="str">
        <f t="shared" ca="1" si="77"/>
        <v/>
      </c>
      <c r="EL105" s="75" t="str">
        <f t="shared" ca="1" si="77"/>
        <v/>
      </c>
      <c r="EM105" s="75" t="str">
        <f t="shared" ca="1" si="77"/>
        <v/>
      </c>
      <c r="EN105" s="75" t="str">
        <f t="shared" ca="1" si="77"/>
        <v/>
      </c>
      <c r="EO105" s="75" t="str">
        <f t="shared" ca="1" si="77"/>
        <v/>
      </c>
      <c r="EP105" s="75" t="str">
        <f t="shared" ca="1" si="77"/>
        <v/>
      </c>
      <c r="EQ105" s="75" t="str">
        <f t="shared" ca="1" si="81"/>
        <v/>
      </c>
      <c r="ER105" s="75" t="str">
        <f t="shared" ca="1" si="81"/>
        <v/>
      </c>
      <c r="ES105" s="75" t="str">
        <f t="shared" ca="1" si="81"/>
        <v/>
      </c>
      <c r="ET105" s="75" t="str">
        <f t="shared" ca="1" si="81"/>
        <v/>
      </c>
      <c r="EU105" s="75" t="str">
        <f t="shared" ca="1" si="81"/>
        <v/>
      </c>
      <c r="EV105" s="75" t="str">
        <f t="shared" ca="1" si="81"/>
        <v/>
      </c>
      <c r="EW105" s="75" t="str">
        <f t="shared" ca="1" si="81"/>
        <v/>
      </c>
      <c r="EX105" s="75" t="str">
        <f t="shared" ca="1" si="81"/>
        <v/>
      </c>
      <c r="EY105" s="75" t="str">
        <f t="shared" ca="1" si="81"/>
        <v/>
      </c>
      <c r="EZ105" s="75" t="str">
        <f t="shared" ca="1" si="81"/>
        <v/>
      </c>
      <c r="FA105" s="75" t="str">
        <f t="shared" ca="1" si="81"/>
        <v/>
      </c>
      <c r="FB105" s="75" t="str">
        <f t="shared" ca="1" si="81"/>
        <v/>
      </c>
      <c r="FC105" s="76" t="str">
        <f t="shared" ca="1" si="81"/>
        <v/>
      </c>
      <c r="FD105" s="74" t="str">
        <f t="shared" ca="1" si="81"/>
        <v/>
      </c>
      <c r="FE105" s="74" t="str">
        <f t="shared" ca="1" si="81"/>
        <v/>
      </c>
      <c r="FF105" s="74" t="str">
        <f t="shared" ca="1" si="81"/>
        <v/>
      </c>
      <c r="FG105" s="74" t="str">
        <f t="shared" ca="1" si="86"/>
        <v/>
      </c>
      <c r="FH105" s="74" t="str">
        <f t="shared" ca="1" si="86"/>
        <v/>
      </c>
      <c r="FI105" s="74" t="str">
        <f t="shared" ca="1" si="86"/>
        <v/>
      </c>
      <c r="FJ105" s="74" t="str">
        <f t="shared" ca="1" si="86"/>
        <v/>
      </c>
      <c r="FK105" s="74" t="str">
        <f t="shared" ca="1" si="86"/>
        <v/>
      </c>
      <c r="FL105" s="74" t="str">
        <f t="shared" ca="1" si="86"/>
        <v/>
      </c>
      <c r="FM105" s="74" t="str">
        <f t="shared" ca="1" si="86"/>
        <v/>
      </c>
      <c r="FN105" s="74" t="str">
        <f t="shared" ca="1" si="86"/>
        <v/>
      </c>
      <c r="FO105" s="74" t="str">
        <f t="shared" ca="1" si="86"/>
        <v/>
      </c>
      <c r="FP105" s="74" t="str">
        <f t="shared" ca="1" si="86"/>
        <v/>
      </c>
      <c r="FQ105" s="74" t="str">
        <f t="shared" ca="1" si="86"/>
        <v/>
      </c>
      <c r="FR105" s="74" t="str">
        <f t="shared" ca="1" si="86"/>
        <v/>
      </c>
      <c r="FS105" s="74" t="str">
        <f t="shared" ca="1" si="86"/>
        <v/>
      </c>
      <c r="FT105" s="74" t="str">
        <f t="shared" ca="1" si="86"/>
        <v/>
      </c>
    </row>
    <row r="106" spans="1:176" x14ac:dyDescent="0.35">
      <c r="A106" s="74"/>
      <c r="B106" s="74" t="str">
        <f t="shared" ca="1" si="83"/>
        <v/>
      </c>
      <c r="C106" s="74" t="str">
        <f t="shared" ca="1" si="83"/>
        <v/>
      </c>
      <c r="D106" s="74" t="str">
        <f t="shared" ca="1" si="83"/>
        <v/>
      </c>
      <c r="E106" s="74" t="str">
        <f t="shared" ca="1" si="83"/>
        <v/>
      </c>
      <c r="F106" t="str">
        <f t="shared" ca="1" si="83"/>
        <v/>
      </c>
      <c r="G106" t="str">
        <f t="shared" ca="1" si="83"/>
        <v/>
      </c>
      <c r="H106" t="str">
        <f t="shared" ca="1" si="83"/>
        <v/>
      </c>
      <c r="I106" s="74" t="str">
        <f t="shared" ca="1" si="83"/>
        <v/>
      </c>
      <c r="J106" s="74" t="str">
        <f t="shared" ca="1" si="83"/>
        <v/>
      </c>
      <c r="K106" s="74" t="str">
        <f t="shared" ca="1" si="83"/>
        <v/>
      </c>
      <c r="L106" s="74" t="str">
        <f t="shared" ca="1" si="83"/>
        <v/>
      </c>
      <c r="M106" s="74" t="str">
        <f t="shared" ca="1" si="83"/>
        <v/>
      </c>
      <c r="N106" s="74" t="str">
        <f t="shared" ca="1" si="83"/>
        <v/>
      </c>
      <c r="O106" s="74" t="str">
        <f t="shared" ca="1" si="83"/>
        <v/>
      </c>
      <c r="P106" s="74" t="str">
        <f t="shared" ca="1" si="83"/>
        <v/>
      </c>
      <c r="Q106" s="74" t="str">
        <f t="shared" ca="1" si="83"/>
        <v/>
      </c>
      <c r="R106" s="74" t="str">
        <f t="shared" ca="1" si="83"/>
        <v/>
      </c>
      <c r="S106" s="74" t="str">
        <f t="shared" ca="1" si="83"/>
        <v/>
      </c>
      <c r="T106" s="74" t="str">
        <f t="shared" ca="1" si="85"/>
        <v/>
      </c>
      <c r="U106" s="74" t="str">
        <f t="shared" ca="1" si="85"/>
        <v/>
      </c>
      <c r="V106" s="74" t="str">
        <f t="shared" ca="1" si="85"/>
        <v/>
      </c>
      <c r="W106" s="74" t="str">
        <f t="shared" ca="1" si="85"/>
        <v/>
      </c>
      <c r="X106" s="74" t="str">
        <f t="shared" ca="1" si="85"/>
        <v/>
      </c>
      <c r="Y106" s="74" t="str">
        <f t="shared" ca="1" si="85"/>
        <v/>
      </c>
      <c r="Z106" s="74" t="str">
        <f t="shared" ca="1" si="85"/>
        <v/>
      </c>
      <c r="AA106" s="74" t="str">
        <f t="shared" ca="1" si="85"/>
        <v/>
      </c>
      <c r="AB106" s="75" t="str">
        <f t="shared" ca="1" si="85"/>
        <v/>
      </c>
      <c r="AC106" s="75" t="str">
        <f t="shared" ca="1" si="85"/>
        <v/>
      </c>
      <c r="AD106" s="75" t="str">
        <f t="shared" ca="1" si="85"/>
        <v/>
      </c>
      <c r="AE106" s="75" t="str">
        <f t="shared" ca="1" si="85"/>
        <v/>
      </c>
      <c r="AF106" s="75" t="str">
        <f t="shared" ca="1" si="85"/>
        <v/>
      </c>
      <c r="AG106" s="75" t="str">
        <f t="shared" ca="1" si="85"/>
        <v/>
      </c>
      <c r="AH106" s="75" t="str">
        <f t="shared" ca="1" si="85"/>
        <v/>
      </c>
      <c r="AI106" s="75" t="str">
        <f t="shared" ca="1" si="84"/>
        <v/>
      </c>
      <c r="AJ106" s="75" t="str">
        <f t="shared" ca="1" si="84"/>
        <v/>
      </c>
      <c r="AK106" s="75" t="str">
        <f t="shared" ca="1" si="84"/>
        <v/>
      </c>
      <c r="AL106" s="75" t="str">
        <f t="shared" ca="1" si="84"/>
        <v/>
      </c>
      <c r="AM106" s="75" t="str">
        <f t="shared" ca="1" si="84"/>
        <v/>
      </c>
      <c r="AN106" s="75" t="str">
        <f t="shared" ca="1" si="84"/>
        <v/>
      </c>
      <c r="AO106" s="75" t="str">
        <f t="shared" ca="1" si="84"/>
        <v/>
      </c>
      <c r="AP106" s="75" t="str">
        <f t="shared" ca="1" si="84"/>
        <v/>
      </c>
      <c r="AQ106" s="75" t="str">
        <f t="shared" ca="1" si="84"/>
        <v/>
      </c>
      <c r="AR106" s="75" t="str">
        <f t="shared" ca="1" si="84"/>
        <v/>
      </c>
      <c r="AS106" s="75" t="str">
        <f t="shared" ca="1" si="84"/>
        <v/>
      </c>
      <c r="AT106" s="75" t="str">
        <f t="shared" ca="1" si="84"/>
        <v/>
      </c>
      <c r="AU106" s="74" t="str">
        <f t="shared" ca="1" si="84"/>
        <v/>
      </c>
      <c r="AV106" s="74" t="str">
        <f t="shared" ca="1" si="84"/>
        <v/>
      </c>
      <c r="AW106" s="74" t="str">
        <f t="shared" ca="1" si="82"/>
        <v/>
      </c>
      <c r="AX106" s="74" t="str">
        <f t="shared" ca="1" si="82"/>
        <v/>
      </c>
      <c r="AY106" s="74" t="str">
        <f t="shared" ca="1" si="78"/>
        <v/>
      </c>
      <c r="AZ106" s="74" t="str">
        <f t="shared" ca="1" si="78"/>
        <v/>
      </c>
      <c r="BA106" s="74" t="str">
        <f t="shared" ca="1" si="78"/>
        <v/>
      </c>
      <c r="BB106" s="74" t="str">
        <f t="shared" ca="1" si="78"/>
        <v/>
      </c>
      <c r="BC106" s="74" t="str">
        <f t="shared" ca="1" si="78"/>
        <v/>
      </c>
      <c r="BD106" s="74" t="str">
        <f t="shared" ca="1" si="78"/>
        <v/>
      </c>
      <c r="BE106" s="74" t="str">
        <f t="shared" ca="1" si="78"/>
        <v/>
      </c>
      <c r="BF106" s="74" t="str">
        <f t="shared" ca="1" si="78"/>
        <v/>
      </c>
      <c r="BG106" s="74" t="str">
        <f t="shared" ca="1" si="78"/>
        <v/>
      </c>
      <c r="BH106" s="74" t="str">
        <f t="shared" ca="1" si="78"/>
        <v/>
      </c>
      <c r="BI106" s="74" t="str">
        <f t="shared" ca="1" si="78"/>
        <v/>
      </c>
      <c r="BJ106" s="74" t="str">
        <f t="shared" ca="1" si="78"/>
        <v/>
      </c>
      <c r="BK106" s="74" t="str">
        <f t="shared" ca="1" si="78"/>
        <v/>
      </c>
      <c r="BL106" s="74" t="str">
        <f t="shared" ca="1" si="78"/>
        <v/>
      </c>
      <c r="BM106" s="74" t="str">
        <f t="shared" ca="1" si="78"/>
        <v/>
      </c>
      <c r="BN106" s="75" t="str">
        <f t="shared" ca="1" si="78"/>
        <v/>
      </c>
      <c r="BO106" s="75" t="str">
        <f t="shared" ca="1" si="75"/>
        <v/>
      </c>
      <c r="BP106" s="75" t="str">
        <f t="shared" ca="1" si="75"/>
        <v/>
      </c>
      <c r="BQ106" s="75" t="str">
        <f t="shared" ca="1" si="75"/>
        <v/>
      </c>
      <c r="BR106" s="75" t="str">
        <f t="shared" ca="1" si="75"/>
        <v/>
      </c>
      <c r="BS106" s="75" t="str">
        <f t="shared" ca="1" si="75"/>
        <v/>
      </c>
      <c r="BT106" s="75" t="str">
        <f t="shared" ca="1" si="75"/>
        <v/>
      </c>
      <c r="BU106" s="75" t="str">
        <f t="shared" ca="1" si="75"/>
        <v/>
      </c>
      <c r="BV106" s="75" t="str">
        <f t="shared" ca="1" si="75"/>
        <v/>
      </c>
      <c r="BW106" s="75" t="str">
        <f t="shared" ca="1" si="75"/>
        <v/>
      </c>
      <c r="BX106" s="75" t="str">
        <f t="shared" ca="1" si="75"/>
        <v/>
      </c>
      <c r="BY106" s="75" t="str">
        <f t="shared" ca="1" si="75"/>
        <v/>
      </c>
      <c r="BZ106" s="75" t="str">
        <f t="shared" ca="1" si="75"/>
        <v/>
      </c>
      <c r="CA106" s="75" t="str">
        <f t="shared" ca="1" si="75"/>
        <v/>
      </c>
      <c r="CB106" s="75" t="str">
        <f t="shared" ca="1" si="75"/>
        <v/>
      </c>
      <c r="CC106" s="75" t="str">
        <f t="shared" ca="1" si="75"/>
        <v/>
      </c>
      <c r="CD106" s="75" t="str">
        <f t="shared" ca="1" si="75"/>
        <v/>
      </c>
      <c r="CE106" s="75" t="str">
        <f t="shared" ca="1" si="79"/>
        <v/>
      </c>
      <c r="CF106" s="75" t="str">
        <f t="shared" ca="1" si="79"/>
        <v/>
      </c>
      <c r="CG106" s="74" t="str">
        <f t="shared" ca="1" si="79"/>
        <v/>
      </c>
      <c r="CH106" s="74" t="str">
        <f t="shared" ca="1" si="79"/>
        <v/>
      </c>
      <c r="CI106" s="74" t="str">
        <f t="shared" ca="1" si="79"/>
        <v/>
      </c>
      <c r="CJ106" s="74" t="str">
        <f t="shared" ca="1" si="79"/>
        <v/>
      </c>
      <c r="CK106" s="74" t="str">
        <f t="shared" ca="1" si="79"/>
        <v/>
      </c>
      <c r="CL106" s="74" t="str">
        <f t="shared" ca="1" si="79"/>
        <v/>
      </c>
      <c r="CM106" s="74" t="str">
        <f t="shared" ca="1" si="79"/>
        <v/>
      </c>
      <c r="CN106" s="74" t="str">
        <f t="shared" ca="1" si="79"/>
        <v/>
      </c>
      <c r="CO106" s="74" t="str">
        <f t="shared" ca="1" si="79"/>
        <v/>
      </c>
      <c r="CP106" s="74" t="str">
        <f t="shared" ca="1" si="79"/>
        <v/>
      </c>
      <c r="CQ106" s="74" t="str">
        <f t="shared" ca="1" si="79"/>
        <v/>
      </c>
      <c r="CR106" s="74" t="str">
        <f t="shared" ca="1" si="79"/>
        <v/>
      </c>
      <c r="CS106" s="74" t="str">
        <f t="shared" ca="1" si="79"/>
        <v/>
      </c>
      <c r="CT106" s="74" t="str">
        <f t="shared" ca="1" si="79"/>
        <v/>
      </c>
      <c r="CU106" s="74" t="str">
        <f t="shared" ca="1" si="76"/>
        <v/>
      </c>
      <c r="CV106" s="74" t="str">
        <f t="shared" ca="1" si="76"/>
        <v/>
      </c>
      <c r="CW106" s="74" t="str">
        <f t="shared" ca="1" si="76"/>
        <v/>
      </c>
      <c r="CX106" s="74" t="str">
        <f t="shared" ca="1" si="76"/>
        <v/>
      </c>
      <c r="CY106" s="74" t="str">
        <f t="shared" ca="1" si="76"/>
        <v/>
      </c>
      <c r="CZ106" s="75" t="str">
        <f t="shared" ca="1" si="76"/>
        <v/>
      </c>
      <c r="DA106" s="75" t="str">
        <f t="shared" ca="1" si="76"/>
        <v/>
      </c>
      <c r="DB106" s="75" t="str">
        <f t="shared" ca="1" si="76"/>
        <v/>
      </c>
      <c r="DC106" s="75" t="str">
        <f t="shared" ca="1" si="76"/>
        <v/>
      </c>
      <c r="DD106" s="75" t="str">
        <f t="shared" ca="1" si="76"/>
        <v/>
      </c>
      <c r="DE106" s="75" t="str">
        <f t="shared" ca="1" si="76"/>
        <v/>
      </c>
      <c r="DF106" s="75" t="str">
        <f t="shared" ca="1" si="76"/>
        <v/>
      </c>
      <c r="DG106" s="75" t="str">
        <f t="shared" ca="1" si="76"/>
        <v/>
      </c>
      <c r="DH106" s="75" t="str">
        <f t="shared" ca="1" si="76"/>
        <v/>
      </c>
      <c r="DI106" s="75" t="str">
        <f t="shared" ca="1" si="76"/>
        <v/>
      </c>
      <c r="DJ106" s="75" t="str">
        <f t="shared" ca="1" si="76"/>
        <v/>
      </c>
      <c r="DK106" s="75" t="str">
        <f t="shared" ca="1" si="80"/>
        <v/>
      </c>
      <c r="DL106" s="75" t="str">
        <f t="shared" ca="1" si="80"/>
        <v/>
      </c>
      <c r="DM106" s="75" t="str">
        <f t="shared" ca="1" si="80"/>
        <v/>
      </c>
      <c r="DN106" s="75" t="str">
        <f t="shared" ca="1" si="80"/>
        <v/>
      </c>
      <c r="DO106" s="75" t="str">
        <f t="shared" ca="1" si="80"/>
        <v/>
      </c>
      <c r="DP106" s="75" t="str">
        <f t="shared" ca="1" si="80"/>
        <v/>
      </c>
      <c r="DQ106" s="75" t="str">
        <f t="shared" ca="1" si="80"/>
        <v/>
      </c>
      <c r="DR106" s="75" t="str">
        <f t="shared" ca="1" si="80"/>
        <v/>
      </c>
      <c r="DS106" s="74" t="str">
        <f t="shared" ca="1" si="80"/>
        <v/>
      </c>
      <c r="DT106" s="74" t="str">
        <f t="shared" ca="1" si="80"/>
        <v/>
      </c>
      <c r="DU106" s="74" t="str">
        <f t="shared" ca="1" si="80"/>
        <v/>
      </c>
      <c r="DV106" s="74" t="str">
        <f t="shared" ca="1" si="80"/>
        <v/>
      </c>
      <c r="DW106" s="74" t="str">
        <f t="shared" ca="1" si="80"/>
        <v/>
      </c>
      <c r="DX106" s="74" t="str">
        <f t="shared" ca="1" si="80"/>
        <v/>
      </c>
      <c r="DY106" s="74" t="str">
        <f t="shared" ca="1" si="80"/>
        <v/>
      </c>
      <c r="DZ106" s="74" t="str">
        <f t="shared" ca="1" si="80"/>
        <v/>
      </c>
      <c r="EA106" s="74" t="str">
        <f t="shared" ca="1" si="77"/>
        <v/>
      </c>
      <c r="EB106" s="74" t="str">
        <f t="shared" ca="1" si="77"/>
        <v/>
      </c>
      <c r="EC106" s="74" t="str">
        <f t="shared" ca="1" si="77"/>
        <v/>
      </c>
      <c r="ED106" s="74" t="str">
        <f t="shared" ca="1" si="77"/>
        <v/>
      </c>
      <c r="EE106" s="74" t="str">
        <f t="shared" ca="1" si="77"/>
        <v/>
      </c>
      <c r="EF106" s="74" t="str">
        <f t="shared" ca="1" si="77"/>
        <v/>
      </c>
      <c r="EG106" s="74" t="str">
        <f t="shared" ca="1" si="77"/>
        <v/>
      </c>
      <c r="EH106" s="74" t="str">
        <f t="shared" ca="1" si="77"/>
        <v/>
      </c>
      <c r="EI106" s="74" t="str">
        <f t="shared" ca="1" si="77"/>
        <v/>
      </c>
      <c r="EJ106" s="74" t="str">
        <f t="shared" ca="1" si="77"/>
        <v/>
      </c>
      <c r="EK106" s="75" t="str">
        <f t="shared" ca="1" si="77"/>
        <v/>
      </c>
      <c r="EL106" s="75" t="str">
        <f t="shared" ca="1" si="77"/>
        <v/>
      </c>
      <c r="EM106" s="75" t="str">
        <f t="shared" ca="1" si="77"/>
        <v/>
      </c>
      <c r="EN106" s="75" t="str">
        <f t="shared" ca="1" si="77"/>
        <v/>
      </c>
      <c r="EO106" s="75" t="str">
        <f t="shared" ca="1" si="77"/>
        <v/>
      </c>
      <c r="EP106" s="75" t="str">
        <f t="shared" ca="1" si="77"/>
        <v/>
      </c>
      <c r="EQ106" s="75" t="str">
        <f t="shared" ca="1" si="81"/>
        <v/>
      </c>
      <c r="ER106" s="75" t="str">
        <f t="shared" ca="1" si="81"/>
        <v/>
      </c>
      <c r="ES106" s="75" t="str">
        <f t="shared" ca="1" si="81"/>
        <v/>
      </c>
      <c r="ET106" s="75" t="str">
        <f t="shared" ca="1" si="81"/>
        <v/>
      </c>
      <c r="EU106" s="75" t="str">
        <f t="shared" ca="1" si="81"/>
        <v/>
      </c>
      <c r="EV106" s="75" t="str">
        <f t="shared" ca="1" si="81"/>
        <v/>
      </c>
      <c r="EW106" s="75" t="str">
        <f t="shared" ca="1" si="81"/>
        <v/>
      </c>
      <c r="EX106" s="75" t="str">
        <f t="shared" ca="1" si="81"/>
        <v/>
      </c>
      <c r="EY106" s="75" t="str">
        <f t="shared" ca="1" si="81"/>
        <v/>
      </c>
      <c r="EZ106" s="75" t="str">
        <f t="shared" ca="1" si="81"/>
        <v/>
      </c>
      <c r="FA106" s="75" t="str">
        <f t="shared" ca="1" si="81"/>
        <v/>
      </c>
      <c r="FB106" s="75" t="str">
        <f t="shared" ca="1" si="81"/>
        <v/>
      </c>
      <c r="FC106" s="76" t="str">
        <f t="shared" ca="1" si="81"/>
        <v/>
      </c>
      <c r="FD106" s="74" t="str">
        <f t="shared" ca="1" si="81"/>
        <v/>
      </c>
      <c r="FE106" s="74" t="str">
        <f t="shared" ca="1" si="81"/>
        <v/>
      </c>
      <c r="FF106" s="74" t="str">
        <f t="shared" ca="1" si="81"/>
        <v/>
      </c>
      <c r="FG106" s="74" t="str">
        <f t="shared" ca="1" si="86"/>
        <v/>
      </c>
      <c r="FH106" s="74" t="str">
        <f t="shared" ca="1" si="86"/>
        <v/>
      </c>
      <c r="FI106" s="74" t="str">
        <f t="shared" ca="1" si="86"/>
        <v/>
      </c>
      <c r="FJ106" s="74" t="str">
        <f t="shared" ca="1" si="86"/>
        <v/>
      </c>
      <c r="FK106" s="74" t="str">
        <f t="shared" ca="1" si="86"/>
        <v/>
      </c>
      <c r="FL106" s="74" t="str">
        <f t="shared" ca="1" si="86"/>
        <v/>
      </c>
      <c r="FM106" s="74" t="str">
        <f t="shared" ca="1" si="86"/>
        <v/>
      </c>
      <c r="FN106" s="74" t="str">
        <f t="shared" ca="1" si="86"/>
        <v/>
      </c>
      <c r="FO106" s="74" t="str">
        <f t="shared" ca="1" si="86"/>
        <v/>
      </c>
      <c r="FP106" s="74" t="str">
        <f t="shared" ca="1" si="86"/>
        <v/>
      </c>
      <c r="FQ106" s="74" t="str">
        <f t="shared" ca="1" si="86"/>
        <v/>
      </c>
      <c r="FR106" s="74" t="str">
        <f t="shared" ca="1" si="86"/>
        <v/>
      </c>
      <c r="FS106" s="74" t="str">
        <f t="shared" ca="1" si="86"/>
        <v/>
      </c>
      <c r="FT106" s="74" t="str">
        <f t="shared" ca="1" si="86"/>
        <v/>
      </c>
    </row>
    <row r="107" spans="1:176" x14ac:dyDescent="0.35">
      <c r="A107" s="74"/>
      <c r="B107" s="74" t="str">
        <f t="shared" ca="1" si="83"/>
        <v/>
      </c>
      <c r="C107" s="74" t="str">
        <f t="shared" ca="1" si="83"/>
        <v/>
      </c>
      <c r="D107" s="74" t="str">
        <f t="shared" ca="1" si="83"/>
        <v/>
      </c>
      <c r="E107" s="74" t="str">
        <f t="shared" ca="1" si="83"/>
        <v/>
      </c>
      <c r="F107" t="str">
        <f t="shared" ca="1" si="83"/>
        <v/>
      </c>
      <c r="G107" t="str">
        <f t="shared" ca="1" si="83"/>
        <v/>
      </c>
      <c r="H107" t="str">
        <f t="shared" ca="1" si="83"/>
        <v/>
      </c>
      <c r="I107" s="74" t="str">
        <f t="shared" ca="1" si="83"/>
        <v/>
      </c>
      <c r="J107" s="74" t="str">
        <f t="shared" ca="1" si="83"/>
        <v/>
      </c>
      <c r="K107" s="74" t="str">
        <f t="shared" ca="1" si="83"/>
        <v/>
      </c>
      <c r="L107" s="74" t="str">
        <f t="shared" ca="1" si="83"/>
        <v/>
      </c>
      <c r="M107" s="74" t="str">
        <f t="shared" ca="1" si="83"/>
        <v/>
      </c>
      <c r="N107" s="74" t="str">
        <f t="shared" ca="1" si="83"/>
        <v/>
      </c>
      <c r="O107" s="74" t="str">
        <f t="shared" ca="1" si="83"/>
        <v/>
      </c>
      <c r="P107" s="74" t="str">
        <f t="shared" ca="1" si="83"/>
        <v/>
      </c>
      <c r="Q107" s="74" t="str">
        <f t="shared" ca="1" si="83"/>
        <v/>
      </c>
      <c r="R107" s="74" t="str">
        <f t="shared" ca="1" si="83"/>
        <v/>
      </c>
      <c r="S107" s="74" t="str">
        <f t="shared" ca="1" si="83"/>
        <v/>
      </c>
      <c r="T107" s="74" t="str">
        <f t="shared" ca="1" si="85"/>
        <v/>
      </c>
      <c r="U107" s="74" t="str">
        <f t="shared" ca="1" si="85"/>
        <v/>
      </c>
      <c r="V107" s="74" t="str">
        <f t="shared" ca="1" si="85"/>
        <v/>
      </c>
      <c r="W107" s="74" t="str">
        <f t="shared" ca="1" si="85"/>
        <v/>
      </c>
      <c r="X107" s="74" t="str">
        <f t="shared" ca="1" si="85"/>
        <v/>
      </c>
      <c r="Y107" s="74" t="str">
        <f t="shared" ca="1" si="85"/>
        <v/>
      </c>
      <c r="Z107" s="74" t="str">
        <f t="shared" ca="1" si="85"/>
        <v/>
      </c>
      <c r="AA107" s="74" t="str">
        <f t="shared" ca="1" si="85"/>
        <v/>
      </c>
      <c r="AB107" s="75" t="str">
        <f t="shared" ca="1" si="85"/>
        <v/>
      </c>
      <c r="AC107" s="75" t="str">
        <f t="shared" ca="1" si="85"/>
        <v/>
      </c>
      <c r="AD107" s="75" t="str">
        <f t="shared" ca="1" si="85"/>
        <v/>
      </c>
      <c r="AE107" s="75" t="str">
        <f t="shared" ca="1" si="85"/>
        <v/>
      </c>
      <c r="AF107" s="75" t="str">
        <f t="shared" ca="1" si="85"/>
        <v/>
      </c>
      <c r="AG107" s="75" t="str">
        <f t="shared" ca="1" si="85"/>
        <v/>
      </c>
      <c r="AH107" s="75" t="str">
        <f t="shared" ca="1" si="85"/>
        <v/>
      </c>
      <c r="AI107" s="75" t="str">
        <f t="shared" ca="1" si="84"/>
        <v/>
      </c>
      <c r="AJ107" s="75" t="str">
        <f t="shared" ca="1" si="84"/>
        <v/>
      </c>
      <c r="AK107" s="75" t="str">
        <f t="shared" ca="1" si="84"/>
        <v/>
      </c>
      <c r="AL107" s="75" t="str">
        <f t="shared" ca="1" si="84"/>
        <v/>
      </c>
      <c r="AM107" s="75" t="str">
        <f t="shared" ca="1" si="84"/>
        <v/>
      </c>
      <c r="AN107" s="75" t="str">
        <f t="shared" ca="1" si="84"/>
        <v/>
      </c>
      <c r="AO107" s="75" t="str">
        <f t="shared" ca="1" si="84"/>
        <v/>
      </c>
      <c r="AP107" s="75" t="str">
        <f t="shared" ca="1" si="84"/>
        <v/>
      </c>
      <c r="AQ107" s="75" t="str">
        <f t="shared" ca="1" si="84"/>
        <v/>
      </c>
      <c r="AR107" s="75" t="str">
        <f t="shared" ca="1" si="84"/>
        <v/>
      </c>
      <c r="AS107" s="75" t="str">
        <f t="shared" ca="1" si="84"/>
        <v/>
      </c>
      <c r="AT107" s="75" t="str">
        <f t="shared" ca="1" si="84"/>
        <v/>
      </c>
      <c r="AU107" s="74" t="str">
        <f t="shared" ca="1" si="84"/>
        <v/>
      </c>
      <c r="AV107" s="74" t="str">
        <f t="shared" ca="1" si="84"/>
        <v/>
      </c>
      <c r="AW107" s="74" t="str">
        <f t="shared" ca="1" si="82"/>
        <v/>
      </c>
      <c r="AX107" s="74" t="str">
        <f t="shared" ca="1" si="82"/>
        <v/>
      </c>
      <c r="AY107" s="74" t="str">
        <f t="shared" ca="1" si="78"/>
        <v/>
      </c>
      <c r="AZ107" s="74" t="str">
        <f t="shared" ca="1" si="78"/>
        <v/>
      </c>
      <c r="BA107" s="74" t="str">
        <f t="shared" ca="1" si="78"/>
        <v/>
      </c>
      <c r="BB107" s="74" t="str">
        <f t="shared" ca="1" si="78"/>
        <v/>
      </c>
      <c r="BC107" s="74" t="str">
        <f t="shared" ca="1" si="78"/>
        <v/>
      </c>
      <c r="BD107" s="74" t="str">
        <f t="shared" ca="1" si="78"/>
        <v/>
      </c>
      <c r="BE107" s="74" t="str">
        <f t="shared" ca="1" si="78"/>
        <v/>
      </c>
      <c r="BF107" s="74" t="str">
        <f t="shared" ca="1" si="78"/>
        <v/>
      </c>
      <c r="BG107" s="74" t="str">
        <f t="shared" ca="1" si="78"/>
        <v/>
      </c>
      <c r="BH107" s="74" t="str">
        <f t="shared" ca="1" si="78"/>
        <v/>
      </c>
      <c r="BI107" s="74" t="str">
        <f t="shared" ca="1" si="78"/>
        <v/>
      </c>
      <c r="BJ107" s="74" t="str">
        <f t="shared" ca="1" si="78"/>
        <v/>
      </c>
      <c r="BK107" s="74" t="str">
        <f t="shared" ca="1" si="78"/>
        <v/>
      </c>
      <c r="BL107" s="74" t="str">
        <f t="shared" ca="1" si="78"/>
        <v/>
      </c>
      <c r="BM107" s="74" t="str">
        <f t="shared" ca="1" si="78"/>
        <v/>
      </c>
      <c r="BN107" s="75" t="str">
        <f t="shared" ca="1" si="78"/>
        <v/>
      </c>
      <c r="BO107" s="75" t="str">
        <f t="shared" ca="1" si="75"/>
        <v/>
      </c>
      <c r="BP107" s="75" t="str">
        <f t="shared" ca="1" si="75"/>
        <v/>
      </c>
      <c r="BQ107" s="75" t="str">
        <f t="shared" ca="1" si="75"/>
        <v/>
      </c>
      <c r="BR107" s="75" t="str">
        <f t="shared" ca="1" si="75"/>
        <v/>
      </c>
      <c r="BS107" s="75" t="str">
        <f t="shared" ca="1" si="75"/>
        <v/>
      </c>
      <c r="BT107" s="75" t="str">
        <f t="shared" ca="1" si="75"/>
        <v/>
      </c>
      <c r="BU107" s="75" t="str">
        <f t="shared" ca="1" si="75"/>
        <v/>
      </c>
      <c r="BV107" s="75" t="str">
        <f t="shared" ca="1" si="75"/>
        <v/>
      </c>
      <c r="BW107" s="75" t="str">
        <f t="shared" ca="1" si="75"/>
        <v/>
      </c>
      <c r="BX107" s="75" t="str">
        <f t="shared" ca="1" si="75"/>
        <v/>
      </c>
      <c r="BY107" s="75" t="str">
        <f t="shared" ca="1" si="75"/>
        <v/>
      </c>
      <c r="BZ107" s="75" t="str">
        <f t="shared" ca="1" si="75"/>
        <v/>
      </c>
      <c r="CA107" s="75" t="str">
        <f t="shared" ca="1" si="75"/>
        <v/>
      </c>
      <c r="CB107" s="75" t="str">
        <f t="shared" ca="1" si="75"/>
        <v/>
      </c>
      <c r="CC107" s="75" t="str">
        <f t="shared" ca="1" si="75"/>
        <v/>
      </c>
      <c r="CD107" s="75" t="str">
        <f t="shared" ca="1" si="75"/>
        <v/>
      </c>
      <c r="CE107" s="75" t="str">
        <f t="shared" ca="1" si="79"/>
        <v/>
      </c>
      <c r="CF107" s="75" t="str">
        <f t="shared" ca="1" si="79"/>
        <v/>
      </c>
      <c r="CG107" s="74" t="str">
        <f t="shared" ca="1" si="79"/>
        <v/>
      </c>
      <c r="CH107" s="74" t="str">
        <f t="shared" ca="1" si="79"/>
        <v/>
      </c>
      <c r="CI107" s="74" t="str">
        <f t="shared" ca="1" si="79"/>
        <v/>
      </c>
      <c r="CJ107" s="74" t="str">
        <f t="shared" ca="1" si="79"/>
        <v/>
      </c>
      <c r="CK107" s="74" t="str">
        <f t="shared" ca="1" si="79"/>
        <v/>
      </c>
      <c r="CL107" s="74" t="str">
        <f t="shared" ca="1" si="79"/>
        <v/>
      </c>
      <c r="CM107" s="74" t="str">
        <f t="shared" ca="1" si="79"/>
        <v/>
      </c>
      <c r="CN107" s="74" t="str">
        <f t="shared" ca="1" si="79"/>
        <v/>
      </c>
      <c r="CO107" s="74" t="str">
        <f t="shared" ca="1" si="79"/>
        <v/>
      </c>
      <c r="CP107" s="74" t="str">
        <f t="shared" ca="1" si="79"/>
        <v/>
      </c>
      <c r="CQ107" s="74" t="str">
        <f t="shared" ca="1" si="79"/>
        <v/>
      </c>
      <c r="CR107" s="74" t="str">
        <f t="shared" ca="1" si="79"/>
        <v/>
      </c>
      <c r="CS107" s="74" t="str">
        <f t="shared" ca="1" si="79"/>
        <v/>
      </c>
      <c r="CT107" s="74" t="str">
        <f t="shared" ca="1" si="79"/>
        <v/>
      </c>
      <c r="CU107" s="74" t="str">
        <f t="shared" ca="1" si="76"/>
        <v/>
      </c>
      <c r="CV107" s="74" t="str">
        <f t="shared" ca="1" si="76"/>
        <v/>
      </c>
      <c r="CW107" s="74" t="str">
        <f t="shared" ca="1" si="76"/>
        <v/>
      </c>
      <c r="CX107" s="74" t="str">
        <f t="shared" ca="1" si="76"/>
        <v/>
      </c>
      <c r="CY107" s="74" t="str">
        <f t="shared" ca="1" si="76"/>
        <v/>
      </c>
      <c r="CZ107" s="75" t="str">
        <f t="shared" ca="1" si="76"/>
        <v/>
      </c>
      <c r="DA107" s="75" t="str">
        <f t="shared" ca="1" si="76"/>
        <v/>
      </c>
      <c r="DB107" s="75" t="str">
        <f t="shared" ca="1" si="76"/>
        <v/>
      </c>
      <c r="DC107" s="75" t="str">
        <f t="shared" ca="1" si="76"/>
        <v/>
      </c>
      <c r="DD107" s="75" t="str">
        <f t="shared" ca="1" si="76"/>
        <v/>
      </c>
      <c r="DE107" s="75" t="str">
        <f t="shared" ca="1" si="76"/>
        <v/>
      </c>
      <c r="DF107" s="75" t="str">
        <f t="shared" ca="1" si="76"/>
        <v/>
      </c>
      <c r="DG107" s="75" t="str">
        <f t="shared" ca="1" si="76"/>
        <v/>
      </c>
      <c r="DH107" s="75" t="str">
        <f t="shared" ca="1" si="76"/>
        <v/>
      </c>
      <c r="DI107" s="75" t="str">
        <f t="shared" ca="1" si="76"/>
        <v/>
      </c>
      <c r="DJ107" s="75" t="str">
        <f t="shared" ca="1" si="76"/>
        <v/>
      </c>
      <c r="DK107" s="75" t="str">
        <f t="shared" ca="1" si="80"/>
        <v/>
      </c>
      <c r="DL107" s="75" t="str">
        <f t="shared" ca="1" si="80"/>
        <v/>
      </c>
      <c r="DM107" s="75" t="str">
        <f t="shared" ca="1" si="80"/>
        <v/>
      </c>
      <c r="DN107" s="75" t="str">
        <f t="shared" ca="1" si="80"/>
        <v/>
      </c>
      <c r="DO107" s="75" t="str">
        <f t="shared" ca="1" si="80"/>
        <v/>
      </c>
      <c r="DP107" s="75" t="str">
        <f t="shared" ca="1" si="80"/>
        <v/>
      </c>
      <c r="DQ107" s="75" t="str">
        <f t="shared" ca="1" si="80"/>
        <v/>
      </c>
      <c r="DR107" s="75" t="str">
        <f t="shared" ca="1" si="80"/>
        <v/>
      </c>
      <c r="DS107" s="74" t="str">
        <f t="shared" ca="1" si="80"/>
        <v/>
      </c>
      <c r="DT107" s="74" t="str">
        <f t="shared" ca="1" si="80"/>
        <v/>
      </c>
      <c r="DU107" s="74" t="str">
        <f t="shared" ca="1" si="80"/>
        <v/>
      </c>
      <c r="DV107" s="74" t="str">
        <f t="shared" ca="1" si="80"/>
        <v/>
      </c>
      <c r="DW107" s="74" t="str">
        <f t="shared" ca="1" si="80"/>
        <v/>
      </c>
      <c r="DX107" s="74" t="str">
        <f t="shared" ca="1" si="80"/>
        <v/>
      </c>
      <c r="DY107" s="74" t="str">
        <f t="shared" ca="1" si="80"/>
        <v/>
      </c>
      <c r="DZ107" s="74" t="str">
        <f t="shared" ca="1" si="80"/>
        <v/>
      </c>
      <c r="EA107" s="74" t="str">
        <f t="shared" ca="1" si="77"/>
        <v/>
      </c>
      <c r="EB107" s="74" t="str">
        <f t="shared" ca="1" si="77"/>
        <v/>
      </c>
      <c r="EC107" s="74" t="str">
        <f t="shared" ca="1" si="77"/>
        <v/>
      </c>
      <c r="ED107" s="74" t="str">
        <f t="shared" ca="1" si="77"/>
        <v/>
      </c>
      <c r="EE107" s="74" t="str">
        <f t="shared" ca="1" si="77"/>
        <v/>
      </c>
      <c r="EF107" s="74" t="str">
        <f t="shared" ca="1" si="77"/>
        <v/>
      </c>
      <c r="EG107" s="74" t="str">
        <f t="shared" ca="1" si="77"/>
        <v/>
      </c>
      <c r="EH107" s="74" t="str">
        <f t="shared" ca="1" si="77"/>
        <v/>
      </c>
      <c r="EI107" s="74" t="str">
        <f t="shared" ca="1" si="77"/>
        <v/>
      </c>
      <c r="EJ107" s="74" t="str">
        <f t="shared" ca="1" si="77"/>
        <v/>
      </c>
      <c r="EK107" s="75" t="str">
        <f t="shared" ca="1" si="77"/>
        <v/>
      </c>
      <c r="EL107" s="75" t="str">
        <f t="shared" ca="1" si="77"/>
        <v/>
      </c>
      <c r="EM107" s="75" t="str">
        <f t="shared" ca="1" si="77"/>
        <v/>
      </c>
      <c r="EN107" s="75" t="str">
        <f t="shared" ca="1" si="77"/>
        <v/>
      </c>
      <c r="EO107" s="75" t="str">
        <f t="shared" ca="1" si="77"/>
        <v/>
      </c>
      <c r="EP107" s="75" t="str">
        <f t="shared" ca="1" si="77"/>
        <v/>
      </c>
      <c r="EQ107" s="75" t="str">
        <f t="shared" ca="1" si="81"/>
        <v/>
      </c>
      <c r="ER107" s="75" t="str">
        <f t="shared" ca="1" si="81"/>
        <v/>
      </c>
      <c r="ES107" s="75" t="str">
        <f t="shared" ca="1" si="81"/>
        <v/>
      </c>
      <c r="ET107" s="75" t="str">
        <f t="shared" ca="1" si="81"/>
        <v/>
      </c>
      <c r="EU107" s="75" t="str">
        <f t="shared" ca="1" si="81"/>
        <v/>
      </c>
      <c r="EV107" s="75" t="str">
        <f t="shared" ca="1" si="81"/>
        <v/>
      </c>
      <c r="EW107" s="75" t="str">
        <f t="shared" ca="1" si="81"/>
        <v/>
      </c>
      <c r="EX107" s="75" t="str">
        <f t="shared" ca="1" si="81"/>
        <v/>
      </c>
      <c r="EY107" s="75" t="str">
        <f t="shared" ca="1" si="81"/>
        <v/>
      </c>
      <c r="EZ107" s="75" t="str">
        <f t="shared" ca="1" si="81"/>
        <v/>
      </c>
      <c r="FA107" s="75" t="str">
        <f t="shared" ca="1" si="81"/>
        <v/>
      </c>
      <c r="FB107" s="75" t="str">
        <f t="shared" ca="1" si="81"/>
        <v/>
      </c>
      <c r="FC107" s="76" t="str">
        <f t="shared" ca="1" si="81"/>
        <v/>
      </c>
      <c r="FD107" s="74" t="str">
        <f t="shared" ca="1" si="81"/>
        <v/>
      </c>
      <c r="FE107" s="74" t="str">
        <f t="shared" ca="1" si="81"/>
        <v/>
      </c>
      <c r="FF107" s="74" t="str">
        <f t="shared" ca="1" si="81"/>
        <v/>
      </c>
      <c r="FG107" s="74" t="str">
        <f t="shared" ca="1" si="86"/>
        <v/>
      </c>
      <c r="FH107" s="74" t="str">
        <f t="shared" ca="1" si="86"/>
        <v/>
      </c>
      <c r="FI107" s="74" t="str">
        <f t="shared" ca="1" si="86"/>
        <v/>
      </c>
      <c r="FJ107" s="74" t="str">
        <f t="shared" ca="1" si="86"/>
        <v/>
      </c>
      <c r="FK107" s="74" t="str">
        <f t="shared" ca="1" si="86"/>
        <v/>
      </c>
      <c r="FL107" s="74" t="str">
        <f t="shared" ca="1" si="86"/>
        <v/>
      </c>
      <c r="FM107" s="74" t="str">
        <f t="shared" ca="1" si="86"/>
        <v/>
      </c>
      <c r="FN107" s="74" t="str">
        <f t="shared" ca="1" si="86"/>
        <v/>
      </c>
      <c r="FO107" s="74" t="str">
        <f t="shared" ca="1" si="86"/>
        <v/>
      </c>
      <c r="FP107" s="74" t="str">
        <f t="shared" ca="1" si="86"/>
        <v/>
      </c>
      <c r="FQ107" s="74" t="str">
        <f t="shared" ca="1" si="86"/>
        <v/>
      </c>
      <c r="FR107" s="74" t="str">
        <f t="shared" ca="1" si="86"/>
        <v/>
      </c>
      <c r="FS107" s="74" t="str">
        <f t="shared" ca="1" si="86"/>
        <v/>
      </c>
      <c r="FT107" s="74" t="str">
        <f t="shared" ca="1" si="86"/>
        <v/>
      </c>
    </row>
    <row r="108" spans="1:176" x14ac:dyDescent="0.35">
      <c r="A108" s="74"/>
      <c r="B108" s="74" t="str">
        <f t="shared" ca="1" si="83"/>
        <v/>
      </c>
      <c r="C108" s="74" t="str">
        <f t="shared" ca="1" si="83"/>
        <v/>
      </c>
      <c r="D108" s="74" t="str">
        <f t="shared" ca="1" si="83"/>
        <v/>
      </c>
      <c r="E108" s="74" t="str">
        <f t="shared" ca="1" si="83"/>
        <v/>
      </c>
      <c r="F108" t="str">
        <f t="shared" ca="1" si="83"/>
        <v/>
      </c>
      <c r="G108" t="str">
        <f t="shared" ca="1" si="83"/>
        <v/>
      </c>
      <c r="H108" t="str">
        <f t="shared" ca="1" si="83"/>
        <v/>
      </c>
      <c r="I108" s="74" t="str">
        <f t="shared" ca="1" si="83"/>
        <v/>
      </c>
      <c r="J108" s="74" t="str">
        <f t="shared" ca="1" si="83"/>
        <v/>
      </c>
      <c r="K108" s="74" t="str">
        <f t="shared" ca="1" si="83"/>
        <v/>
      </c>
      <c r="L108" s="74" t="str">
        <f t="shared" ca="1" si="83"/>
        <v/>
      </c>
      <c r="M108" s="74" t="str">
        <f t="shared" ca="1" si="83"/>
        <v/>
      </c>
      <c r="N108" s="74" t="str">
        <f t="shared" ca="1" si="83"/>
        <v/>
      </c>
      <c r="O108" s="74" t="str">
        <f t="shared" ca="1" si="83"/>
        <v/>
      </c>
      <c r="P108" s="74" t="str">
        <f t="shared" ca="1" si="83"/>
        <v/>
      </c>
      <c r="Q108" s="74" t="str">
        <f t="shared" ca="1" si="83"/>
        <v/>
      </c>
      <c r="R108" s="74" t="str">
        <f t="shared" ca="1" si="83"/>
        <v/>
      </c>
      <c r="S108" s="74" t="str">
        <f t="shared" ca="1" si="83"/>
        <v/>
      </c>
      <c r="T108" s="74" t="str">
        <f t="shared" ca="1" si="85"/>
        <v/>
      </c>
      <c r="U108" s="74" t="str">
        <f t="shared" ca="1" si="85"/>
        <v/>
      </c>
      <c r="V108" s="74" t="str">
        <f t="shared" ca="1" si="85"/>
        <v/>
      </c>
      <c r="W108" s="74" t="str">
        <f t="shared" ca="1" si="85"/>
        <v/>
      </c>
      <c r="X108" s="74" t="str">
        <f t="shared" ca="1" si="85"/>
        <v/>
      </c>
      <c r="Y108" s="74" t="str">
        <f t="shared" ca="1" si="85"/>
        <v/>
      </c>
      <c r="Z108" s="74" t="str">
        <f t="shared" ca="1" si="85"/>
        <v/>
      </c>
      <c r="AA108" s="74" t="str">
        <f t="shared" ca="1" si="85"/>
        <v/>
      </c>
      <c r="AB108" s="75" t="str">
        <f t="shared" ca="1" si="85"/>
        <v/>
      </c>
      <c r="AC108" s="75" t="str">
        <f t="shared" ca="1" si="85"/>
        <v/>
      </c>
      <c r="AD108" s="75" t="str">
        <f t="shared" ca="1" si="85"/>
        <v/>
      </c>
      <c r="AE108" s="75" t="str">
        <f t="shared" ca="1" si="85"/>
        <v/>
      </c>
      <c r="AF108" s="75" t="str">
        <f t="shared" ca="1" si="85"/>
        <v/>
      </c>
      <c r="AG108" s="75" t="str">
        <f t="shared" ca="1" si="85"/>
        <v/>
      </c>
      <c r="AH108" s="75" t="str">
        <f t="shared" ca="1" si="85"/>
        <v/>
      </c>
      <c r="AI108" s="75" t="str">
        <f t="shared" ca="1" si="84"/>
        <v/>
      </c>
      <c r="AJ108" s="75" t="str">
        <f t="shared" ca="1" si="84"/>
        <v/>
      </c>
      <c r="AK108" s="75" t="str">
        <f t="shared" ca="1" si="84"/>
        <v/>
      </c>
      <c r="AL108" s="75" t="str">
        <f t="shared" ca="1" si="84"/>
        <v/>
      </c>
      <c r="AM108" s="75" t="str">
        <f t="shared" ca="1" si="84"/>
        <v/>
      </c>
      <c r="AN108" s="75" t="str">
        <f t="shared" ca="1" si="84"/>
        <v/>
      </c>
      <c r="AO108" s="75" t="str">
        <f t="shared" ca="1" si="84"/>
        <v/>
      </c>
      <c r="AP108" s="75" t="str">
        <f t="shared" ca="1" si="84"/>
        <v/>
      </c>
      <c r="AQ108" s="75" t="str">
        <f t="shared" ca="1" si="84"/>
        <v/>
      </c>
      <c r="AR108" s="75" t="str">
        <f t="shared" ca="1" si="84"/>
        <v/>
      </c>
      <c r="AS108" s="75" t="str">
        <f t="shared" ca="1" si="84"/>
        <v/>
      </c>
      <c r="AT108" s="75" t="str">
        <f t="shared" ca="1" si="84"/>
        <v/>
      </c>
      <c r="AU108" s="74" t="str">
        <f t="shared" ca="1" si="84"/>
        <v/>
      </c>
      <c r="AV108" s="74" t="str">
        <f t="shared" ca="1" si="84"/>
        <v/>
      </c>
      <c r="AW108" s="74" t="str">
        <f t="shared" ca="1" si="82"/>
        <v/>
      </c>
      <c r="AX108" s="74" t="str">
        <f t="shared" ca="1" si="82"/>
        <v/>
      </c>
      <c r="AY108" s="74" t="str">
        <f t="shared" ca="1" si="78"/>
        <v/>
      </c>
      <c r="AZ108" s="74" t="str">
        <f t="shared" ca="1" si="78"/>
        <v/>
      </c>
      <c r="BA108" s="74" t="str">
        <f t="shared" ca="1" si="78"/>
        <v/>
      </c>
      <c r="BB108" s="74" t="str">
        <f t="shared" ca="1" si="78"/>
        <v/>
      </c>
      <c r="BC108" s="74" t="str">
        <f t="shared" ca="1" si="78"/>
        <v/>
      </c>
      <c r="BD108" s="74" t="str">
        <f t="shared" ca="1" si="78"/>
        <v/>
      </c>
      <c r="BE108" s="74" t="str">
        <f t="shared" ca="1" si="78"/>
        <v/>
      </c>
      <c r="BF108" s="74" t="str">
        <f t="shared" ca="1" si="78"/>
        <v/>
      </c>
      <c r="BG108" s="74" t="str">
        <f t="shared" ca="1" si="78"/>
        <v/>
      </c>
      <c r="BH108" s="74" t="str">
        <f t="shared" ca="1" si="78"/>
        <v/>
      </c>
      <c r="BI108" s="74" t="str">
        <f t="shared" ca="1" si="78"/>
        <v/>
      </c>
      <c r="BJ108" s="74" t="str">
        <f t="shared" ca="1" si="78"/>
        <v/>
      </c>
      <c r="BK108" s="74" t="str">
        <f t="shared" ca="1" si="78"/>
        <v/>
      </c>
      <c r="BL108" s="74" t="str">
        <f t="shared" ca="1" si="78"/>
        <v/>
      </c>
      <c r="BM108" s="74" t="str">
        <f t="shared" ca="1" si="78"/>
        <v/>
      </c>
      <c r="BN108" s="75" t="str">
        <f t="shared" ca="1" si="78"/>
        <v/>
      </c>
      <c r="BO108" s="75" t="str">
        <f t="shared" ca="1" si="75"/>
        <v/>
      </c>
      <c r="BP108" s="75" t="str">
        <f t="shared" ca="1" si="75"/>
        <v/>
      </c>
      <c r="BQ108" s="75" t="str">
        <f t="shared" ca="1" si="75"/>
        <v/>
      </c>
      <c r="BR108" s="75" t="str">
        <f t="shared" ca="1" si="75"/>
        <v/>
      </c>
      <c r="BS108" s="75" t="str">
        <f t="shared" ca="1" si="75"/>
        <v/>
      </c>
      <c r="BT108" s="75" t="str">
        <f t="shared" ca="1" si="75"/>
        <v/>
      </c>
      <c r="BU108" s="75" t="str">
        <f t="shared" ca="1" si="75"/>
        <v/>
      </c>
      <c r="BV108" s="75" t="str">
        <f t="shared" ca="1" si="75"/>
        <v/>
      </c>
      <c r="BW108" s="75" t="str">
        <f t="shared" ca="1" si="75"/>
        <v/>
      </c>
      <c r="BX108" s="75" t="str">
        <f t="shared" ca="1" si="75"/>
        <v/>
      </c>
      <c r="BY108" s="75" t="str">
        <f t="shared" ca="1" si="75"/>
        <v/>
      </c>
      <c r="BZ108" s="75" t="str">
        <f t="shared" ca="1" si="75"/>
        <v/>
      </c>
      <c r="CA108" s="75" t="str">
        <f t="shared" ca="1" si="75"/>
        <v/>
      </c>
      <c r="CB108" s="75" t="str">
        <f t="shared" ca="1" si="75"/>
        <v/>
      </c>
      <c r="CC108" s="75" t="str">
        <f t="shared" ca="1" si="75"/>
        <v/>
      </c>
      <c r="CD108" s="75" t="str">
        <f t="shared" ca="1" si="75"/>
        <v/>
      </c>
      <c r="CE108" s="75" t="str">
        <f t="shared" ca="1" si="79"/>
        <v/>
      </c>
      <c r="CF108" s="75" t="str">
        <f t="shared" ca="1" si="79"/>
        <v/>
      </c>
      <c r="CG108" s="74" t="str">
        <f t="shared" ca="1" si="79"/>
        <v/>
      </c>
      <c r="CH108" s="74" t="str">
        <f t="shared" ca="1" si="79"/>
        <v/>
      </c>
      <c r="CI108" s="74" t="str">
        <f t="shared" ca="1" si="79"/>
        <v/>
      </c>
      <c r="CJ108" s="74" t="str">
        <f t="shared" ca="1" si="79"/>
        <v/>
      </c>
      <c r="CK108" s="74" t="str">
        <f t="shared" ca="1" si="79"/>
        <v/>
      </c>
      <c r="CL108" s="74" t="str">
        <f t="shared" ca="1" si="79"/>
        <v/>
      </c>
      <c r="CM108" s="74" t="str">
        <f t="shared" ca="1" si="79"/>
        <v/>
      </c>
      <c r="CN108" s="74" t="str">
        <f t="shared" ca="1" si="79"/>
        <v/>
      </c>
      <c r="CO108" s="74" t="str">
        <f t="shared" ca="1" si="79"/>
        <v/>
      </c>
      <c r="CP108" s="74" t="str">
        <f t="shared" ca="1" si="79"/>
        <v/>
      </c>
      <c r="CQ108" s="74" t="str">
        <f t="shared" ca="1" si="79"/>
        <v/>
      </c>
      <c r="CR108" s="74" t="str">
        <f t="shared" ca="1" si="79"/>
        <v/>
      </c>
      <c r="CS108" s="74" t="str">
        <f t="shared" ca="1" si="79"/>
        <v/>
      </c>
      <c r="CT108" s="74" t="str">
        <f t="shared" ca="1" si="79"/>
        <v/>
      </c>
      <c r="CU108" s="74" t="str">
        <f t="shared" ca="1" si="76"/>
        <v/>
      </c>
      <c r="CV108" s="74" t="str">
        <f t="shared" ca="1" si="76"/>
        <v/>
      </c>
      <c r="CW108" s="74" t="str">
        <f t="shared" ca="1" si="76"/>
        <v/>
      </c>
      <c r="CX108" s="74" t="str">
        <f t="shared" ca="1" si="76"/>
        <v/>
      </c>
      <c r="CY108" s="74" t="str">
        <f t="shared" ca="1" si="76"/>
        <v/>
      </c>
      <c r="CZ108" s="75" t="str">
        <f t="shared" ca="1" si="76"/>
        <v/>
      </c>
      <c r="DA108" s="75" t="str">
        <f t="shared" ca="1" si="76"/>
        <v/>
      </c>
      <c r="DB108" s="75" t="str">
        <f t="shared" ca="1" si="76"/>
        <v/>
      </c>
      <c r="DC108" s="75" t="str">
        <f t="shared" ca="1" si="76"/>
        <v/>
      </c>
      <c r="DD108" s="75" t="str">
        <f t="shared" ca="1" si="76"/>
        <v/>
      </c>
      <c r="DE108" s="75" t="str">
        <f t="shared" ca="1" si="76"/>
        <v/>
      </c>
      <c r="DF108" s="75" t="str">
        <f t="shared" ca="1" si="76"/>
        <v/>
      </c>
      <c r="DG108" s="75" t="str">
        <f t="shared" ca="1" si="76"/>
        <v/>
      </c>
      <c r="DH108" s="75" t="str">
        <f t="shared" ca="1" si="76"/>
        <v/>
      </c>
      <c r="DI108" s="75" t="str">
        <f t="shared" ca="1" si="76"/>
        <v/>
      </c>
      <c r="DJ108" s="75" t="str">
        <f t="shared" ca="1" si="76"/>
        <v/>
      </c>
      <c r="DK108" s="75" t="str">
        <f t="shared" ca="1" si="80"/>
        <v/>
      </c>
      <c r="DL108" s="75" t="str">
        <f t="shared" ca="1" si="80"/>
        <v/>
      </c>
      <c r="DM108" s="75" t="str">
        <f t="shared" ca="1" si="80"/>
        <v/>
      </c>
      <c r="DN108" s="75" t="str">
        <f t="shared" ca="1" si="80"/>
        <v/>
      </c>
      <c r="DO108" s="75" t="str">
        <f t="shared" ca="1" si="80"/>
        <v/>
      </c>
      <c r="DP108" s="75" t="str">
        <f t="shared" ca="1" si="80"/>
        <v/>
      </c>
      <c r="DQ108" s="75" t="str">
        <f t="shared" ca="1" si="80"/>
        <v/>
      </c>
      <c r="DR108" s="75" t="str">
        <f t="shared" ca="1" si="80"/>
        <v/>
      </c>
      <c r="DS108" s="74" t="str">
        <f t="shared" ca="1" si="80"/>
        <v/>
      </c>
      <c r="DT108" s="74" t="str">
        <f t="shared" ca="1" si="80"/>
        <v/>
      </c>
      <c r="DU108" s="74" t="str">
        <f t="shared" ca="1" si="80"/>
        <v/>
      </c>
      <c r="DV108" s="74" t="str">
        <f t="shared" ca="1" si="80"/>
        <v/>
      </c>
      <c r="DW108" s="74" t="str">
        <f t="shared" ca="1" si="80"/>
        <v/>
      </c>
      <c r="DX108" s="74" t="str">
        <f t="shared" ca="1" si="80"/>
        <v/>
      </c>
      <c r="DY108" s="74" t="str">
        <f t="shared" ca="1" si="80"/>
        <v/>
      </c>
      <c r="DZ108" s="74" t="str">
        <f t="shared" ca="1" si="80"/>
        <v/>
      </c>
      <c r="EA108" s="74" t="str">
        <f t="shared" ca="1" si="77"/>
        <v/>
      </c>
      <c r="EB108" s="74" t="str">
        <f t="shared" ca="1" si="77"/>
        <v/>
      </c>
      <c r="EC108" s="74" t="str">
        <f t="shared" ca="1" si="77"/>
        <v/>
      </c>
      <c r="ED108" s="74" t="str">
        <f t="shared" ca="1" si="77"/>
        <v/>
      </c>
      <c r="EE108" s="74" t="str">
        <f t="shared" ca="1" si="77"/>
        <v/>
      </c>
      <c r="EF108" s="74" t="str">
        <f t="shared" ca="1" si="77"/>
        <v/>
      </c>
      <c r="EG108" s="74" t="str">
        <f t="shared" ca="1" si="77"/>
        <v/>
      </c>
      <c r="EH108" s="74" t="str">
        <f t="shared" ca="1" si="77"/>
        <v/>
      </c>
      <c r="EI108" s="74" t="str">
        <f t="shared" ca="1" si="77"/>
        <v/>
      </c>
      <c r="EJ108" s="74" t="str">
        <f t="shared" ca="1" si="77"/>
        <v/>
      </c>
      <c r="EK108" s="75" t="str">
        <f t="shared" ca="1" si="77"/>
        <v/>
      </c>
      <c r="EL108" s="75" t="str">
        <f t="shared" ca="1" si="77"/>
        <v/>
      </c>
      <c r="EM108" s="75" t="str">
        <f t="shared" ca="1" si="77"/>
        <v/>
      </c>
      <c r="EN108" s="75" t="str">
        <f t="shared" ca="1" si="77"/>
        <v/>
      </c>
      <c r="EO108" s="75" t="str">
        <f t="shared" ca="1" si="77"/>
        <v/>
      </c>
      <c r="EP108" s="75" t="str">
        <f t="shared" ca="1" si="77"/>
        <v/>
      </c>
      <c r="EQ108" s="75" t="str">
        <f t="shared" ca="1" si="81"/>
        <v/>
      </c>
      <c r="ER108" s="75" t="str">
        <f t="shared" ca="1" si="81"/>
        <v/>
      </c>
      <c r="ES108" s="75" t="str">
        <f t="shared" ca="1" si="81"/>
        <v/>
      </c>
      <c r="ET108" s="75" t="str">
        <f t="shared" ca="1" si="81"/>
        <v/>
      </c>
      <c r="EU108" s="75" t="str">
        <f t="shared" ca="1" si="81"/>
        <v/>
      </c>
      <c r="EV108" s="75" t="str">
        <f t="shared" ca="1" si="81"/>
        <v/>
      </c>
      <c r="EW108" s="75" t="str">
        <f t="shared" ca="1" si="81"/>
        <v/>
      </c>
      <c r="EX108" s="75" t="str">
        <f t="shared" ca="1" si="81"/>
        <v/>
      </c>
      <c r="EY108" s="75" t="str">
        <f t="shared" ca="1" si="81"/>
        <v/>
      </c>
      <c r="EZ108" s="75" t="str">
        <f t="shared" ca="1" si="81"/>
        <v/>
      </c>
      <c r="FA108" s="75" t="str">
        <f t="shared" ca="1" si="81"/>
        <v/>
      </c>
      <c r="FB108" s="75" t="str">
        <f t="shared" ca="1" si="81"/>
        <v/>
      </c>
      <c r="FC108" s="76" t="str">
        <f t="shared" ca="1" si="81"/>
        <v/>
      </c>
      <c r="FD108" s="74" t="str">
        <f t="shared" ca="1" si="81"/>
        <v/>
      </c>
      <c r="FE108" s="74" t="str">
        <f t="shared" ca="1" si="81"/>
        <v/>
      </c>
      <c r="FF108" s="74" t="str">
        <f t="shared" ca="1" si="81"/>
        <v/>
      </c>
      <c r="FG108" s="74" t="str">
        <f t="shared" ca="1" si="86"/>
        <v/>
      </c>
      <c r="FH108" s="74" t="str">
        <f t="shared" ca="1" si="86"/>
        <v/>
      </c>
      <c r="FI108" s="74" t="str">
        <f t="shared" ca="1" si="86"/>
        <v/>
      </c>
      <c r="FJ108" s="74" t="str">
        <f t="shared" ca="1" si="86"/>
        <v/>
      </c>
      <c r="FK108" s="74" t="str">
        <f t="shared" ca="1" si="86"/>
        <v/>
      </c>
      <c r="FL108" s="74" t="str">
        <f t="shared" ca="1" si="86"/>
        <v/>
      </c>
      <c r="FM108" s="74" t="str">
        <f t="shared" ca="1" si="86"/>
        <v/>
      </c>
      <c r="FN108" s="74" t="str">
        <f t="shared" ca="1" si="86"/>
        <v/>
      </c>
      <c r="FO108" s="74" t="str">
        <f t="shared" ca="1" si="86"/>
        <v/>
      </c>
      <c r="FP108" s="74" t="str">
        <f t="shared" ca="1" si="86"/>
        <v/>
      </c>
      <c r="FQ108" s="74" t="str">
        <f t="shared" ca="1" si="86"/>
        <v/>
      </c>
      <c r="FR108" s="74" t="str">
        <f t="shared" ca="1" si="86"/>
        <v/>
      </c>
      <c r="FS108" s="74" t="str">
        <f t="shared" ca="1" si="86"/>
        <v/>
      </c>
      <c r="FT108" s="74" t="str">
        <f t="shared" ca="1" si="86"/>
        <v/>
      </c>
    </row>
    <row r="109" spans="1:176" x14ac:dyDescent="0.35">
      <c r="A109" s="74"/>
      <c r="B109" s="74" t="str">
        <f t="shared" ca="1" si="83"/>
        <v/>
      </c>
      <c r="C109" s="74" t="str">
        <f t="shared" ca="1" si="83"/>
        <v/>
      </c>
      <c r="D109" s="74" t="str">
        <f t="shared" ca="1" si="83"/>
        <v/>
      </c>
      <c r="E109" s="74" t="str">
        <f t="shared" ca="1" si="83"/>
        <v/>
      </c>
      <c r="F109" t="str">
        <f t="shared" ca="1" si="83"/>
        <v/>
      </c>
      <c r="G109" t="str">
        <f t="shared" ca="1" si="83"/>
        <v/>
      </c>
      <c r="H109" t="str">
        <f t="shared" ca="1" si="83"/>
        <v/>
      </c>
      <c r="I109" s="74" t="str">
        <f t="shared" ca="1" si="83"/>
        <v/>
      </c>
      <c r="J109" s="74" t="str">
        <f t="shared" ca="1" si="83"/>
        <v/>
      </c>
      <c r="K109" s="74" t="str">
        <f t="shared" ca="1" si="83"/>
        <v/>
      </c>
      <c r="L109" s="74" t="str">
        <f t="shared" ca="1" si="83"/>
        <v/>
      </c>
      <c r="M109" s="74" t="str">
        <f t="shared" ca="1" si="83"/>
        <v/>
      </c>
      <c r="N109" s="74" t="str">
        <f t="shared" ca="1" si="83"/>
        <v/>
      </c>
      <c r="O109" s="74" t="str">
        <f t="shared" ca="1" si="83"/>
        <v/>
      </c>
      <c r="P109" s="74" t="str">
        <f t="shared" ca="1" si="83"/>
        <v/>
      </c>
      <c r="Q109" s="74" t="str">
        <f t="shared" ca="1" si="83"/>
        <v/>
      </c>
      <c r="R109" s="74" t="str">
        <f t="shared" ca="1" si="83"/>
        <v/>
      </c>
      <c r="S109" s="74" t="str">
        <f t="shared" ca="1" si="83"/>
        <v/>
      </c>
      <c r="T109" s="74" t="str">
        <f t="shared" ca="1" si="85"/>
        <v/>
      </c>
      <c r="U109" s="74" t="str">
        <f t="shared" ca="1" si="85"/>
        <v/>
      </c>
      <c r="V109" s="74" t="str">
        <f t="shared" ca="1" si="85"/>
        <v/>
      </c>
      <c r="W109" s="74" t="str">
        <f t="shared" ca="1" si="85"/>
        <v/>
      </c>
      <c r="X109" s="74" t="str">
        <f t="shared" ca="1" si="85"/>
        <v/>
      </c>
      <c r="Y109" s="74" t="str">
        <f t="shared" ca="1" si="85"/>
        <v/>
      </c>
      <c r="Z109" s="74" t="str">
        <f t="shared" ca="1" si="85"/>
        <v/>
      </c>
      <c r="AA109" s="74" t="str">
        <f t="shared" ca="1" si="85"/>
        <v/>
      </c>
      <c r="AB109" s="75" t="str">
        <f t="shared" ca="1" si="85"/>
        <v/>
      </c>
      <c r="AC109" s="75" t="str">
        <f t="shared" ca="1" si="85"/>
        <v/>
      </c>
      <c r="AD109" s="75" t="str">
        <f t="shared" ca="1" si="85"/>
        <v/>
      </c>
      <c r="AE109" s="75" t="str">
        <f t="shared" ca="1" si="85"/>
        <v/>
      </c>
      <c r="AF109" s="75" t="str">
        <f t="shared" ca="1" si="85"/>
        <v/>
      </c>
      <c r="AG109" s="75" t="str">
        <f t="shared" ca="1" si="85"/>
        <v/>
      </c>
      <c r="AH109" s="75" t="str">
        <f t="shared" ca="1" si="85"/>
        <v/>
      </c>
      <c r="AI109" s="75" t="str">
        <f t="shared" ca="1" si="84"/>
        <v/>
      </c>
      <c r="AJ109" s="75" t="str">
        <f t="shared" ca="1" si="84"/>
        <v/>
      </c>
      <c r="AK109" s="75" t="str">
        <f t="shared" ca="1" si="84"/>
        <v/>
      </c>
      <c r="AL109" s="75" t="str">
        <f t="shared" ca="1" si="84"/>
        <v/>
      </c>
      <c r="AM109" s="75" t="str">
        <f t="shared" ca="1" si="84"/>
        <v/>
      </c>
      <c r="AN109" s="75" t="str">
        <f t="shared" ca="1" si="84"/>
        <v/>
      </c>
      <c r="AO109" s="75" t="str">
        <f t="shared" ca="1" si="84"/>
        <v/>
      </c>
      <c r="AP109" s="75" t="str">
        <f t="shared" ca="1" si="84"/>
        <v/>
      </c>
      <c r="AQ109" s="75" t="str">
        <f t="shared" ca="1" si="84"/>
        <v/>
      </c>
      <c r="AR109" s="75" t="str">
        <f t="shared" ca="1" si="84"/>
        <v/>
      </c>
      <c r="AS109" s="75" t="str">
        <f t="shared" ca="1" si="84"/>
        <v/>
      </c>
      <c r="AT109" s="75" t="str">
        <f t="shared" ca="1" si="84"/>
        <v/>
      </c>
      <c r="AU109" s="74" t="str">
        <f t="shared" ca="1" si="84"/>
        <v/>
      </c>
      <c r="AV109" s="74" t="str">
        <f t="shared" ca="1" si="84"/>
        <v/>
      </c>
      <c r="AW109" s="74" t="str">
        <f t="shared" ca="1" si="82"/>
        <v/>
      </c>
      <c r="AX109" s="74" t="str">
        <f t="shared" ca="1" si="82"/>
        <v/>
      </c>
      <c r="AY109" s="74" t="str">
        <f t="shared" ca="1" si="78"/>
        <v/>
      </c>
      <c r="AZ109" s="74" t="str">
        <f t="shared" ca="1" si="78"/>
        <v/>
      </c>
      <c r="BA109" s="74" t="str">
        <f t="shared" ca="1" si="78"/>
        <v/>
      </c>
      <c r="BB109" s="74" t="str">
        <f t="shared" ca="1" si="78"/>
        <v/>
      </c>
      <c r="BC109" s="74" t="str">
        <f t="shared" ca="1" si="78"/>
        <v/>
      </c>
      <c r="BD109" s="74" t="str">
        <f t="shared" ca="1" si="78"/>
        <v/>
      </c>
      <c r="BE109" s="74" t="str">
        <f t="shared" ca="1" si="78"/>
        <v/>
      </c>
      <c r="BF109" s="74" t="str">
        <f t="shared" ca="1" si="78"/>
        <v/>
      </c>
      <c r="BG109" s="74" t="str">
        <f t="shared" ca="1" si="78"/>
        <v/>
      </c>
      <c r="BH109" s="74" t="str">
        <f t="shared" ca="1" si="78"/>
        <v/>
      </c>
      <c r="BI109" s="74" t="str">
        <f t="shared" ca="1" si="78"/>
        <v/>
      </c>
      <c r="BJ109" s="74" t="str">
        <f t="shared" ca="1" si="78"/>
        <v/>
      </c>
      <c r="BK109" s="74" t="str">
        <f t="shared" ca="1" si="78"/>
        <v/>
      </c>
      <c r="BL109" s="74" t="str">
        <f t="shared" ca="1" si="78"/>
        <v/>
      </c>
      <c r="BM109" s="74" t="str">
        <f t="shared" ca="1" si="78"/>
        <v/>
      </c>
      <c r="BN109" s="75" t="str">
        <f t="shared" ca="1" si="78"/>
        <v/>
      </c>
      <c r="BO109" s="75" t="str">
        <f t="shared" ca="1" si="75"/>
        <v/>
      </c>
      <c r="BP109" s="75" t="str">
        <f t="shared" ca="1" si="75"/>
        <v/>
      </c>
      <c r="BQ109" s="75" t="str">
        <f t="shared" ca="1" si="75"/>
        <v/>
      </c>
      <c r="BR109" s="75" t="str">
        <f t="shared" ca="1" si="75"/>
        <v/>
      </c>
      <c r="BS109" s="75" t="str">
        <f t="shared" ca="1" si="75"/>
        <v/>
      </c>
      <c r="BT109" s="75" t="str">
        <f t="shared" ca="1" si="75"/>
        <v/>
      </c>
      <c r="BU109" s="75" t="str">
        <f t="shared" ca="1" si="75"/>
        <v/>
      </c>
      <c r="BV109" s="75" t="str">
        <f t="shared" ca="1" si="75"/>
        <v/>
      </c>
      <c r="BW109" s="75" t="str">
        <f t="shared" ca="1" si="75"/>
        <v/>
      </c>
      <c r="BX109" s="75" t="str">
        <f t="shared" ca="1" si="75"/>
        <v/>
      </c>
      <c r="BY109" s="75" t="str">
        <f t="shared" ca="1" si="75"/>
        <v/>
      </c>
      <c r="BZ109" s="75" t="str">
        <f t="shared" ca="1" si="75"/>
        <v/>
      </c>
      <c r="CA109" s="75" t="str">
        <f t="shared" ca="1" si="75"/>
        <v/>
      </c>
      <c r="CB109" s="75" t="str">
        <f t="shared" ca="1" si="75"/>
        <v/>
      </c>
      <c r="CC109" s="75" t="str">
        <f t="shared" ca="1" si="75"/>
        <v/>
      </c>
      <c r="CD109" s="75" t="str">
        <f t="shared" ca="1" si="75"/>
        <v/>
      </c>
      <c r="CE109" s="75" t="str">
        <f t="shared" ca="1" si="79"/>
        <v/>
      </c>
      <c r="CF109" s="75" t="str">
        <f t="shared" ca="1" si="79"/>
        <v/>
      </c>
      <c r="CG109" s="74" t="str">
        <f t="shared" ca="1" si="79"/>
        <v/>
      </c>
      <c r="CH109" s="74" t="str">
        <f t="shared" ca="1" si="79"/>
        <v/>
      </c>
      <c r="CI109" s="74" t="str">
        <f t="shared" ca="1" si="79"/>
        <v/>
      </c>
      <c r="CJ109" s="74" t="str">
        <f t="shared" ca="1" si="79"/>
        <v/>
      </c>
      <c r="CK109" s="74" t="str">
        <f t="shared" ca="1" si="79"/>
        <v/>
      </c>
      <c r="CL109" s="74" t="str">
        <f t="shared" ca="1" si="79"/>
        <v/>
      </c>
      <c r="CM109" s="74" t="str">
        <f t="shared" ca="1" si="79"/>
        <v/>
      </c>
      <c r="CN109" s="74" t="str">
        <f t="shared" ca="1" si="79"/>
        <v/>
      </c>
      <c r="CO109" s="74" t="str">
        <f t="shared" ca="1" si="79"/>
        <v/>
      </c>
      <c r="CP109" s="74" t="str">
        <f t="shared" ca="1" si="79"/>
        <v/>
      </c>
      <c r="CQ109" s="74" t="str">
        <f t="shared" ca="1" si="79"/>
        <v/>
      </c>
      <c r="CR109" s="74" t="str">
        <f t="shared" ca="1" si="79"/>
        <v/>
      </c>
      <c r="CS109" s="74" t="str">
        <f t="shared" ca="1" si="79"/>
        <v/>
      </c>
      <c r="CT109" s="74" t="str">
        <f t="shared" ca="1" si="79"/>
        <v/>
      </c>
      <c r="CU109" s="74" t="str">
        <f t="shared" ca="1" si="76"/>
        <v/>
      </c>
      <c r="CV109" s="74" t="str">
        <f t="shared" ca="1" si="76"/>
        <v/>
      </c>
      <c r="CW109" s="74" t="str">
        <f t="shared" ca="1" si="76"/>
        <v/>
      </c>
      <c r="CX109" s="74" t="str">
        <f t="shared" ca="1" si="76"/>
        <v/>
      </c>
      <c r="CY109" s="74" t="str">
        <f t="shared" ca="1" si="76"/>
        <v/>
      </c>
      <c r="CZ109" s="75" t="str">
        <f t="shared" ca="1" si="76"/>
        <v/>
      </c>
      <c r="DA109" s="75" t="str">
        <f t="shared" ca="1" si="76"/>
        <v/>
      </c>
      <c r="DB109" s="75" t="str">
        <f t="shared" ca="1" si="76"/>
        <v/>
      </c>
      <c r="DC109" s="75" t="str">
        <f t="shared" ca="1" si="76"/>
        <v/>
      </c>
      <c r="DD109" s="75" t="str">
        <f t="shared" ca="1" si="76"/>
        <v/>
      </c>
      <c r="DE109" s="75" t="str">
        <f t="shared" ca="1" si="76"/>
        <v/>
      </c>
      <c r="DF109" s="75" t="str">
        <f t="shared" ca="1" si="76"/>
        <v/>
      </c>
      <c r="DG109" s="75" t="str">
        <f t="shared" ca="1" si="76"/>
        <v/>
      </c>
      <c r="DH109" s="75" t="str">
        <f t="shared" ca="1" si="76"/>
        <v/>
      </c>
      <c r="DI109" s="75" t="str">
        <f t="shared" ca="1" si="76"/>
        <v/>
      </c>
      <c r="DJ109" s="75" t="str">
        <f t="shared" ca="1" si="76"/>
        <v/>
      </c>
      <c r="DK109" s="75" t="str">
        <f t="shared" ca="1" si="80"/>
        <v/>
      </c>
      <c r="DL109" s="75" t="str">
        <f t="shared" ca="1" si="80"/>
        <v/>
      </c>
      <c r="DM109" s="75" t="str">
        <f t="shared" ca="1" si="80"/>
        <v/>
      </c>
      <c r="DN109" s="75" t="str">
        <f t="shared" ca="1" si="80"/>
        <v/>
      </c>
      <c r="DO109" s="75" t="str">
        <f t="shared" ca="1" si="80"/>
        <v/>
      </c>
      <c r="DP109" s="75" t="str">
        <f t="shared" ca="1" si="80"/>
        <v/>
      </c>
      <c r="DQ109" s="75" t="str">
        <f t="shared" ca="1" si="80"/>
        <v/>
      </c>
      <c r="DR109" s="75" t="str">
        <f t="shared" ca="1" si="80"/>
        <v/>
      </c>
      <c r="DS109" s="74" t="str">
        <f t="shared" ca="1" si="80"/>
        <v/>
      </c>
      <c r="DT109" s="74" t="str">
        <f t="shared" ca="1" si="80"/>
        <v/>
      </c>
      <c r="DU109" s="74" t="str">
        <f t="shared" ca="1" si="80"/>
        <v/>
      </c>
      <c r="DV109" s="74" t="str">
        <f t="shared" ca="1" si="80"/>
        <v/>
      </c>
      <c r="DW109" s="74" t="str">
        <f t="shared" ca="1" si="80"/>
        <v/>
      </c>
      <c r="DX109" s="74" t="str">
        <f t="shared" ca="1" si="80"/>
        <v/>
      </c>
      <c r="DY109" s="74" t="str">
        <f t="shared" ca="1" si="80"/>
        <v/>
      </c>
      <c r="DZ109" s="74" t="str">
        <f t="shared" ca="1" si="80"/>
        <v/>
      </c>
      <c r="EA109" s="74" t="str">
        <f t="shared" ca="1" si="77"/>
        <v/>
      </c>
      <c r="EB109" s="74" t="str">
        <f t="shared" ca="1" si="77"/>
        <v/>
      </c>
      <c r="EC109" s="74" t="str">
        <f t="shared" ca="1" si="77"/>
        <v/>
      </c>
      <c r="ED109" s="74" t="str">
        <f t="shared" ca="1" si="77"/>
        <v/>
      </c>
      <c r="EE109" s="74" t="str">
        <f t="shared" ca="1" si="77"/>
        <v/>
      </c>
      <c r="EF109" s="74" t="str">
        <f t="shared" ca="1" si="77"/>
        <v/>
      </c>
      <c r="EG109" s="74" t="str">
        <f t="shared" ca="1" si="77"/>
        <v/>
      </c>
      <c r="EH109" s="74" t="str">
        <f t="shared" ca="1" si="77"/>
        <v/>
      </c>
      <c r="EI109" s="74" t="str">
        <f t="shared" ca="1" si="77"/>
        <v/>
      </c>
      <c r="EJ109" s="74" t="str">
        <f t="shared" ca="1" si="77"/>
        <v/>
      </c>
      <c r="EK109" s="75" t="str">
        <f t="shared" ca="1" si="77"/>
        <v/>
      </c>
      <c r="EL109" s="75" t="str">
        <f t="shared" ca="1" si="77"/>
        <v/>
      </c>
      <c r="EM109" s="75" t="str">
        <f t="shared" ca="1" si="77"/>
        <v/>
      </c>
      <c r="EN109" s="75" t="str">
        <f t="shared" ca="1" si="77"/>
        <v/>
      </c>
      <c r="EO109" s="75" t="str">
        <f t="shared" ca="1" si="77"/>
        <v/>
      </c>
      <c r="EP109" s="75" t="str">
        <f t="shared" ca="1" si="77"/>
        <v/>
      </c>
      <c r="EQ109" s="75" t="str">
        <f t="shared" ca="1" si="81"/>
        <v/>
      </c>
      <c r="ER109" s="75" t="str">
        <f t="shared" ca="1" si="81"/>
        <v/>
      </c>
      <c r="ES109" s="75" t="str">
        <f t="shared" ca="1" si="81"/>
        <v/>
      </c>
      <c r="ET109" s="75" t="str">
        <f t="shared" ca="1" si="81"/>
        <v/>
      </c>
      <c r="EU109" s="75" t="str">
        <f t="shared" ca="1" si="81"/>
        <v/>
      </c>
      <c r="EV109" s="75" t="str">
        <f t="shared" ca="1" si="81"/>
        <v/>
      </c>
      <c r="EW109" s="75" t="str">
        <f t="shared" ca="1" si="81"/>
        <v/>
      </c>
      <c r="EX109" s="75" t="str">
        <f t="shared" ca="1" si="81"/>
        <v/>
      </c>
      <c r="EY109" s="75" t="str">
        <f t="shared" ca="1" si="81"/>
        <v/>
      </c>
      <c r="EZ109" s="75" t="str">
        <f t="shared" ca="1" si="81"/>
        <v/>
      </c>
      <c r="FA109" s="75" t="str">
        <f t="shared" ca="1" si="81"/>
        <v/>
      </c>
      <c r="FB109" s="75" t="str">
        <f t="shared" ca="1" si="81"/>
        <v/>
      </c>
      <c r="FC109" s="76" t="str">
        <f t="shared" ca="1" si="81"/>
        <v/>
      </c>
      <c r="FD109" s="74" t="str">
        <f t="shared" ca="1" si="81"/>
        <v/>
      </c>
      <c r="FE109" s="74" t="str">
        <f t="shared" ca="1" si="81"/>
        <v/>
      </c>
      <c r="FF109" s="74" t="str">
        <f t="shared" ca="1" si="81"/>
        <v/>
      </c>
      <c r="FG109" s="74" t="str">
        <f t="shared" ca="1" si="86"/>
        <v/>
      </c>
      <c r="FH109" s="74" t="str">
        <f t="shared" ca="1" si="86"/>
        <v/>
      </c>
      <c r="FI109" s="74" t="str">
        <f t="shared" ca="1" si="86"/>
        <v/>
      </c>
      <c r="FJ109" s="74" t="str">
        <f t="shared" ca="1" si="86"/>
        <v/>
      </c>
      <c r="FK109" s="74" t="str">
        <f t="shared" ca="1" si="86"/>
        <v/>
      </c>
      <c r="FL109" s="74" t="str">
        <f t="shared" ca="1" si="86"/>
        <v/>
      </c>
      <c r="FM109" s="74" t="str">
        <f t="shared" ca="1" si="86"/>
        <v/>
      </c>
      <c r="FN109" s="74" t="str">
        <f t="shared" ca="1" si="86"/>
        <v/>
      </c>
      <c r="FO109" s="74" t="str">
        <f t="shared" ca="1" si="86"/>
        <v/>
      </c>
      <c r="FP109" s="74" t="str">
        <f t="shared" ca="1" si="86"/>
        <v/>
      </c>
      <c r="FQ109" s="74" t="str">
        <f t="shared" ca="1" si="86"/>
        <v/>
      </c>
      <c r="FR109" s="74" t="str">
        <f t="shared" ca="1" si="86"/>
        <v/>
      </c>
      <c r="FS109" s="74" t="str">
        <f t="shared" ca="1" si="86"/>
        <v/>
      </c>
      <c r="FT109" s="74" t="str">
        <f t="shared" ca="1" si="86"/>
        <v/>
      </c>
    </row>
    <row r="110" spans="1:176" x14ac:dyDescent="0.35">
      <c r="A110" s="74"/>
      <c r="B110" s="74" t="str">
        <f t="shared" ca="1" si="83"/>
        <v/>
      </c>
      <c r="C110" s="74" t="str">
        <f t="shared" ca="1" si="83"/>
        <v/>
      </c>
      <c r="D110" s="74" t="str">
        <f t="shared" ca="1" si="83"/>
        <v/>
      </c>
      <c r="E110" s="74" t="str">
        <f t="shared" ca="1" si="83"/>
        <v/>
      </c>
      <c r="F110" t="str">
        <f t="shared" ca="1" si="83"/>
        <v/>
      </c>
      <c r="G110" t="str">
        <f t="shared" ca="1" si="83"/>
        <v/>
      </c>
      <c r="H110" t="str">
        <f t="shared" ca="1" si="83"/>
        <v/>
      </c>
      <c r="I110" s="74" t="str">
        <f t="shared" ca="1" si="83"/>
        <v/>
      </c>
      <c r="J110" s="74" t="str">
        <f t="shared" ca="1" si="83"/>
        <v/>
      </c>
      <c r="K110" s="74" t="str">
        <f t="shared" ca="1" si="83"/>
        <v/>
      </c>
      <c r="L110" s="74" t="str">
        <f t="shared" ca="1" si="83"/>
        <v/>
      </c>
      <c r="M110" s="74" t="str">
        <f t="shared" ca="1" si="83"/>
        <v/>
      </c>
      <c r="N110" s="74" t="str">
        <f t="shared" ca="1" si="83"/>
        <v/>
      </c>
      <c r="O110" s="74" t="str">
        <f t="shared" ca="1" si="83"/>
        <v/>
      </c>
      <c r="P110" s="74" t="str">
        <f t="shared" ca="1" si="83"/>
        <v/>
      </c>
      <c r="Q110" s="74" t="str">
        <f t="shared" ca="1" si="83"/>
        <v/>
      </c>
      <c r="R110" s="74" t="str">
        <f t="shared" ca="1" si="83"/>
        <v/>
      </c>
      <c r="S110" s="74" t="str">
        <f t="shared" ca="1" si="83"/>
        <v/>
      </c>
      <c r="T110" s="74" t="str">
        <f t="shared" ca="1" si="85"/>
        <v/>
      </c>
      <c r="U110" s="74" t="str">
        <f t="shared" ca="1" si="85"/>
        <v/>
      </c>
      <c r="V110" s="74" t="str">
        <f t="shared" ca="1" si="85"/>
        <v/>
      </c>
      <c r="W110" s="74" t="str">
        <f t="shared" ca="1" si="85"/>
        <v/>
      </c>
      <c r="X110" s="74" t="str">
        <f t="shared" ca="1" si="85"/>
        <v/>
      </c>
      <c r="Y110" s="74" t="str">
        <f t="shared" ca="1" si="85"/>
        <v/>
      </c>
      <c r="Z110" s="74" t="str">
        <f t="shared" ca="1" si="85"/>
        <v/>
      </c>
      <c r="AA110" s="74" t="str">
        <f t="shared" ca="1" si="85"/>
        <v/>
      </c>
      <c r="AB110" s="75" t="str">
        <f t="shared" ca="1" si="85"/>
        <v/>
      </c>
      <c r="AC110" s="75" t="str">
        <f t="shared" ca="1" si="85"/>
        <v/>
      </c>
      <c r="AD110" s="75" t="str">
        <f t="shared" ca="1" si="85"/>
        <v/>
      </c>
      <c r="AE110" s="75" t="str">
        <f t="shared" ca="1" si="85"/>
        <v/>
      </c>
      <c r="AF110" s="75" t="str">
        <f t="shared" ca="1" si="85"/>
        <v/>
      </c>
      <c r="AG110" s="75" t="str">
        <f t="shared" ca="1" si="85"/>
        <v/>
      </c>
      <c r="AH110" s="75" t="str">
        <f t="shared" ca="1" si="85"/>
        <v/>
      </c>
      <c r="AI110" s="75" t="str">
        <f t="shared" ca="1" si="84"/>
        <v/>
      </c>
      <c r="AJ110" s="75" t="str">
        <f t="shared" ca="1" si="84"/>
        <v/>
      </c>
      <c r="AK110" s="75" t="str">
        <f t="shared" ca="1" si="84"/>
        <v/>
      </c>
      <c r="AL110" s="75" t="str">
        <f t="shared" ca="1" si="84"/>
        <v/>
      </c>
      <c r="AM110" s="75" t="str">
        <f t="shared" ca="1" si="84"/>
        <v/>
      </c>
      <c r="AN110" s="75" t="str">
        <f t="shared" ca="1" si="84"/>
        <v/>
      </c>
      <c r="AO110" s="75" t="str">
        <f t="shared" ca="1" si="84"/>
        <v/>
      </c>
      <c r="AP110" s="75" t="str">
        <f t="shared" ca="1" si="84"/>
        <v/>
      </c>
      <c r="AQ110" s="75" t="str">
        <f t="shared" ca="1" si="84"/>
        <v/>
      </c>
      <c r="AR110" s="75" t="str">
        <f t="shared" ca="1" si="84"/>
        <v/>
      </c>
      <c r="AS110" s="75" t="str">
        <f t="shared" ca="1" si="84"/>
        <v/>
      </c>
      <c r="AT110" s="75" t="str">
        <f t="shared" ca="1" si="84"/>
        <v/>
      </c>
      <c r="AU110" s="74" t="str">
        <f t="shared" ca="1" si="84"/>
        <v/>
      </c>
      <c r="AV110" s="74" t="str">
        <f t="shared" ca="1" si="84"/>
        <v/>
      </c>
      <c r="AW110" s="74" t="str">
        <f t="shared" ca="1" si="82"/>
        <v/>
      </c>
      <c r="AX110" s="74" t="str">
        <f t="shared" ca="1" si="82"/>
        <v/>
      </c>
      <c r="AY110" s="74" t="str">
        <f t="shared" ca="1" si="78"/>
        <v/>
      </c>
      <c r="AZ110" s="74" t="str">
        <f t="shared" ca="1" si="78"/>
        <v/>
      </c>
      <c r="BA110" s="74" t="str">
        <f t="shared" ca="1" si="78"/>
        <v/>
      </c>
      <c r="BB110" s="74" t="str">
        <f t="shared" ca="1" si="78"/>
        <v/>
      </c>
      <c r="BC110" s="74" t="str">
        <f t="shared" ca="1" si="78"/>
        <v/>
      </c>
      <c r="BD110" s="74" t="str">
        <f t="shared" ca="1" si="78"/>
        <v/>
      </c>
      <c r="BE110" s="74" t="str">
        <f t="shared" ca="1" si="78"/>
        <v/>
      </c>
      <c r="BF110" s="74" t="str">
        <f t="shared" ca="1" si="78"/>
        <v/>
      </c>
      <c r="BG110" s="74" t="str">
        <f t="shared" ca="1" si="78"/>
        <v/>
      </c>
      <c r="BH110" s="74" t="str">
        <f t="shared" ca="1" si="78"/>
        <v/>
      </c>
      <c r="BI110" s="74" t="str">
        <f t="shared" ca="1" si="78"/>
        <v/>
      </c>
      <c r="BJ110" s="74" t="str">
        <f t="shared" ca="1" si="78"/>
        <v/>
      </c>
      <c r="BK110" s="74" t="str">
        <f t="shared" ca="1" si="78"/>
        <v/>
      </c>
      <c r="BL110" s="74" t="str">
        <f t="shared" ca="1" si="78"/>
        <v/>
      </c>
      <c r="BM110" s="74" t="str">
        <f t="shared" ca="1" si="78"/>
        <v/>
      </c>
      <c r="BN110" s="75" t="str">
        <f t="shared" ca="1" si="78"/>
        <v/>
      </c>
      <c r="BO110" s="75" t="str">
        <f t="shared" ca="1" si="75"/>
        <v/>
      </c>
      <c r="BP110" s="75" t="str">
        <f t="shared" ca="1" si="75"/>
        <v/>
      </c>
      <c r="BQ110" s="75" t="str">
        <f t="shared" ca="1" si="75"/>
        <v/>
      </c>
      <c r="BR110" s="75" t="str">
        <f t="shared" ca="1" si="75"/>
        <v/>
      </c>
      <c r="BS110" s="75" t="str">
        <f t="shared" ca="1" si="75"/>
        <v/>
      </c>
      <c r="BT110" s="75" t="str">
        <f t="shared" ca="1" si="75"/>
        <v/>
      </c>
      <c r="BU110" s="75" t="str">
        <f t="shared" ca="1" si="75"/>
        <v/>
      </c>
      <c r="BV110" s="75" t="str">
        <f t="shared" ca="1" si="75"/>
        <v/>
      </c>
      <c r="BW110" s="75" t="str">
        <f t="shared" ca="1" si="75"/>
        <v/>
      </c>
      <c r="BX110" s="75" t="str">
        <f t="shared" ca="1" si="75"/>
        <v/>
      </c>
      <c r="BY110" s="75" t="str">
        <f t="shared" ca="1" si="75"/>
        <v/>
      </c>
      <c r="BZ110" s="75" t="str">
        <f t="shared" ca="1" si="75"/>
        <v/>
      </c>
      <c r="CA110" s="75" t="str">
        <f t="shared" ca="1" si="75"/>
        <v/>
      </c>
      <c r="CB110" s="75" t="str">
        <f t="shared" ca="1" si="75"/>
        <v/>
      </c>
      <c r="CC110" s="75" t="str">
        <f t="shared" ca="1" si="75"/>
        <v/>
      </c>
      <c r="CD110" s="75" t="str">
        <f t="shared" ca="1" si="75"/>
        <v/>
      </c>
      <c r="CE110" s="75" t="str">
        <f t="shared" ca="1" si="79"/>
        <v/>
      </c>
      <c r="CF110" s="75" t="str">
        <f t="shared" ca="1" si="79"/>
        <v/>
      </c>
      <c r="CG110" s="74" t="str">
        <f t="shared" ca="1" si="79"/>
        <v/>
      </c>
      <c r="CH110" s="74" t="str">
        <f t="shared" ca="1" si="79"/>
        <v/>
      </c>
      <c r="CI110" s="74" t="str">
        <f t="shared" ca="1" si="79"/>
        <v/>
      </c>
      <c r="CJ110" s="74" t="str">
        <f t="shared" ca="1" si="79"/>
        <v/>
      </c>
      <c r="CK110" s="74" t="str">
        <f t="shared" ca="1" si="79"/>
        <v/>
      </c>
      <c r="CL110" s="74" t="str">
        <f t="shared" ca="1" si="79"/>
        <v/>
      </c>
      <c r="CM110" s="74" t="str">
        <f t="shared" ca="1" si="79"/>
        <v/>
      </c>
      <c r="CN110" s="74" t="str">
        <f t="shared" ca="1" si="79"/>
        <v/>
      </c>
      <c r="CO110" s="74" t="str">
        <f t="shared" ca="1" si="79"/>
        <v/>
      </c>
      <c r="CP110" s="74" t="str">
        <f t="shared" ca="1" si="79"/>
        <v/>
      </c>
      <c r="CQ110" s="74" t="str">
        <f t="shared" ca="1" si="79"/>
        <v/>
      </c>
      <c r="CR110" s="74" t="str">
        <f t="shared" ca="1" si="79"/>
        <v/>
      </c>
      <c r="CS110" s="74" t="str">
        <f t="shared" ca="1" si="79"/>
        <v/>
      </c>
      <c r="CT110" s="74" t="str">
        <f t="shared" ca="1" si="79"/>
        <v/>
      </c>
      <c r="CU110" s="74" t="str">
        <f t="shared" ca="1" si="76"/>
        <v/>
      </c>
      <c r="CV110" s="74" t="str">
        <f t="shared" ca="1" si="76"/>
        <v/>
      </c>
      <c r="CW110" s="74" t="str">
        <f t="shared" ca="1" si="76"/>
        <v/>
      </c>
      <c r="CX110" s="74" t="str">
        <f t="shared" ca="1" si="76"/>
        <v/>
      </c>
      <c r="CY110" s="74" t="str">
        <f t="shared" ca="1" si="76"/>
        <v/>
      </c>
      <c r="CZ110" s="75" t="str">
        <f t="shared" ca="1" si="76"/>
        <v/>
      </c>
      <c r="DA110" s="75" t="str">
        <f t="shared" ca="1" si="76"/>
        <v/>
      </c>
      <c r="DB110" s="75" t="str">
        <f t="shared" ca="1" si="76"/>
        <v/>
      </c>
      <c r="DC110" s="75" t="str">
        <f t="shared" ca="1" si="76"/>
        <v/>
      </c>
      <c r="DD110" s="75" t="str">
        <f t="shared" ca="1" si="76"/>
        <v/>
      </c>
      <c r="DE110" s="75" t="str">
        <f t="shared" ca="1" si="76"/>
        <v/>
      </c>
      <c r="DF110" s="75" t="str">
        <f t="shared" ca="1" si="76"/>
        <v/>
      </c>
      <c r="DG110" s="75" t="str">
        <f t="shared" ca="1" si="76"/>
        <v/>
      </c>
      <c r="DH110" s="75" t="str">
        <f t="shared" ca="1" si="76"/>
        <v/>
      </c>
      <c r="DI110" s="75" t="str">
        <f t="shared" ca="1" si="76"/>
        <v/>
      </c>
      <c r="DJ110" s="75" t="str">
        <f t="shared" ca="1" si="76"/>
        <v/>
      </c>
      <c r="DK110" s="75" t="str">
        <f t="shared" ca="1" si="80"/>
        <v/>
      </c>
      <c r="DL110" s="75" t="str">
        <f t="shared" ca="1" si="80"/>
        <v/>
      </c>
      <c r="DM110" s="75" t="str">
        <f t="shared" ca="1" si="80"/>
        <v/>
      </c>
      <c r="DN110" s="75" t="str">
        <f t="shared" ca="1" si="80"/>
        <v/>
      </c>
      <c r="DO110" s="75" t="str">
        <f t="shared" ca="1" si="80"/>
        <v/>
      </c>
      <c r="DP110" s="75" t="str">
        <f t="shared" ca="1" si="80"/>
        <v/>
      </c>
      <c r="DQ110" s="75" t="str">
        <f t="shared" ca="1" si="80"/>
        <v/>
      </c>
      <c r="DR110" s="75" t="str">
        <f t="shared" ca="1" si="80"/>
        <v/>
      </c>
      <c r="DS110" s="74" t="str">
        <f t="shared" ca="1" si="80"/>
        <v/>
      </c>
      <c r="DT110" s="74" t="str">
        <f t="shared" ca="1" si="80"/>
        <v/>
      </c>
      <c r="DU110" s="74" t="str">
        <f t="shared" ca="1" si="80"/>
        <v/>
      </c>
      <c r="DV110" s="74" t="str">
        <f t="shared" ca="1" si="80"/>
        <v/>
      </c>
      <c r="DW110" s="74" t="str">
        <f t="shared" ca="1" si="80"/>
        <v/>
      </c>
      <c r="DX110" s="74" t="str">
        <f t="shared" ca="1" si="80"/>
        <v/>
      </c>
      <c r="DY110" s="74" t="str">
        <f t="shared" ca="1" si="80"/>
        <v/>
      </c>
      <c r="DZ110" s="74" t="str">
        <f t="shared" ca="1" si="80"/>
        <v/>
      </c>
      <c r="EA110" s="74" t="str">
        <f t="shared" ca="1" si="77"/>
        <v/>
      </c>
      <c r="EB110" s="74" t="str">
        <f t="shared" ca="1" si="77"/>
        <v/>
      </c>
      <c r="EC110" s="74" t="str">
        <f t="shared" ca="1" si="77"/>
        <v/>
      </c>
      <c r="ED110" s="74" t="str">
        <f t="shared" ca="1" si="77"/>
        <v/>
      </c>
      <c r="EE110" s="74" t="str">
        <f t="shared" ca="1" si="77"/>
        <v/>
      </c>
      <c r="EF110" s="74" t="str">
        <f t="shared" ca="1" si="77"/>
        <v/>
      </c>
      <c r="EG110" s="74" t="str">
        <f t="shared" ca="1" si="77"/>
        <v/>
      </c>
      <c r="EH110" s="74" t="str">
        <f t="shared" ca="1" si="77"/>
        <v/>
      </c>
      <c r="EI110" s="74" t="str">
        <f t="shared" ca="1" si="77"/>
        <v/>
      </c>
      <c r="EJ110" s="74" t="str">
        <f t="shared" ca="1" si="77"/>
        <v/>
      </c>
      <c r="EK110" s="75" t="str">
        <f t="shared" ca="1" si="77"/>
        <v/>
      </c>
      <c r="EL110" s="75" t="str">
        <f t="shared" ca="1" si="77"/>
        <v/>
      </c>
      <c r="EM110" s="75" t="str">
        <f t="shared" ca="1" si="77"/>
        <v/>
      </c>
      <c r="EN110" s="75" t="str">
        <f t="shared" ca="1" si="77"/>
        <v/>
      </c>
      <c r="EO110" s="75" t="str">
        <f t="shared" ca="1" si="77"/>
        <v/>
      </c>
      <c r="EP110" s="75" t="str">
        <f t="shared" ca="1" si="77"/>
        <v/>
      </c>
      <c r="EQ110" s="75" t="str">
        <f t="shared" ca="1" si="81"/>
        <v/>
      </c>
      <c r="ER110" s="75" t="str">
        <f t="shared" ca="1" si="81"/>
        <v/>
      </c>
      <c r="ES110" s="75" t="str">
        <f t="shared" ca="1" si="81"/>
        <v/>
      </c>
      <c r="ET110" s="75" t="str">
        <f t="shared" ca="1" si="81"/>
        <v/>
      </c>
      <c r="EU110" s="75" t="str">
        <f t="shared" ca="1" si="81"/>
        <v/>
      </c>
      <c r="EV110" s="75" t="str">
        <f t="shared" ca="1" si="81"/>
        <v/>
      </c>
      <c r="EW110" s="75" t="str">
        <f t="shared" ca="1" si="81"/>
        <v/>
      </c>
      <c r="EX110" s="75" t="str">
        <f t="shared" ca="1" si="81"/>
        <v/>
      </c>
      <c r="EY110" s="75" t="str">
        <f t="shared" ca="1" si="81"/>
        <v/>
      </c>
      <c r="EZ110" s="75" t="str">
        <f t="shared" ca="1" si="81"/>
        <v/>
      </c>
      <c r="FA110" s="75" t="str">
        <f t="shared" ca="1" si="81"/>
        <v/>
      </c>
      <c r="FB110" s="75" t="str">
        <f t="shared" ca="1" si="81"/>
        <v/>
      </c>
      <c r="FC110" s="76" t="str">
        <f t="shared" ca="1" si="81"/>
        <v/>
      </c>
      <c r="FD110" s="74" t="str">
        <f t="shared" ca="1" si="81"/>
        <v/>
      </c>
      <c r="FE110" s="74" t="str">
        <f t="shared" ca="1" si="81"/>
        <v/>
      </c>
      <c r="FF110" s="74" t="str">
        <f t="shared" ca="1" si="81"/>
        <v/>
      </c>
      <c r="FG110" s="74" t="str">
        <f t="shared" ca="1" si="86"/>
        <v/>
      </c>
      <c r="FH110" s="74" t="str">
        <f t="shared" ca="1" si="86"/>
        <v/>
      </c>
      <c r="FI110" s="74" t="str">
        <f t="shared" ca="1" si="86"/>
        <v/>
      </c>
      <c r="FJ110" s="74" t="str">
        <f t="shared" ca="1" si="86"/>
        <v/>
      </c>
      <c r="FK110" s="74" t="str">
        <f t="shared" ca="1" si="86"/>
        <v/>
      </c>
      <c r="FL110" s="74" t="str">
        <f t="shared" ca="1" si="86"/>
        <v/>
      </c>
      <c r="FM110" s="74" t="str">
        <f t="shared" ca="1" si="86"/>
        <v/>
      </c>
      <c r="FN110" s="74" t="str">
        <f t="shared" ca="1" si="86"/>
        <v/>
      </c>
      <c r="FO110" s="74" t="str">
        <f t="shared" ca="1" si="86"/>
        <v/>
      </c>
      <c r="FP110" s="74" t="str">
        <f t="shared" ca="1" si="86"/>
        <v/>
      </c>
      <c r="FQ110" s="74" t="str">
        <f t="shared" ca="1" si="86"/>
        <v/>
      </c>
      <c r="FR110" s="74" t="str">
        <f t="shared" ca="1" si="86"/>
        <v/>
      </c>
      <c r="FS110" s="74" t="str">
        <f t="shared" ca="1" si="86"/>
        <v/>
      </c>
      <c r="FT110" s="74" t="str">
        <f t="shared" ca="1" si="86"/>
        <v/>
      </c>
    </row>
    <row r="111" spans="1:176" x14ac:dyDescent="0.35">
      <c r="A111" s="74"/>
      <c r="B111" s="74" t="str">
        <f t="shared" ca="1" si="83"/>
        <v/>
      </c>
      <c r="C111" s="74" t="str">
        <f t="shared" ca="1" si="83"/>
        <v/>
      </c>
      <c r="D111" s="74" t="str">
        <f t="shared" ca="1" si="83"/>
        <v/>
      </c>
      <c r="E111" s="74" t="str">
        <f t="shared" ca="1" si="83"/>
        <v/>
      </c>
      <c r="F111" t="str">
        <f t="shared" ca="1" si="83"/>
        <v/>
      </c>
      <c r="G111" t="str">
        <f t="shared" ca="1" si="83"/>
        <v/>
      </c>
      <c r="H111" t="str">
        <f t="shared" ca="1" si="83"/>
        <v/>
      </c>
      <c r="I111" s="74" t="str">
        <f t="shared" ca="1" si="83"/>
        <v/>
      </c>
      <c r="J111" s="74" t="str">
        <f t="shared" ca="1" si="83"/>
        <v/>
      </c>
      <c r="K111" s="74" t="str">
        <f t="shared" ca="1" si="83"/>
        <v/>
      </c>
      <c r="L111" s="74" t="str">
        <f t="shared" ca="1" si="83"/>
        <v/>
      </c>
      <c r="M111" s="74" t="str">
        <f t="shared" ca="1" si="83"/>
        <v/>
      </c>
      <c r="N111" s="74" t="str">
        <f t="shared" ca="1" si="83"/>
        <v/>
      </c>
      <c r="O111" s="74" t="str">
        <f t="shared" ca="1" si="83"/>
        <v/>
      </c>
      <c r="P111" s="74" t="str">
        <f t="shared" ca="1" si="83"/>
        <v/>
      </c>
      <c r="Q111" s="74" t="str">
        <f t="shared" ca="1" si="83"/>
        <v/>
      </c>
      <c r="R111" s="74" t="str">
        <f t="shared" ca="1" si="83"/>
        <v/>
      </c>
      <c r="S111" s="74" t="str">
        <f t="shared" ca="1" si="83"/>
        <v/>
      </c>
      <c r="T111" s="74" t="str">
        <f t="shared" ca="1" si="85"/>
        <v/>
      </c>
      <c r="U111" s="74" t="str">
        <f t="shared" ca="1" si="85"/>
        <v/>
      </c>
      <c r="V111" s="74" t="str">
        <f t="shared" ca="1" si="85"/>
        <v/>
      </c>
      <c r="W111" s="74" t="str">
        <f t="shared" ca="1" si="85"/>
        <v/>
      </c>
      <c r="X111" s="74" t="str">
        <f t="shared" ca="1" si="85"/>
        <v/>
      </c>
      <c r="Y111" s="74" t="str">
        <f t="shared" ca="1" si="85"/>
        <v/>
      </c>
      <c r="Z111" s="74" t="str">
        <f t="shared" ca="1" si="85"/>
        <v/>
      </c>
      <c r="AA111" s="74" t="str">
        <f t="shared" ca="1" si="85"/>
        <v/>
      </c>
      <c r="AB111" s="75" t="str">
        <f t="shared" ca="1" si="85"/>
        <v/>
      </c>
      <c r="AC111" s="75" t="str">
        <f t="shared" ca="1" si="85"/>
        <v/>
      </c>
      <c r="AD111" s="75" t="str">
        <f t="shared" ca="1" si="85"/>
        <v/>
      </c>
      <c r="AE111" s="75" t="str">
        <f t="shared" ca="1" si="85"/>
        <v/>
      </c>
      <c r="AF111" s="75" t="str">
        <f t="shared" ca="1" si="85"/>
        <v/>
      </c>
      <c r="AG111" s="75" t="str">
        <f t="shared" ca="1" si="85"/>
        <v/>
      </c>
      <c r="AH111" s="75" t="str">
        <f t="shared" ca="1" si="85"/>
        <v/>
      </c>
      <c r="AI111" s="75" t="str">
        <f t="shared" ca="1" si="84"/>
        <v/>
      </c>
      <c r="AJ111" s="75" t="str">
        <f t="shared" ca="1" si="84"/>
        <v/>
      </c>
      <c r="AK111" s="75" t="str">
        <f t="shared" ca="1" si="84"/>
        <v/>
      </c>
      <c r="AL111" s="75" t="str">
        <f t="shared" ca="1" si="84"/>
        <v/>
      </c>
      <c r="AM111" s="75" t="str">
        <f t="shared" ca="1" si="84"/>
        <v/>
      </c>
      <c r="AN111" s="75" t="str">
        <f t="shared" ca="1" si="84"/>
        <v/>
      </c>
      <c r="AO111" s="75" t="str">
        <f t="shared" ca="1" si="84"/>
        <v/>
      </c>
      <c r="AP111" s="75" t="str">
        <f t="shared" ca="1" si="84"/>
        <v/>
      </c>
      <c r="AQ111" s="75" t="str">
        <f t="shared" ca="1" si="84"/>
        <v/>
      </c>
      <c r="AR111" s="75" t="str">
        <f t="shared" ca="1" si="84"/>
        <v/>
      </c>
      <c r="AS111" s="75" t="str">
        <f t="shared" ca="1" si="84"/>
        <v/>
      </c>
      <c r="AT111" s="75" t="str">
        <f t="shared" ca="1" si="84"/>
        <v/>
      </c>
      <c r="AU111" s="74" t="str">
        <f t="shared" ca="1" si="84"/>
        <v/>
      </c>
      <c r="AV111" s="74" t="str">
        <f t="shared" ca="1" si="84"/>
        <v/>
      </c>
      <c r="AW111" s="74" t="str">
        <f t="shared" ca="1" si="82"/>
        <v/>
      </c>
      <c r="AX111" s="74" t="str">
        <f t="shared" ca="1" si="82"/>
        <v/>
      </c>
      <c r="AY111" s="74" t="str">
        <f t="shared" ca="1" si="78"/>
        <v/>
      </c>
      <c r="AZ111" s="74" t="str">
        <f t="shared" ca="1" si="78"/>
        <v/>
      </c>
      <c r="BA111" s="74" t="str">
        <f t="shared" ca="1" si="78"/>
        <v/>
      </c>
      <c r="BB111" s="74" t="str">
        <f t="shared" ca="1" si="78"/>
        <v/>
      </c>
      <c r="BC111" s="74" t="str">
        <f t="shared" ca="1" si="78"/>
        <v/>
      </c>
      <c r="BD111" s="74" t="str">
        <f t="shared" ca="1" si="78"/>
        <v/>
      </c>
      <c r="BE111" s="74" t="str">
        <f t="shared" ca="1" si="78"/>
        <v/>
      </c>
      <c r="BF111" s="74" t="str">
        <f t="shared" ca="1" si="78"/>
        <v/>
      </c>
      <c r="BG111" s="74" t="str">
        <f t="shared" ca="1" si="78"/>
        <v/>
      </c>
      <c r="BH111" s="74" t="str">
        <f t="shared" ca="1" si="78"/>
        <v/>
      </c>
      <c r="BI111" s="74" t="str">
        <f t="shared" ca="1" si="78"/>
        <v/>
      </c>
      <c r="BJ111" s="74" t="str">
        <f t="shared" ca="1" si="78"/>
        <v/>
      </c>
      <c r="BK111" s="74" t="str">
        <f t="shared" ca="1" si="78"/>
        <v/>
      </c>
      <c r="BL111" s="74" t="str">
        <f t="shared" ca="1" si="78"/>
        <v/>
      </c>
      <c r="BM111" s="74" t="str">
        <f t="shared" ca="1" si="78"/>
        <v/>
      </c>
      <c r="BN111" s="75" t="str">
        <f t="shared" ca="1" si="78"/>
        <v/>
      </c>
      <c r="BO111" s="75" t="str">
        <f t="shared" ref="BO111:CD125" ca="1" si="87">IF($A111="", "", IF(INDIRECT($A111&amp; "!"&amp; BO$2)="", "", INDIRECT($A111&amp; "!"&amp; BO$2)))</f>
        <v/>
      </c>
      <c r="BP111" s="75" t="str">
        <f t="shared" ca="1" si="87"/>
        <v/>
      </c>
      <c r="BQ111" s="75" t="str">
        <f t="shared" ca="1" si="87"/>
        <v/>
      </c>
      <c r="BR111" s="75" t="str">
        <f t="shared" ca="1" si="87"/>
        <v/>
      </c>
      <c r="BS111" s="75" t="str">
        <f t="shared" ca="1" si="87"/>
        <v/>
      </c>
      <c r="BT111" s="75" t="str">
        <f t="shared" ca="1" si="87"/>
        <v/>
      </c>
      <c r="BU111" s="75" t="str">
        <f t="shared" ca="1" si="87"/>
        <v/>
      </c>
      <c r="BV111" s="75" t="str">
        <f t="shared" ca="1" si="87"/>
        <v/>
      </c>
      <c r="BW111" s="75" t="str">
        <f t="shared" ca="1" si="87"/>
        <v/>
      </c>
      <c r="BX111" s="75" t="str">
        <f t="shared" ca="1" si="87"/>
        <v/>
      </c>
      <c r="BY111" s="75" t="str">
        <f t="shared" ca="1" si="87"/>
        <v/>
      </c>
      <c r="BZ111" s="75" t="str">
        <f t="shared" ca="1" si="87"/>
        <v/>
      </c>
      <c r="CA111" s="75" t="str">
        <f t="shared" ca="1" si="87"/>
        <v/>
      </c>
      <c r="CB111" s="75" t="str">
        <f t="shared" ca="1" si="87"/>
        <v/>
      </c>
      <c r="CC111" s="75" t="str">
        <f t="shared" ca="1" si="87"/>
        <v/>
      </c>
      <c r="CD111" s="75" t="str">
        <f t="shared" ca="1" si="87"/>
        <v/>
      </c>
      <c r="CE111" s="75" t="str">
        <f t="shared" ca="1" si="79"/>
        <v/>
      </c>
      <c r="CF111" s="75" t="str">
        <f t="shared" ca="1" si="79"/>
        <v/>
      </c>
      <c r="CG111" s="74" t="str">
        <f t="shared" ca="1" si="79"/>
        <v/>
      </c>
      <c r="CH111" s="74" t="str">
        <f t="shared" ca="1" si="79"/>
        <v/>
      </c>
      <c r="CI111" s="74" t="str">
        <f t="shared" ca="1" si="79"/>
        <v/>
      </c>
      <c r="CJ111" s="74" t="str">
        <f t="shared" ca="1" si="79"/>
        <v/>
      </c>
      <c r="CK111" s="74" t="str">
        <f t="shared" ca="1" si="79"/>
        <v/>
      </c>
      <c r="CL111" s="74" t="str">
        <f t="shared" ca="1" si="79"/>
        <v/>
      </c>
      <c r="CM111" s="74" t="str">
        <f t="shared" ca="1" si="79"/>
        <v/>
      </c>
      <c r="CN111" s="74" t="str">
        <f t="shared" ca="1" si="79"/>
        <v/>
      </c>
      <c r="CO111" s="74" t="str">
        <f t="shared" ca="1" si="79"/>
        <v/>
      </c>
      <c r="CP111" s="74" t="str">
        <f t="shared" ca="1" si="79"/>
        <v/>
      </c>
      <c r="CQ111" s="74" t="str">
        <f t="shared" ca="1" si="79"/>
        <v/>
      </c>
      <c r="CR111" s="74" t="str">
        <f t="shared" ca="1" si="79"/>
        <v/>
      </c>
      <c r="CS111" s="74" t="str">
        <f t="shared" ca="1" si="79"/>
        <v/>
      </c>
      <c r="CT111" s="74" t="str">
        <f t="shared" ca="1" si="79"/>
        <v/>
      </c>
      <c r="CU111" s="74" t="str">
        <f t="shared" ref="CU111:DJ125" ca="1" si="88">IF($A111="", "", IF(INDIRECT($A111&amp; "!"&amp; CU$2)="", "", INDIRECT($A111&amp; "!"&amp; CU$2)))</f>
        <v/>
      </c>
      <c r="CV111" s="74" t="str">
        <f t="shared" ca="1" si="88"/>
        <v/>
      </c>
      <c r="CW111" s="74" t="str">
        <f t="shared" ca="1" si="88"/>
        <v/>
      </c>
      <c r="CX111" s="74" t="str">
        <f t="shared" ca="1" si="88"/>
        <v/>
      </c>
      <c r="CY111" s="74" t="str">
        <f t="shared" ca="1" si="88"/>
        <v/>
      </c>
      <c r="CZ111" s="75" t="str">
        <f t="shared" ca="1" si="88"/>
        <v/>
      </c>
      <c r="DA111" s="75" t="str">
        <f t="shared" ca="1" si="88"/>
        <v/>
      </c>
      <c r="DB111" s="75" t="str">
        <f t="shared" ca="1" si="88"/>
        <v/>
      </c>
      <c r="DC111" s="75" t="str">
        <f t="shared" ca="1" si="88"/>
        <v/>
      </c>
      <c r="DD111" s="75" t="str">
        <f t="shared" ca="1" si="88"/>
        <v/>
      </c>
      <c r="DE111" s="75" t="str">
        <f t="shared" ca="1" si="88"/>
        <v/>
      </c>
      <c r="DF111" s="75" t="str">
        <f t="shared" ca="1" si="88"/>
        <v/>
      </c>
      <c r="DG111" s="75" t="str">
        <f t="shared" ca="1" si="88"/>
        <v/>
      </c>
      <c r="DH111" s="75" t="str">
        <f t="shared" ca="1" si="88"/>
        <v/>
      </c>
      <c r="DI111" s="75" t="str">
        <f t="shared" ca="1" si="88"/>
        <v/>
      </c>
      <c r="DJ111" s="75" t="str">
        <f t="shared" ca="1" si="88"/>
        <v/>
      </c>
      <c r="DK111" s="75" t="str">
        <f t="shared" ca="1" si="80"/>
        <v/>
      </c>
      <c r="DL111" s="75" t="str">
        <f t="shared" ca="1" si="80"/>
        <v/>
      </c>
      <c r="DM111" s="75" t="str">
        <f t="shared" ca="1" si="80"/>
        <v/>
      </c>
      <c r="DN111" s="75" t="str">
        <f t="shared" ca="1" si="80"/>
        <v/>
      </c>
      <c r="DO111" s="75" t="str">
        <f t="shared" ca="1" si="80"/>
        <v/>
      </c>
      <c r="DP111" s="75" t="str">
        <f t="shared" ca="1" si="80"/>
        <v/>
      </c>
      <c r="DQ111" s="75" t="str">
        <f t="shared" ca="1" si="80"/>
        <v/>
      </c>
      <c r="DR111" s="75" t="str">
        <f t="shared" ca="1" si="80"/>
        <v/>
      </c>
      <c r="DS111" s="74" t="str">
        <f t="shared" ca="1" si="80"/>
        <v/>
      </c>
      <c r="DT111" s="74" t="str">
        <f t="shared" ca="1" si="80"/>
        <v/>
      </c>
      <c r="DU111" s="74" t="str">
        <f t="shared" ca="1" si="80"/>
        <v/>
      </c>
      <c r="DV111" s="74" t="str">
        <f t="shared" ca="1" si="80"/>
        <v/>
      </c>
      <c r="DW111" s="74" t="str">
        <f t="shared" ca="1" si="80"/>
        <v/>
      </c>
      <c r="DX111" s="74" t="str">
        <f t="shared" ca="1" si="80"/>
        <v/>
      </c>
      <c r="DY111" s="74" t="str">
        <f t="shared" ca="1" si="80"/>
        <v/>
      </c>
      <c r="DZ111" s="74" t="str">
        <f t="shared" ca="1" si="80"/>
        <v/>
      </c>
      <c r="EA111" s="74" t="str">
        <f t="shared" ref="EA111:EP125" ca="1" si="89">IF($A111="", "", IF(INDIRECT($A111&amp; "!"&amp; EA$2)="", "", INDIRECT($A111&amp; "!"&amp; EA$2)))</f>
        <v/>
      </c>
      <c r="EB111" s="74" t="str">
        <f t="shared" ca="1" si="89"/>
        <v/>
      </c>
      <c r="EC111" s="74" t="str">
        <f t="shared" ca="1" si="89"/>
        <v/>
      </c>
      <c r="ED111" s="74" t="str">
        <f t="shared" ca="1" si="89"/>
        <v/>
      </c>
      <c r="EE111" s="74" t="str">
        <f t="shared" ca="1" si="89"/>
        <v/>
      </c>
      <c r="EF111" s="74" t="str">
        <f t="shared" ca="1" si="89"/>
        <v/>
      </c>
      <c r="EG111" s="74" t="str">
        <f t="shared" ca="1" si="89"/>
        <v/>
      </c>
      <c r="EH111" s="74" t="str">
        <f t="shared" ca="1" si="89"/>
        <v/>
      </c>
      <c r="EI111" s="74" t="str">
        <f t="shared" ca="1" si="89"/>
        <v/>
      </c>
      <c r="EJ111" s="74" t="str">
        <f t="shared" ca="1" si="89"/>
        <v/>
      </c>
      <c r="EK111" s="75" t="str">
        <f t="shared" ca="1" si="89"/>
        <v/>
      </c>
      <c r="EL111" s="75" t="str">
        <f t="shared" ca="1" si="89"/>
        <v/>
      </c>
      <c r="EM111" s="75" t="str">
        <f t="shared" ca="1" si="89"/>
        <v/>
      </c>
      <c r="EN111" s="75" t="str">
        <f t="shared" ca="1" si="89"/>
        <v/>
      </c>
      <c r="EO111" s="75" t="str">
        <f t="shared" ca="1" si="89"/>
        <v/>
      </c>
      <c r="EP111" s="75" t="str">
        <f t="shared" ca="1" si="89"/>
        <v/>
      </c>
      <c r="EQ111" s="75" t="str">
        <f t="shared" ca="1" si="81"/>
        <v/>
      </c>
      <c r="ER111" s="75" t="str">
        <f t="shared" ca="1" si="81"/>
        <v/>
      </c>
      <c r="ES111" s="75" t="str">
        <f t="shared" ca="1" si="81"/>
        <v/>
      </c>
      <c r="ET111" s="75" t="str">
        <f t="shared" ca="1" si="81"/>
        <v/>
      </c>
      <c r="EU111" s="75" t="str">
        <f t="shared" ca="1" si="81"/>
        <v/>
      </c>
      <c r="EV111" s="75" t="str">
        <f t="shared" ca="1" si="81"/>
        <v/>
      </c>
      <c r="EW111" s="75" t="str">
        <f t="shared" ca="1" si="81"/>
        <v/>
      </c>
      <c r="EX111" s="75" t="str">
        <f t="shared" ca="1" si="81"/>
        <v/>
      </c>
      <c r="EY111" s="75" t="str">
        <f t="shared" ca="1" si="81"/>
        <v/>
      </c>
      <c r="EZ111" s="75" t="str">
        <f t="shared" ca="1" si="81"/>
        <v/>
      </c>
      <c r="FA111" s="75" t="str">
        <f t="shared" ca="1" si="81"/>
        <v/>
      </c>
      <c r="FB111" s="75" t="str">
        <f t="shared" ca="1" si="81"/>
        <v/>
      </c>
      <c r="FC111" s="76" t="str">
        <f t="shared" ca="1" si="81"/>
        <v/>
      </c>
      <c r="FD111" s="74" t="str">
        <f t="shared" ca="1" si="81"/>
        <v/>
      </c>
      <c r="FE111" s="74" t="str">
        <f t="shared" ca="1" si="81"/>
        <v/>
      </c>
      <c r="FF111" s="74" t="str">
        <f t="shared" ca="1" si="81"/>
        <v/>
      </c>
      <c r="FG111" s="74" t="str">
        <f t="shared" ca="1" si="86"/>
        <v/>
      </c>
      <c r="FH111" s="74" t="str">
        <f t="shared" ca="1" si="86"/>
        <v/>
      </c>
      <c r="FI111" s="74" t="str">
        <f t="shared" ca="1" si="86"/>
        <v/>
      </c>
      <c r="FJ111" s="74" t="str">
        <f t="shared" ca="1" si="86"/>
        <v/>
      </c>
      <c r="FK111" s="74" t="str">
        <f t="shared" ca="1" si="86"/>
        <v/>
      </c>
      <c r="FL111" s="74" t="str">
        <f t="shared" ca="1" si="86"/>
        <v/>
      </c>
      <c r="FM111" s="74" t="str">
        <f t="shared" ca="1" si="86"/>
        <v/>
      </c>
      <c r="FN111" s="74" t="str">
        <f t="shared" ca="1" si="86"/>
        <v/>
      </c>
      <c r="FO111" s="74" t="str">
        <f t="shared" ca="1" si="86"/>
        <v/>
      </c>
      <c r="FP111" s="74" t="str">
        <f t="shared" ca="1" si="86"/>
        <v/>
      </c>
      <c r="FQ111" s="74" t="str">
        <f t="shared" ca="1" si="86"/>
        <v/>
      </c>
      <c r="FR111" s="74" t="str">
        <f t="shared" ca="1" si="86"/>
        <v/>
      </c>
      <c r="FS111" s="74" t="str">
        <f t="shared" ca="1" si="86"/>
        <v/>
      </c>
      <c r="FT111" s="74" t="str">
        <f t="shared" ca="1" si="86"/>
        <v/>
      </c>
    </row>
    <row r="112" spans="1:176" x14ac:dyDescent="0.35">
      <c r="A112" s="74"/>
      <c r="B112" s="74" t="str">
        <f t="shared" ca="1" si="83"/>
        <v/>
      </c>
      <c r="C112" s="74" t="str">
        <f t="shared" ca="1" si="83"/>
        <v/>
      </c>
      <c r="D112" s="74" t="str">
        <f t="shared" ca="1" si="83"/>
        <v/>
      </c>
      <c r="E112" s="74" t="str">
        <f t="shared" ca="1" si="83"/>
        <v/>
      </c>
      <c r="F112" t="str">
        <f t="shared" ca="1" si="83"/>
        <v/>
      </c>
      <c r="G112" t="str">
        <f t="shared" ca="1" si="83"/>
        <v/>
      </c>
      <c r="H112" t="str">
        <f t="shared" ca="1" si="83"/>
        <v/>
      </c>
      <c r="I112" s="74" t="str">
        <f t="shared" ca="1" si="83"/>
        <v/>
      </c>
      <c r="J112" s="74" t="str">
        <f t="shared" ca="1" si="83"/>
        <v/>
      </c>
      <c r="K112" s="74" t="str">
        <f t="shared" ca="1" si="83"/>
        <v/>
      </c>
      <c r="L112" s="74" t="str">
        <f t="shared" ca="1" si="83"/>
        <v/>
      </c>
      <c r="M112" s="74" t="str">
        <f t="shared" ca="1" si="83"/>
        <v/>
      </c>
      <c r="N112" s="74" t="str">
        <f t="shared" ca="1" si="83"/>
        <v/>
      </c>
      <c r="O112" s="74" t="str">
        <f t="shared" ca="1" si="83"/>
        <v/>
      </c>
      <c r="P112" s="74" t="str">
        <f t="shared" ca="1" si="83"/>
        <v/>
      </c>
      <c r="Q112" s="74" t="str">
        <f t="shared" ca="1" si="83"/>
        <v/>
      </c>
      <c r="R112" s="74" t="str">
        <f t="shared" ca="1" si="83"/>
        <v/>
      </c>
      <c r="S112" s="74" t="str">
        <f t="shared" ca="1" si="83"/>
        <v/>
      </c>
      <c r="T112" s="74" t="str">
        <f t="shared" ca="1" si="85"/>
        <v/>
      </c>
      <c r="U112" s="74" t="str">
        <f t="shared" ca="1" si="85"/>
        <v/>
      </c>
      <c r="V112" s="74" t="str">
        <f t="shared" ca="1" si="85"/>
        <v/>
      </c>
      <c r="W112" s="74" t="str">
        <f t="shared" ca="1" si="85"/>
        <v/>
      </c>
      <c r="X112" s="74" t="str">
        <f t="shared" ca="1" si="85"/>
        <v/>
      </c>
      <c r="Y112" s="74" t="str">
        <f t="shared" ca="1" si="85"/>
        <v/>
      </c>
      <c r="Z112" s="74" t="str">
        <f t="shared" ca="1" si="85"/>
        <v/>
      </c>
      <c r="AA112" s="74" t="str">
        <f t="shared" ca="1" si="85"/>
        <v/>
      </c>
      <c r="AB112" s="75" t="str">
        <f t="shared" ca="1" si="85"/>
        <v/>
      </c>
      <c r="AC112" s="75" t="str">
        <f t="shared" ca="1" si="85"/>
        <v/>
      </c>
      <c r="AD112" s="75" t="str">
        <f t="shared" ca="1" si="85"/>
        <v/>
      </c>
      <c r="AE112" s="75" t="str">
        <f t="shared" ca="1" si="85"/>
        <v/>
      </c>
      <c r="AF112" s="75" t="str">
        <f t="shared" ca="1" si="85"/>
        <v/>
      </c>
      <c r="AG112" s="75" t="str">
        <f t="shared" ca="1" si="85"/>
        <v/>
      </c>
      <c r="AH112" s="75" t="str">
        <f t="shared" ca="1" si="85"/>
        <v/>
      </c>
      <c r="AI112" s="75" t="str">
        <f t="shared" ca="1" si="84"/>
        <v/>
      </c>
      <c r="AJ112" s="75" t="str">
        <f t="shared" ca="1" si="84"/>
        <v/>
      </c>
      <c r="AK112" s="75" t="str">
        <f t="shared" ca="1" si="84"/>
        <v/>
      </c>
      <c r="AL112" s="75" t="str">
        <f t="shared" ca="1" si="84"/>
        <v/>
      </c>
      <c r="AM112" s="75" t="str">
        <f t="shared" ca="1" si="84"/>
        <v/>
      </c>
      <c r="AN112" s="75" t="str">
        <f t="shared" ca="1" si="84"/>
        <v/>
      </c>
      <c r="AO112" s="75" t="str">
        <f t="shared" ca="1" si="84"/>
        <v/>
      </c>
      <c r="AP112" s="75" t="str">
        <f t="shared" ca="1" si="84"/>
        <v/>
      </c>
      <c r="AQ112" s="75" t="str">
        <f t="shared" ca="1" si="84"/>
        <v/>
      </c>
      <c r="AR112" s="75" t="str">
        <f t="shared" ca="1" si="84"/>
        <v/>
      </c>
      <c r="AS112" s="75" t="str">
        <f t="shared" ca="1" si="84"/>
        <v/>
      </c>
      <c r="AT112" s="75" t="str">
        <f t="shared" ca="1" si="84"/>
        <v/>
      </c>
      <c r="AU112" s="74" t="str">
        <f t="shared" ca="1" si="84"/>
        <v/>
      </c>
      <c r="AV112" s="74" t="str">
        <f t="shared" ca="1" si="84"/>
        <v/>
      </c>
      <c r="AW112" s="74" t="str">
        <f t="shared" ca="1" si="82"/>
        <v/>
      </c>
      <c r="AX112" s="74" t="str">
        <f t="shared" ca="1" si="82"/>
        <v/>
      </c>
      <c r="AY112" s="74" t="str">
        <f t="shared" ca="1" si="78"/>
        <v/>
      </c>
      <c r="AZ112" s="74" t="str">
        <f t="shared" ca="1" si="78"/>
        <v/>
      </c>
      <c r="BA112" s="74" t="str">
        <f t="shared" ca="1" si="78"/>
        <v/>
      </c>
      <c r="BB112" s="74" t="str">
        <f t="shared" ca="1" si="78"/>
        <v/>
      </c>
      <c r="BC112" s="74" t="str">
        <f t="shared" ca="1" si="78"/>
        <v/>
      </c>
      <c r="BD112" s="74" t="str">
        <f t="shared" ca="1" si="78"/>
        <v/>
      </c>
      <c r="BE112" s="74" t="str">
        <f t="shared" ca="1" si="78"/>
        <v/>
      </c>
      <c r="BF112" s="74" t="str">
        <f t="shared" ca="1" si="78"/>
        <v/>
      </c>
      <c r="BG112" s="74" t="str">
        <f t="shared" ca="1" si="78"/>
        <v/>
      </c>
      <c r="BH112" s="74" t="str">
        <f t="shared" ca="1" si="78"/>
        <v/>
      </c>
      <c r="BI112" s="74" t="str">
        <f t="shared" ca="1" si="78"/>
        <v/>
      </c>
      <c r="BJ112" s="74" t="str">
        <f t="shared" ca="1" si="78"/>
        <v/>
      </c>
      <c r="BK112" s="74" t="str">
        <f t="shared" ca="1" si="78"/>
        <v/>
      </c>
      <c r="BL112" s="74" t="str">
        <f t="shared" ca="1" si="78"/>
        <v/>
      </c>
      <c r="BM112" s="74" t="str">
        <f t="shared" ca="1" si="78"/>
        <v/>
      </c>
      <c r="BN112" s="75" t="str">
        <f t="shared" ref="AY112:BN127" ca="1" si="90">IF($A112="", "", IF(INDIRECT($A112&amp; "!"&amp; BN$2)="", "", INDIRECT($A112&amp; "!"&amp; BN$2)))</f>
        <v/>
      </c>
      <c r="BO112" s="75" t="str">
        <f t="shared" ca="1" si="87"/>
        <v/>
      </c>
      <c r="BP112" s="75" t="str">
        <f t="shared" ca="1" si="87"/>
        <v/>
      </c>
      <c r="BQ112" s="75" t="str">
        <f t="shared" ca="1" si="87"/>
        <v/>
      </c>
      <c r="BR112" s="75" t="str">
        <f t="shared" ca="1" si="87"/>
        <v/>
      </c>
      <c r="BS112" s="75" t="str">
        <f t="shared" ca="1" si="87"/>
        <v/>
      </c>
      <c r="BT112" s="75" t="str">
        <f t="shared" ca="1" si="87"/>
        <v/>
      </c>
      <c r="BU112" s="75" t="str">
        <f t="shared" ca="1" si="87"/>
        <v/>
      </c>
      <c r="BV112" s="75" t="str">
        <f t="shared" ca="1" si="87"/>
        <v/>
      </c>
      <c r="BW112" s="75" t="str">
        <f t="shared" ca="1" si="87"/>
        <v/>
      </c>
      <c r="BX112" s="75" t="str">
        <f t="shared" ca="1" si="87"/>
        <v/>
      </c>
      <c r="BY112" s="75" t="str">
        <f t="shared" ca="1" si="87"/>
        <v/>
      </c>
      <c r="BZ112" s="75" t="str">
        <f t="shared" ca="1" si="87"/>
        <v/>
      </c>
      <c r="CA112" s="75" t="str">
        <f t="shared" ca="1" si="87"/>
        <v/>
      </c>
      <c r="CB112" s="75" t="str">
        <f t="shared" ca="1" si="87"/>
        <v/>
      </c>
      <c r="CC112" s="75" t="str">
        <f t="shared" ca="1" si="87"/>
        <v/>
      </c>
      <c r="CD112" s="75" t="str">
        <f t="shared" ca="1" si="87"/>
        <v/>
      </c>
      <c r="CE112" s="75" t="str">
        <f t="shared" ca="1" si="79"/>
        <v/>
      </c>
      <c r="CF112" s="75" t="str">
        <f t="shared" ca="1" si="79"/>
        <v/>
      </c>
      <c r="CG112" s="74" t="str">
        <f t="shared" ca="1" si="79"/>
        <v/>
      </c>
      <c r="CH112" s="74" t="str">
        <f t="shared" ca="1" si="79"/>
        <v/>
      </c>
      <c r="CI112" s="74" t="str">
        <f t="shared" ca="1" si="79"/>
        <v/>
      </c>
      <c r="CJ112" s="74" t="str">
        <f t="shared" ca="1" si="79"/>
        <v/>
      </c>
      <c r="CK112" s="74" t="str">
        <f t="shared" ca="1" si="79"/>
        <v/>
      </c>
      <c r="CL112" s="74" t="str">
        <f t="shared" ca="1" si="79"/>
        <v/>
      </c>
      <c r="CM112" s="74" t="str">
        <f t="shared" ca="1" si="79"/>
        <v/>
      </c>
      <c r="CN112" s="74" t="str">
        <f t="shared" ca="1" si="79"/>
        <v/>
      </c>
      <c r="CO112" s="74" t="str">
        <f t="shared" ca="1" si="79"/>
        <v/>
      </c>
      <c r="CP112" s="74" t="str">
        <f t="shared" ca="1" si="79"/>
        <v/>
      </c>
      <c r="CQ112" s="74" t="str">
        <f t="shared" ca="1" si="79"/>
        <v/>
      </c>
      <c r="CR112" s="74" t="str">
        <f t="shared" ca="1" si="79"/>
        <v/>
      </c>
      <c r="CS112" s="74" t="str">
        <f t="shared" ca="1" si="79"/>
        <v/>
      </c>
      <c r="CT112" s="74" t="str">
        <f t="shared" ref="CE112:CT127" ca="1" si="91">IF($A112="", "", IF(INDIRECT($A112&amp; "!"&amp; CT$2)="", "", INDIRECT($A112&amp; "!"&amp; CT$2)))</f>
        <v/>
      </c>
      <c r="CU112" s="74" t="str">
        <f t="shared" ca="1" si="88"/>
        <v/>
      </c>
      <c r="CV112" s="74" t="str">
        <f t="shared" ca="1" si="88"/>
        <v/>
      </c>
      <c r="CW112" s="74" t="str">
        <f t="shared" ca="1" si="88"/>
        <v/>
      </c>
      <c r="CX112" s="74" t="str">
        <f t="shared" ca="1" si="88"/>
        <v/>
      </c>
      <c r="CY112" s="74" t="str">
        <f t="shared" ca="1" si="88"/>
        <v/>
      </c>
      <c r="CZ112" s="75" t="str">
        <f t="shared" ca="1" si="88"/>
        <v/>
      </c>
      <c r="DA112" s="75" t="str">
        <f t="shared" ca="1" si="88"/>
        <v/>
      </c>
      <c r="DB112" s="75" t="str">
        <f t="shared" ca="1" si="88"/>
        <v/>
      </c>
      <c r="DC112" s="75" t="str">
        <f t="shared" ca="1" si="88"/>
        <v/>
      </c>
      <c r="DD112" s="75" t="str">
        <f t="shared" ca="1" si="88"/>
        <v/>
      </c>
      <c r="DE112" s="75" t="str">
        <f t="shared" ca="1" si="88"/>
        <v/>
      </c>
      <c r="DF112" s="75" t="str">
        <f t="shared" ca="1" si="88"/>
        <v/>
      </c>
      <c r="DG112" s="75" t="str">
        <f t="shared" ca="1" si="88"/>
        <v/>
      </c>
      <c r="DH112" s="75" t="str">
        <f t="shared" ca="1" si="88"/>
        <v/>
      </c>
      <c r="DI112" s="75" t="str">
        <f t="shared" ca="1" si="88"/>
        <v/>
      </c>
      <c r="DJ112" s="75" t="str">
        <f t="shared" ca="1" si="88"/>
        <v/>
      </c>
      <c r="DK112" s="75" t="str">
        <f t="shared" ca="1" si="80"/>
        <v/>
      </c>
      <c r="DL112" s="75" t="str">
        <f t="shared" ca="1" si="80"/>
        <v/>
      </c>
      <c r="DM112" s="75" t="str">
        <f t="shared" ca="1" si="80"/>
        <v/>
      </c>
      <c r="DN112" s="75" t="str">
        <f t="shared" ca="1" si="80"/>
        <v/>
      </c>
      <c r="DO112" s="75" t="str">
        <f t="shared" ca="1" si="80"/>
        <v/>
      </c>
      <c r="DP112" s="75" t="str">
        <f t="shared" ca="1" si="80"/>
        <v/>
      </c>
      <c r="DQ112" s="75" t="str">
        <f t="shared" ca="1" si="80"/>
        <v/>
      </c>
      <c r="DR112" s="75" t="str">
        <f t="shared" ca="1" si="80"/>
        <v/>
      </c>
      <c r="DS112" s="74" t="str">
        <f t="shared" ca="1" si="80"/>
        <v/>
      </c>
      <c r="DT112" s="74" t="str">
        <f t="shared" ca="1" si="80"/>
        <v/>
      </c>
      <c r="DU112" s="74" t="str">
        <f t="shared" ca="1" si="80"/>
        <v/>
      </c>
      <c r="DV112" s="74" t="str">
        <f t="shared" ca="1" si="80"/>
        <v/>
      </c>
      <c r="DW112" s="74" t="str">
        <f t="shared" ca="1" si="80"/>
        <v/>
      </c>
      <c r="DX112" s="74" t="str">
        <f t="shared" ca="1" si="80"/>
        <v/>
      </c>
      <c r="DY112" s="74" t="str">
        <f t="shared" ca="1" si="80"/>
        <v/>
      </c>
      <c r="DZ112" s="74" t="str">
        <f t="shared" ref="DK112:DZ127" ca="1" si="92">IF($A112="", "", IF(INDIRECT($A112&amp; "!"&amp; DZ$2)="", "", INDIRECT($A112&amp; "!"&amp; DZ$2)))</f>
        <v/>
      </c>
      <c r="EA112" s="74" t="str">
        <f t="shared" ca="1" si="89"/>
        <v/>
      </c>
      <c r="EB112" s="74" t="str">
        <f t="shared" ca="1" si="89"/>
        <v/>
      </c>
      <c r="EC112" s="74" t="str">
        <f t="shared" ca="1" si="89"/>
        <v/>
      </c>
      <c r="ED112" s="74" t="str">
        <f t="shared" ca="1" si="89"/>
        <v/>
      </c>
      <c r="EE112" s="74" t="str">
        <f t="shared" ca="1" si="89"/>
        <v/>
      </c>
      <c r="EF112" s="74" t="str">
        <f t="shared" ca="1" si="89"/>
        <v/>
      </c>
      <c r="EG112" s="74" t="str">
        <f t="shared" ca="1" si="89"/>
        <v/>
      </c>
      <c r="EH112" s="74" t="str">
        <f t="shared" ca="1" si="89"/>
        <v/>
      </c>
      <c r="EI112" s="74" t="str">
        <f t="shared" ca="1" si="89"/>
        <v/>
      </c>
      <c r="EJ112" s="74" t="str">
        <f t="shared" ca="1" si="89"/>
        <v/>
      </c>
      <c r="EK112" s="75" t="str">
        <f t="shared" ca="1" si="89"/>
        <v/>
      </c>
      <c r="EL112" s="75" t="str">
        <f t="shared" ca="1" si="89"/>
        <v/>
      </c>
      <c r="EM112" s="75" t="str">
        <f t="shared" ca="1" si="89"/>
        <v/>
      </c>
      <c r="EN112" s="75" t="str">
        <f t="shared" ca="1" si="89"/>
        <v/>
      </c>
      <c r="EO112" s="75" t="str">
        <f t="shared" ca="1" si="89"/>
        <v/>
      </c>
      <c r="EP112" s="75" t="str">
        <f t="shared" ca="1" si="89"/>
        <v/>
      </c>
      <c r="EQ112" s="75" t="str">
        <f t="shared" ca="1" si="81"/>
        <v/>
      </c>
      <c r="ER112" s="75" t="str">
        <f t="shared" ca="1" si="81"/>
        <v/>
      </c>
      <c r="ES112" s="75" t="str">
        <f t="shared" ca="1" si="81"/>
        <v/>
      </c>
      <c r="ET112" s="75" t="str">
        <f t="shared" ca="1" si="81"/>
        <v/>
      </c>
      <c r="EU112" s="75" t="str">
        <f t="shared" ca="1" si="81"/>
        <v/>
      </c>
      <c r="EV112" s="75" t="str">
        <f t="shared" ca="1" si="81"/>
        <v/>
      </c>
      <c r="EW112" s="75" t="str">
        <f t="shared" ca="1" si="81"/>
        <v/>
      </c>
      <c r="EX112" s="75" t="str">
        <f t="shared" ca="1" si="81"/>
        <v/>
      </c>
      <c r="EY112" s="75" t="str">
        <f t="shared" ca="1" si="81"/>
        <v/>
      </c>
      <c r="EZ112" s="75" t="str">
        <f t="shared" ca="1" si="81"/>
        <v/>
      </c>
      <c r="FA112" s="75" t="str">
        <f t="shared" ca="1" si="81"/>
        <v/>
      </c>
      <c r="FB112" s="75" t="str">
        <f t="shared" ca="1" si="81"/>
        <v/>
      </c>
      <c r="FC112" s="76" t="str">
        <f t="shared" ca="1" si="81"/>
        <v/>
      </c>
      <c r="FD112" s="74" t="str">
        <f t="shared" ca="1" si="81"/>
        <v/>
      </c>
      <c r="FE112" s="74" t="str">
        <f t="shared" ca="1" si="81"/>
        <v/>
      </c>
      <c r="FF112" s="74" t="str">
        <f t="shared" ca="1" si="81"/>
        <v/>
      </c>
      <c r="FG112" s="74" t="str">
        <f t="shared" ca="1" si="86"/>
        <v/>
      </c>
      <c r="FH112" s="74" t="str">
        <f t="shared" ca="1" si="86"/>
        <v/>
      </c>
      <c r="FI112" s="74" t="str">
        <f t="shared" ca="1" si="86"/>
        <v/>
      </c>
      <c r="FJ112" s="74" t="str">
        <f t="shared" ca="1" si="86"/>
        <v/>
      </c>
      <c r="FK112" s="74" t="str">
        <f t="shared" ca="1" si="86"/>
        <v/>
      </c>
      <c r="FL112" s="74" t="str">
        <f t="shared" ca="1" si="86"/>
        <v/>
      </c>
      <c r="FM112" s="74" t="str">
        <f t="shared" ca="1" si="86"/>
        <v/>
      </c>
      <c r="FN112" s="74" t="str">
        <f t="shared" ca="1" si="86"/>
        <v/>
      </c>
      <c r="FO112" s="74" t="str">
        <f t="shared" ca="1" si="86"/>
        <v/>
      </c>
      <c r="FP112" s="74" t="str">
        <f t="shared" ca="1" si="86"/>
        <v/>
      </c>
      <c r="FQ112" s="74" t="str">
        <f t="shared" ca="1" si="86"/>
        <v/>
      </c>
      <c r="FR112" s="74" t="str">
        <f t="shared" ca="1" si="86"/>
        <v/>
      </c>
      <c r="FS112" s="74" t="str">
        <f t="shared" ca="1" si="86"/>
        <v/>
      </c>
      <c r="FT112" s="74" t="str">
        <f t="shared" ca="1" si="86"/>
        <v/>
      </c>
    </row>
    <row r="113" spans="1:176" x14ac:dyDescent="0.35">
      <c r="A113" s="74"/>
      <c r="B113" s="74" t="str">
        <f t="shared" ca="1" si="83"/>
        <v/>
      </c>
      <c r="C113" s="74" t="str">
        <f t="shared" ca="1" si="83"/>
        <v/>
      </c>
      <c r="D113" s="74" t="str">
        <f t="shared" ca="1" si="83"/>
        <v/>
      </c>
      <c r="E113" s="74" t="str">
        <f t="shared" ca="1" si="83"/>
        <v/>
      </c>
      <c r="F113" t="str">
        <f t="shared" ca="1" si="83"/>
        <v/>
      </c>
      <c r="G113" t="str">
        <f t="shared" ca="1" si="83"/>
        <v/>
      </c>
      <c r="H113" t="str">
        <f t="shared" ca="1" si="83"/>
        <v/>
      </c>
      <c r="I113" s="74" t="str">
        <f t="shared" ca="1" si="83"/>
        <v/>
      </c>
      <c r="J113" s="74" t="str">
        <f t="shared" ca="1" si="83"/>
        <v/>
      </c>
      <c r="K113" s="74" t="str">
        <f t="shared" ca="1" si="83"/>
        <v/>
      </c>
      <c r="L113" s="74" t="str">
        <f t="shared" ca="1" si="83"/>
        <v/>
      </c>
      <c r="M113" s="74" t="str">
        <f t="shared" ca="1" si="83"/>
        <v/>
      </c>
      <c r="N113" s="74" t="str">
        <f t="shared" ca="1" si="83"/>
        <v/>
      </c>
      <c r="O113" s="74" t="str">
        <f t="shared" ca="1" si="83"/>
        <v/>
      </c>
      <c r="P113" s="74" t="str">
        <f t="shared" ca="1" si="83"/>
        <v/>
      </c>
      <c r="Q113" s="74" t="str">
        <f t="shared" ca="1" si="83"/>
        <v/>
      </c>
      <c r="R113" s="74" t="str">
        <f t="shared" ca="1" si="83"/>
        <v/>
      </c>
      <c r="S113" s="74" t="str">
        <f t="shared" ca="1" si="83"/>
        <v/>
      </c>
      <c r="T113" s="74" t="str">
        <f t="shared" ca="1" si="85"/>
        <v/>
      </c>
      <c r="U113" s="74" t="str">
        <f t="shared" ca="1" si="85"/>
        <v/>
      </c>
      <c r="V113" s="74" t="str">
        <f t="shared" ca="1" si="85"/>
        <v/>
      </c>
      <c r="W113" s="74" t="str">
        <f t="shared" ca="1" si="85"/>
        <v/>
      </c>
      <c r="X113" s="74" t="str">
        <f t="shared" ca="1" si="85"/>
        <v/>
      </c>
      <c r="Y113" s="74" t="str">
        <f t="shared" ca="1" si="85"/>
        <v/>
      </c>
      <c r="Z113" s="74" t="str">
        <f t="shared" ca="1" si="85"/>
        <v/>
      </c>
      <c r="AA113" s="74" t="str">
        <f t="shared" ca="1" si="85"/>
        <v/>
      </c>
      <c r="AB113" s="75" t="str">
        <f t="shared" ca="1" si="85"/>
        <v/>
      </c>
      <c r="AC113" s="75" t="str">
        <f t="shared" ca="1" si="85"/>
        <v/>
      </c>
      <c r="AD113" s="75" t="str">
        <f t="shared" ca="1" si="85"/>
        <v/>
      </c>
      <c r="AE113" s="75" t="str">
        <f t="shared" ca="1" si="85"/>
        <v/>
      </c>
      <c r="AF113" s="75" t="str">
        <f t="shared" ca="1" si="85"/>
        <v/>
      </c>
      <c r="AG113" s="75" t="str">
        <f t="shared" ca="1" si="85"/>
        <v/>
      </c>
      <c r="AH113" s="75" t="str">
        <f t="shared" ca="1" si="85"/>
        <v/>
      </c>
      <c r="AI113" s="75" t="str">
        <f t="shared" ca="1" si="84"/>
        <v/>
      </c>
      <c r="AJ113" s="75" t="str">
        <f t="shared" ca="1" si="84"/>
        <v/>
      </c>
      <c r="AK113" s="75" t="str">
        <f t="shared" ca="1" si="84"/>
        <v/>
      </c>
      <c r="AL113" s="75" t="str">
        <f t="shared" ca="1" si="84"/>
        <v/>
      </c>
      <c r="AM113" s="75" t="str">
        <f t="shared" ca="1" si="84"/>
        <v/>
      </c>
      <c r="AN113" s="75" t="str">
        <f t="shared" ca="1" si="84"/>
        <v/>
      </c>
      <c r="AO113" s="75" t="str">
        <f t="shared" ca="1" si="84"/>
        <v/>
      </c>
      <c r="AP113" s="75" t="str">
        <f t="shared" ca="1" si="84"/>
        <v/>
      </c>
      <c r="AQ113" s="75" t="str">
        <f t="shared" ca="1" si="84"/>
        <v/>
      </c>
      <c r="AR113" s="75" t="str">
        <f t="shared" ca="1" si="84"/>
        <v/>
      </c>
      <c r="AS113" s="75" t="str">
        <f t="shared" ca="1" si="84"/>
        <v/>
      </c>
      <c r="AT113" s="75" t="str">
        <f t="shared" ca="1" si="84"/>
        <v/>
      </c>
      <c r="AU113" s="74" t="str">
        <f t="shared" ca="1" si="84"/>
        <v/>
      </c>
      <c r="AV113" s="74" t="str">
        <f t="shared" ca="1" si="84"/>
        <v/>
      </c>
      <c r="AW113" s="74" t="str">
        <f t="shared" ca="1" si="82"/>
        <v/>
      </c>
      <c r="AX113" s="74" t="str">
        <f t="shared" ca="1" si="82"/>
        <v/>
      </c>
      <c r="AY113" s="74" t="str">
        <f t="shared" ca="1" si="90"/>
        <v/>
      </c>
      <c r="AZ113" s="74" t="str">
        <f t="shared" ca="1" si="90"/>
        <v/>
      </c>
      <c r="BA113" s="74" t="str">
        <f t="shared" ca="1" si="90"/>
        <v/>
      </c>
      <c r="BB113" s="74" t="str">
        <f t="shared" ca="1" si="90"/>
        <v/>
      </c>
      <c r="BC113" s="74" t="str">
        <f t="shared" ca="1" si="90"/>
        <v/>
      </c>
      <c r="BD113" s="74" t="str">
        <f t="shared" ca="1" si="90"/>
        <v/>
      </c>
      <c r="BE113" s="74" t="str">
        <f t="shared" ca="1" si="90"/>
        <v/>
      </c>
      <c r="BF113" s="74" t="str">
        <f t="shared" ca="1" si="90"/>
        <v/>
      </c>
      <c r="BG113" s="74" t="str">
        <f t="shared" ca="1" si="90"/>
        <v/>
      </c>
      <c r="BH113" s="74" t="str">
        <f t="shared" ca="1" si="90"/>
        <v/>
      </c>
      <c r="BI113" s="74" t="str">
        <f t="shared" ca="1" si="90"/>
        <v/>
      </c>
      <c r="BJ113" s="74" t="str">
        <f t="shared" ca="1" si="90"/>
        <v/>
      </c>
      <c r="BK113" s="74" t="str">
        <f t="shared" ca="1" si="90"/>
        <v/>
      </c>
      <c r="BL113" s="74" t="str">
        <f t="shared" ca="1" si="90"/>
        <v/>
      </c>
      <c r="BM113" s="74" t="str">
        <f t="shared" ca="1" si="90"/>
        <v/>
      </c>
      <c r="BN113" s="75" t="str">
        <f t="shared" ca="1" si="90"/>
        <v/>
      </c>
      <c r="BO113" s="75" t="str">
        <f t="shared" ca="1" si="87"/>
        <v/>
      </c>
      <c r="BP113" s="75" t="str">
        <f t="shared" ca="1" si="87"/>
        <v/>
      </c>
      <c r="BQ113" s="75" t="str">
        <f t="shared" ca="1" si="87"/>
        <v/>
      </c>
      <c r="BR113" s="75" t="str">
        <f t="shared" ca="1" si="87"/>
        <v/>
      </c>
      <c r="BS113" s="75" t="str">
        <f t="shared" ca="1" si="87"/>
        <v/>
      </c>
      <c r="BT113" s="75" t="str">
        <f t="shared" ca="1" si="87"/>
        <v/>
      </c>
      <c r="BU113" s="75" t="str">
        <f t="shared" ca="1" si="87"/>
        <v/>
      </c>
      <c r="BV113" s="75" t="str">
        <f t="shared" ca="1" si="87"/>
        <v/>
      </c>
      <c r="BW113" s="75" t="str">
        <f t="shared" ca="1" si="87"/>
        <v/>
      </c>
      <c r="BX113" s="75" t="str">
        <f t="shared" ca="1" si="87"/>
        <v/>
      </c>
      <c r="BY113" s="75" t="str">
        <f t="shared" ca="1" si="87"/>
        <v/>
      </c>
      <c r="BZ113" s="75" t="str">
        <f t="shared" ca="1" si="87"/>
        <v/>
      </c>
      <c r="CA113" s="75" t="str">
        <f t="shared" ca="1" si="87"/>
        <v/>
      </c>
      <c r="CB113" s="75" t="str">
        <f t="shared" ca="1" si="87"/>
        <v/>
      </c>
      <c r="CC113" s="75" t="str">
        <f t="shared" ca="1" si="87"/>
        <v/>
      </c>
      <c r="CD113" s="75" t="str">
        <f t="shared" ca="1" si="87"/>
        <v/>
      </c>
      <c r="CE113" s="75" t="str">
        <f t="shared" ca="1" si="91"/>
        <v/>
      </c>
      <c r="CF113" s="75" t="str">
        <f t="shared" ca="1" si="91"/>
        <v/>
      </c>
      <c r="CG113" s="74" t="str">
        <f t="shared" ca="1" si="91"/>
        <v/>
      </c>
      <c r="CH113" s="74" t="str">
        <f t="shared" ca="1" si="91"/>
        <v/>
      </c>
      <c r="CI113" s="74" t="str">
        <f t="shared" ca="1" si="91"/>
        <v/>
      </c>
      <c r="CJ113" s="74" t="str">
        <f t="shared" ca="1" si="91"/>
        <v/>
      </c>
      <c r="CK113" s="74" t="str">
        <f t="shared" ca="1" si="91"/>
        <v/>
      </c>
      <c r="CL113" s="74" t="str">
        <f t="shared" ca="1" si="91"/>
        <v/>
      </c>
      <c r="CM113" s="74" t="str">
        <f t="shared" ca="1" si="91"/>
        <v/>
      </c>
      <c r="CN113" s="74" t="str">
        <f t="shared" ca="1" si="91"/>
        <v/>
      </c>
      <c r="CO113" s="74" t="str">
        <f t="shared" ca="1" si="91"/>
        <v/>
      </c>
      <c r="CP113" s="74" t="str">
        <f t="shared" ca="1" si="91"/>
        <v/>
      </c>
      <c r="CQ113" s="74" t="str">
        <f t="shared" ca="1" si="91"/>
        <v/>
      </c>
      <c r="CR113" s="74" t="str">
        <f t="shared" ca="1" si="91"/>
        <v/>
      </c>
      <c r="CS113" s="74" t="str">
        <f t="shared" ca="1" si="91"/>
        <v/>
      </c>
      <c r="CT113" s="74" t="str">
        <f t="shared" ca="1" si="91"/>
        <v/>
      </c>
      <c r="CU113" s="74" t="str">
        <f t="shared" ca="1" si="88"/>
        <v/>
      </c>
      <c r="CV113" s="74" t="str">
        <f t="shared" ca="1" si="88"/>
        <v/>
      </c>
      <c r="CW113" s="74" t="str">
        <f t="shared" ca="1" si="88"/>
        <v/>
      </c>
      <c r="CX113" s="74" t="str">
        <f t="shared" ca="1" si="88"/>
        <v/>
      </c>
      <c r="CY113" s="74" t="str">
        <f t="shared" ca="1" si="88"/>
        <v/>
      </c>
      <c r="CZ113" s="75" t="str">
        <f t="shared" ca="1" si="88"/>
        <v/>
      </c>
      <c r="DA113" s="75" t="str">
        <f t="shared" ca="1" si="88"/>
        <v/>
      </c>
      <c r="DB113" s="75" t="str">
        <f t="shared" ca="1" si="88"/>
        <v/>
      </c>
      <c r="DC113" s="75" t="str">
        <f t="shared" ca="1" si="88"/>
        <v/>
      </c>
      <c r="DD113" s="75" t="str">
        <f t="shared" ca="1" si="88"/>
        <v/>
      </c>
      <c r="DE113" s="75" t="str">
        <f t="shared" ca="1" si="88"/>
        <v/>
      </c>
      <c r="DF113" s="75" t="str">
        <f t="shared" ca="1" si="88"/>
        <v/>
      </c>
      <c r="DG113" s="75" t="str">
        <f t="shared" ca="1" si="88"/>
        <v/>
      </c>
      <c r="DH113" s="75" t="str">
        <f t="shared" ca="1" si="88"/>
        <v/>
      </c>
      <c r="DI113" s="75" t="str">
        <f t="shared" ca="1" si="88"/>
        <v/>
      </c>
      <c r="DJ113" s="75" t="str">
        <f t="shared" ca="1" si="88"/>
        <v/>
      </c>
      <c r="DK113" s="75" t="str">
        <f t="shared" ca="1" si="92"/>
        <v/>
      </c>
      <c r="DL113" s="75" t="str">
        <f t="shared" ca="1" si="92"/>
        <v/>
      </c>
      <c r="DM113" s="75" t="str">
        <f t="shared" ca="1" si="92"/>
        <v/>
      </c>
      <c r="DN113" s="75" t="str">
        <f t="shared" ca="1" si="92"/>
        <v/>
      </c>
      <c r="DO113" s="75" t="str">
        <f t="shared" ca="1" si="92"/>
        <v/>
      </c>
      <c r="DP113" s="75" t="str">
        <f t="shared" ca="1" si="92"/>
        <v/>
      </c>
      <c r="DQ113" s="75" t="str">
        <f t="shared" ca="1" si="92"/>
        <v/>
      </c>
      <c r="DR113" s="75" t="str">
        <f t="shared" ca="1" si="92"/>
        <v/>
      </c>
      <c r="DS113" s="74" t="str">
        <f t="shared" ca="1" si="92"/>
        <v/>
      </c>
      <c r="DT113" s="74" t="str">
        <f t="shared" ca="1" si="92"/>
        <v/>
      </c>
      <c r="DU113" s="74" t="str">
        <f t="shared" ca="1" si="92"/>
        <v/>
      </c>
      <c r="DV113" s="74" t="str">
        <f t="shared" ca="1" si="92"/>
        <v/>
      </c>
      <c r="DW113" s="74" t="str">
        <f t="shared" ca="1" si="92"/>
        <v/>
      </c>
      <c r="DX113" s="74" t="str">
        <f t="shared" ca="1" si="92"/>
        <v/>
      </c>
      <c r="DY113" s="74" t="str">
        <f t="shared" ca="1" si="92"/>
        <v/>
      </c>
      <c r="DZ113" s="74" t="str">
        <f t="shared" ca="1" si="92"/>
        <v/>
      </c>
      <c r="EA113" s="74" t="str">
        <f t="shared" ca="1" si="89"/>
        <v/>
      </c>
      <c r="EB113" s="74" t="str">
        <f t="shared" ca="1" si="89"/>
        <v/>
      </c>
      <c r="EC113" s="74" t="str">
        <f t="shared" ca="1" si="89"/>
        <v/>
      </c>
      <c r="ED113" s="74" t="str">
        <f t="shared" ca="1" si="89"/>
        <v/>
      </c>
      <c r="EE113" s="74" t="str">
        <f t="shared" ca="1" si="89"/>
        <v/>
      </c>
      <c r="EF113" s="74" t="str">
        <f t="shared" ca="1" si="89"/>
        <v/>
      </c>
      <c r="EG113" s="74" t="str">
        <f t="shared" ca="1" si="89"/>
        <v/>
      </c>
      <c r="EH113" s="74" t="str">
        <f t="shared" ca="1" si="89"/>
        <v/>
      </c>
      <c r="EI113" s="74" t="str">
        <f t="shared" ca="1" si="89"/>
        <v/>
      </c>
      <c r="EJ113" s="74" t="str">
        <f t="shared" ca="1" si="89"/>
        <v/>
      </c>
      <c r="EK113" s="75" t="str">
        <f t="shared" ca="1" si="89"/>
        <v/>
      </c>
      <c r="EL113" s="75" t="str">
        <f t="shared" ca="1" si="89"/>
        <v/>
      </c>
      <c r="EM113" s="75" t="str">
        <f t="shared" ca="1" si="89"/>
        <v/>
      </c>
      <c r="EN113" s="75" t="str">
        <f t="shared" ca="1" si="89"/>
        <v/>
      </c>
      <c r="EO113" s="75" t="str">
        <f t="shared" ca="1" si="89"/>
        <v/>
      </c>
      <c r="EP113" s="75" t="str">
        <f t="shared" ca="1" si="89"/>
        <v/>
      </c>
      <c r="EQ113" s="75" t="str">
        <f t="shared" ref="EQ113:FF127" ca="1" si="93">IF($A113="", "", IF(INDIRECT($A113&amp; "!"&amp; EQ$2)="", "", INDIRECT($A113&amp; "!"&amp; EQ$2)))</f>
        <v/>
      </c>
      <c r="ER113" s="75" t="str">
        <f t="shared" ca="1" si="93"/>
        <v/>
      </c>
      <c r="ES113" s="75" t="str">
        <f t="shared" ca="1" si="93"/>
        <v/>
      </c>
      <c r="ET113" s="75" t="str">
        <f t="shared" ca="1" si="93"/>
        <v/>
      </c>
      <c r="EU113" s="75" t="str">
        <f t="shared" ca="1" si="93"/>
        <v/>
      </c>
      <c r="EV113" s="75" t="str">
        <f t="shared" ca="1" si="93"/>
        <v/>
      </c>
      <c r="EW113" s="75" t="str">
        <f t="shared" ca="1" si="93"/>
        <v/>
      </c>
      <c r="EX113" s="75" t="str">
        <f t="shared" ca="1" si="93"/>
        <v/>
      </c>
      <c r="EY113" s="75" t="str">
        <f t="shared" ca="1" si="93"/>
        <v/>
      </c>
      <c r="EZ113" s="75" t="str">
        <f t="shared" ca="1" si="93"/>
        <v/>
      </c>
      <c r="FA113" s="75" t="str">
        <f t="shared" ca="1" si="93"/>
        <v/>
      </c>
      <c r="FB113" s="75" t="str">
        <f t="shared" ca="1" si="93"/>
        <v/>
      </c>
      <c r="FC113" s="76" t="str">
        <f t="shared" ca="1" si="93"/>
        <v/>
      </c>
      <c r="FD113" s="74" t="str">
        <f t="shared" ca="1" si="93"/>
        <v/>
      </c>
      <c r="FE113" s="74" t="str">
        <f t="shared" ca="1" si="93"/>
        <v/>
      </c>
      <c r="FF113" s="74" t="str">
        <f t="shared" ca="1" si="93"/>
        <v/>
      </c>
      <c r="FG113" s="74" t="str">
        <f t="shared" ca="1" si="86"/>
        <v/>
      </c>
      <c r="FH113" s="74" t="str">
        <f t="shared" ca="1" si="86"/>
        <v/>
      </c>
      <c r="FI113" s="74" t="str">
        <f t="shared" ca="1" si="86"/>
        <v/>
      </c>
      <c r="FJ113" s="74" t="str">
        <f t="shared" ca="1" si="86"/>
        <v/>
      </c>
      <c r="FK113" s="74" t="str">
        <f t="shared" ca="1" si="86"/>
        <v/>
      </c>
      <c r="FL113" s="74" t="str">
        <f t="shared" ca="1" si="86"/>
        <v/>
      </c>
      <c r="FM113" s="74" t="str">
        <f t="shared" ca="1" si="86"/>
        <v/>
      </c>
      <c r="FN113" s="74" t="str">
        <f t="shared" ca="1" si="86"/>
        <v/>
      </c>
      <c r="FO113" s="74" t="str">
        <f t="shared" ca="1" si="86"/>
        <v/>
      </c>
      <c r="FP113" s="74" t="str">
        <f t="shared" ca="1" si="86"/>
        <v/>
      </c>
      <c r="FQ113" s="74" t="str">
        <f t="shared" ca="1" si="86"/>
        <v/>
      </c>
      <c r="FR113" s="74" t="str">
        <f t="shared" ca="1" si="86"/>
        <v/>
      </c>
      <c r="FS113" s="74" t="str">
        <f t="shared" ca="1" si="86"/>
        <v/>
      </c>
      <c r="FT113" s="74" t="str">
        <f t="shared" ca="1" si="86"/>
        <v/>
      </c>
    </row>
    <row r="114" spans="1:176" x14ac:dyDescent="0.35">
      <c r="A114" s="74"/>
      <c r="B114" s="74" t="str">
        <f t="shared" ca="1" si="83"/>
        <v/>
      </c>
      <c r="C114" s="74" t="str">
        <f t="shared" ca="1" si="83"/>
        <v/>
      </c>
      <c r="D114" s="74" t="str">
        <f t="shared" ref="D114:S114" ca="1" si="94">IF($A114="", "", IF(INDIRECT($A114&amp; "!"&amp; D$2)="", "", INDIRECT($A114&amp; "!"&amp; D$2)))</f>
        <v/>
      </c>
      <c r="E114" s="74" t="str">
        <f t="shared" ca="1" si="94"/>
        <v/>
      </c>
      <c r="F114" t="str">
        <f t="shared" ca="1" si="94"/>
        <v/>
      </c>
      <c r="G114" t="str">
        <f t="shared" ca="1" si="94"/>
        <v/>
      </c>
      <c r="H114" t="str">
        <f t="shared" ca="1" si="94"/>
        <v/>
      </c>
      <c r="I114" s="74" t="str">
        <f t="shared" ca="1" si="94"/>
        <v/>
      </c>
      <c r="J114" s="74" t="str">
        <f t="shared" ca="1" si="94"/>
        <v/>
      </c>
      <c r="K114" s="74" t="str">
        <f t="shared" ca="1" si="94"/>
        <v/>
      </c>
      <c r="L114" s="74" t="str">
        <f t="shared" ca="1" si="94"/>
        <v/>
      </c>
      <c r="M114" s="74" t="str">
        <f t="shared" ca="1" si="94"/>
        <v/>
      </c>
      <c r="N114" s="74" t="str">
        <f t="shared" ca="1" si="94"/>
        <v/>
      </c>
      <c r="O114" s="74" t="str">
        <f t="shared" ca="1" si="94"/>
        <v/>
      </c>
      <c r="P114" s="74" t="str">
        <f t="shared" ca="1" si="94"/>
        <v/>
      </c>
      <c r="Q114" s="74" t="str">
        <f t="shared" ca="1" si="94"/>
        <v/>
      </c>
      <c r="R114" s="74" t="str">
        <f t="shared" ca="1" si="94"/>
        <v/>
      </c>
      <c r="S114" s="74" t="str">
        <f t="shared" ca="1" si="94"/>
        <v/>
      </c>
      <c r="T114" s="74" t="str">
        <f t="shared" ca="1" si="85"/>
        <v/>
      </c>
      <c r="U114" s="74" t="str">
        <f t="shared" ca="1" si="85"/>
        <v/>
      </c>
      <c r="V114" s="74" t="str">
        <f t="shared" ca="1" si="85"/>
        <v/>
      </c>
      <c r="W114" s="74" t="str">
        <f t="shared" ca="1" si="85"/>
        <v/>
      </c>
      <c r="X114" s="74" t="str">
        <f t="shared" ca="1" si="85"/>
        <v/>
      </c>
      <c r="Y114" s="74" t="str">
        <f t="shared" ca="1" si="85"/>
        <v/>
      </c>
      <c r="Z114" s="74" t="str">
        <f t="shared" ca="1" si="85"/>
        <v/>
      </c>
      <c r="AA114" s="74" t="str">
        <f t="shared" ca="1" si="85"/>
        <v/>
      </c>
      <c r="AB114" s="75" t="str">
        <f t="shared" ca="1" si="85"/>
        <v/>
      </c>
      <c r="AC114" s="75" t="str">
        <f t="shared" ca="1" si="85"/>
        <v/>
      </c>
      <c r="AD114" s="75" t="str">
        <f t="shared" ca="1" si="85"/>
        <v/>
      </c>
      <c r="AE114" s="75" t="str">
        <f t="shared" ca="1" si="85"/>
        <v/>
      </c>
      <c r="AF114" s="75" t="str">
        <f t="shared" ca="1" si="85"/>
        <v/>
      </c>
      <c r="AG114" s="75" t="str">
        <f t="shared" ca="1" si="85"/>
        <v/>
      </c>
      <c r="AH114" s="75" t="str">
        <f t="shared" ca="1" si="85"/>
        <v/>
      </c>
      <c r="AI114" s="75" t="str">
        <f t="shared" ca="1" si="84"/>
        <v/>
      </c>
      <c r="AJ114" s="75" t="str">
        <f t="shared" ca="1" si="84"/>
        <v/>
      </c>
      <c r="AK114" s="75" t="str">
        <f t="shared" ca="1" si="84"/>
        <v/>
      </c>
      <c r="AL114" s="75" t="str">
        <f t="shared" ca="1" si="84"/>
        <v/>
      </c>
      <c r="AM114" s="75" t="str">
        <f t="shared" ca="1" si="84"/>
        <v/>
      </c>
      <c r="AN114" s="75" t="str">
        <f t="shared" ca="1" si="84"/>
        <v/>
      </c>
      <c r="AO114" s="75" t="str">
        <f t="shared" ca="1" si="84"/>
        <v/>
      </c>
      <c r="AP114" s="75" t="str">
        <f t="shared" ca="1" si="84"/>
        <v/>
      </c>
      <c r="AQ114" s="75" t="str">
        <f t="shared" ca="1" si="84"/>
        <v/>
      </c>
      <c r="AR114" s="75" t="str">
        <f t="shared" ca="1" si="84"/>
        <v/>
      </c>
      <c r="AS114" s="75" t="str">
        <f t="shared" ca="1" si="84"/>
        <v/>
      </c>
      <c r="AT114" s="75" t="str">
        <f t="shared" ca="1" si="84"/>
        <v/>
      </c>
      <c r="AU114" s="74" t="str">
        <f t="shared" ca="1" si="84"/>
        <v/>
      </c>
      <c r="AV114" s="74" t="str">
        <f t="shared" ca="1" si="84"/>
        <v/>
      </c>
      <c r="AW114" s="74" t="str">
        <f t="shared" ca="1" si="84"/>
        <v/>
      </c>
      <c r="AX114" s="74" t="str">
        <f t="shared" ca="1" si="84"/>
        <v/>
      </c>
      <c r="AY114" s="74" t="str">
        <f t="shared" ca="1" si="90"/>
        <v/>
      </c>
      <c r="AZ114" s="74" t="str">
        <f t="shared" ca="1" si="90"/>
        <v/>
      </c>
      <c r="BA114" s="74" t="str">
        <f t="shared" ca="1" si="90"/>
        <v/>
      </c>
      <c r="BB114" s="74" t="str">
        <f t="shared" ca="1" si="90"/>
        <v/>
      </c>
      <c r="BC114" s="74" t="str">
        <f t="shared" ca="1" si="90"/>
        <v/>
      </c>
      <c r="BD114" s="74" t="str">
        <f t="shared" ca="1" si="90"/>
        <v/>
      </c>
      <c r="BE114" s="74" t="str">
        <f t="shared" ca="1" si="90"/>
        <v/>
      </c>
      <c r="BF114" s="74" t="str">
        <f t="shared" ca="1" si="90"/>
        <v/>
      </c>
      <c r="BG114" s="74" t="str">
        <f t="shared" ca="1" si="90"/>
        <v/>
      </c>
      <c r="BH114" s="74" t="str">
        <f t="shared" ca="1" si="90"/>
        <v/>
      </c>
      <c r="BI114" s="74" t="str">
        <f t="shared" ca="1" si="90"/>
        <v/>
      </c>
      <c r="BJ114" s="74" t="str">
        <f t="shared" ca="1" si="90"/>
        <v/>
      </c>
      <c r="BK114" s="74" t="str">
        <f t="shared" ca="1" si="90"/>
        <v/>
      </c>
      <c r="BL114" s="74" t="str">
        <f t="shared" ca="1" si="90"/>
        <v/>
      </c>
      <c r="BM114" s="74" t="str">
        <f t="shared" ca="1" si="90"/>
        <v/>
      </c>
      <c r="BN114" s="75" t="str">
        <f t="shared" ca="1" si="90"/>
        <v/>
      </c>
      <c r="BO114" s="75" t="str">
        <f t="shared" ca="1" si="87"/>
        <v/>
      </c>
      <c r="BP114" s="75" t="str">
        <f t="shared" ca="1" si="87"/>
        <v/>
      </c>
      <c r="BQ114" s="75" t="str">
        <f t="shared" ca="1" si="87"/>
        <v/>
      </c>
      <c r="BR114" s="75" t="str">
        <f t="shared" ca="1" si="87"/>
        <v/>
      </c>
      <c r="BS114" s="75" t="str">
        <f t="shared" ca="1" si="87"/>
        <v/>
      </c>
      <c r="BT114" s="75" t="str">
        <f t="shared" ca="1" si="87"/>
        <v/>
      </c>
      <c r="BU114" s="75" t="str">
        <f t="shared" ca="1" si="87"/>
        <v/>
      </c>
      <c r="BV114" s="75" t="str">
        <f t="shared" ca="1" si="87"/>
        <v/>
      </c>
      <c r="BW114" s="75" t="str">
        <f t="shared" ca="1" si="87"/>
        <v/>
      </c>
      <c r="BX114" s="75" t="str">
        <f t="shared" ca="1" si="87"/>
        <v/>
      </c>
      <c r="BY114" s="75" t="str">
        <f t="shared" ca="1" si="87"/>
        <v/>
      </c>
      <c r="BZ114" s="75" t="str">
        <f t="shared" ca="1" si="87"/>
        <v/>
      </c>
      <c r="CA114" s="75" t="str">
        <f t="shared" ca="1" si="87"/>
        <v/>
      </c>
      <c r="CB114" s="75" t="str">
        <f t="shared" ca="1" si="87"/>
        <v/>
      </c>
      <c r="CC114" s="75" t="str">
        <f t="shared" ca="1" si="87"/>
        <v/>
      </c>
      <c r="CD114" s="75" t="str">
        <f t="shared" ca="1" si="87"/>
        <v/>
      </c>
      <c r="CE114" s="75" t="str">
        <f t="shared" ca="1" si="91"/>
        <v/>
      </c>
      <c r="CF114" s="75" t="str">
        <f t="shared" ca="1" si="91"/>
        <v/>
      </c>
      <c r="CG114" s="74" t="str">
        <f t="shared" ca="1" si="91"/>
        <v/>
      </c>
      <c r="CH114" s="74" t="str">
        <f t="shared" ca="1" si="91"/>
        <v/>
      </c>
      <c r="CI114" s="74" t="str">
        <f t="shared" ca="1" si="91"/>
        <v/>
      </c>
      <c r="CJ114" s="74" t="str">
        <f t="shared" ca="1" si="91"/>
        <v/>
      </c>
      <c r="CK114" s="74" t="str">
        <f t="shared" ca="1" si="91"/>
        <v/>
      </c>
      <c r="CL114" s="74" t="str">
        <f t="shared" ca="1" si="91"/>
        <v/>
      </c>
      <c r="CM114" s="74" t="str">
        <f t="shared" ca="1" si="91"/>
        <v/>
      </c>
      <c r="CN114" s="74" t="str">
        <f t="shared" ca="1" si="91"/>
        <v/>
      </c>
      <c r="CO114" s="74" t="str">
        <f t="shared" ca="1" si="91"/>
        <v/>
      </c>
      <c r="CP114" s="74" t="str">
        <f t="shared" ca="1" si="91"/>
        <v/>
      </c>
      <c r="CQ114" s="74" t="str">
        <f t="shared" ca="1" si="91"/>
        <v/>
      </c>
      <c r="CR114" s="74" t="str">
        <f t="shared" ca="1" si="91"/>
        <v/>
      </c>
      <c r="CS114" s="74" t="str">
        <f t="shared" ca="1" si="91"/>
        <v/>
      </c>
      <c r="CT114" s="74" t="str">
        <f t="shared" ca="1" si="91"/>
        <v/>
      </c>
      <c r="CU114" s="74" t="str">
        <f t="shared" ca="1" si="88"/>
        <v/>
      </c>
      <c r="CV114" s="74" t="str">
        <f t="shared" ca="1" si="88"/>
        <v/>
      </c>
      <c r="CW114" s="74" t="str">
        <f t="shared" ca="1" si="88"/>
        <v/>
      </c>
      <c r="CX114" s="74" t="str">
        <f t="shared" ca="1" si="88"/>
        <v/>
      </c>
      <c r="CY114" s="74" t="str">
        <f t="shared" ca="1" si="88"/>
        <v/>
      </c>
      <c r="CZ114" s="75" t="str">
        <f t="shared" ca="1" si="88"/>
        <v/>
      </c>
      <c r="DA114" s="75" t="str">
        <f t="shared" ca="1" si="88"/>
        <v/>
      </c>
      <c r="DB114" s="75" t="str">
        <f t="shared" ca="1" si="88"/>
        <v/>
      </c>
      <c r="DC114" s="75" t="str">
        <f t="shared" ca="1" si="88"/>
        <v/>
      </c>
      <c r="DD114" s="75" t="str">
        <f t="shared" ca="1" si="88"/>
        <v/>
      </c>
      <c r="DE114" s="75" t="str">
        <f t="shared" ca="1" si="88"/>
        <v/>
      </c>
      <c r="DF114" s="75" t="str">
        <f t="shared" ca="1" si="88"/>
        <v/>
      </c>
      <c r="DG114" s="75" t="str">
        <f t="shared" ca="1" si="88"/>
        <v/>
      </c>
      <c r="DH114" s="75" t="str">
        <f t="shared" ca="1" si="88"/>
        <v/>
      </c>
      <c r="DI114" s="75" t="str">
        <f t="shared" ca="1" si="88"/>
        <v/>
      </c>
      <c r="DJ114" s="75" t="str">
        <f t="shared" ca="1" si="88"/>
        <v/>
      </c>
      <c r="DK114" s="75" t="str">
        <f t="shared" ca="1" si="92"/>
        <v/>
      </c>
      <c r="DL114" s="75" t="str">
        <f t="shared" ca="1" si="92"/>
        <v/>
      </c>
      <c r="DM114" s="75" t="str">
        <f t="shared" ca="1" si="92"/>
        <v/>
      </c>
      <c r="DN114" s="75" t="str">
        <f t="shared" ca="1" si="92"/>
        <v/>
      </c>
      <c r="DO114" s="75" t="str">
        <f t="shared" ca="1" si="92"/>
        <v/>
      </c>
      <c r="DP114" s="75" t="str">
        <f t="shared" ca="1" si="92"/>
        <v/>
      </c>
      <c r="DQ114" s="75" t="str">
        <f t="shared" ca="1" si="92"/>
        <v/>
      </c>
      <c r="DR114" s="75" t="str">
        <f t="shared" ca="1" si="92"/>
        <v/>
      </c>
      <c r="DS114" s="74" t="str">
        <f t="shared" ca="1" si="92"/>
        <v/>
      </c>
      <c r="DT114" s="74" t="str">
        <f t="shared" ca="1" si="92"/>
        <v/>
      </c>
      <c r="DU114" s="74" t="str">
        <f t="shared" ca="1" si="92"/>
        <v/>
      </c>
      <c r="DV114" s="74" t="str">
        <f t="shared" ca="1" si="92"/>
        <v/>
      </c>
      <c r="DW114" s="74" t="str">
        <f t="shared" ca="1" si="92"/>
        <v/>
      </c>
      <c r="DX114" s="74" t="str">
        <f t="shared" ca="1" si="92"/>
        <v/>
      </c>
      <c r="DY114" s="74" t="str">
        <f t="shared" ca="1" si="92"/>
        <v/>
      </c>
      <c r="DZ114" s="74" t="str">
        <f t="shared" ca="1" si="92"/>
        <v/>
      </c>
      <c r="EA114" s="74" t="str">
        <f t="shared" ca="1" si="89"/>
        <v/>
      </c>
      <c r="EB114" s="74" t="str">
        <f t="shared" ca="1" si="89"/>
        <v/>
      </c>
      <c r="EC114" s="74" t="str">
        <f t="shared" ca="1" si="89"/>
        <v/>
      </c>
      <c r="ED114" s="74" t="str">
        <f t="shared" ca="1" si="89"/>
        <v/>
      </c>
      <c r="EE114" s="74" t="str">
        <f t="shared" ca="1" si="89"/>
        <v/>
      </c>
      <c r="EF114" s="74" t="str">
        <f t="shared" ca="1" si="89"/>
        <v/>
      </c>
      <c r="EG114" s="74" t="str">
        <f t="shared" ca="1" si="89"/>
        <v/>
      </c>
      <c r="EH114" s="74" t="str">
        <f t="shared" ca="1" si="89"/>
        <v/>
      </c>
      <c r="EI114" s="74" t="str">
        <f t="shared" ca="1" si="89"/>
        <v/>
      </c>
      <c r="EJ114" s="74" t="str">
        <f t="shared" ca="1" si="89"/>
        <v/>
      </c>
      <c r="EK114" s="75" t="str">
        <f t="shared" ca="1" si="89"/>
        <v/>
      </c>
      <c r="EL114" s="75" t="str">
        <f t="shared" ca="1" si="89"/>
        <v/>
      </c>
      <c r="EM114" s="75" t="str">
        <f t="shared" ca="1" si="89"/>
        <v/>
      </c>
      <c r="EN114" s="75" t="str">
        <f t="shared" ca="1" si="89"/>
        <v/>
      </c>
      <c r="EO114" s="75" t="str">
        <f t="shared" ca="1" si="89"/>
        <v/>
      </c>
      <c r="EP114" s="75" t="str">
        <f t="shared" ca="1" si="89"/>
        <v/>
      </c>
      <c r="EQ114" s="75" t="str">
        <f t="shared" ca="1" si="93"/>
        <v/>
      </c>
      <c r="ER114" s="75" t="str">
        <f t="shared" ca="1" si="93"/>
        <v/>
      </c>
      <c r="ES114" s="75" t="str">
        <f t="shared" ca="1" si="93"/>
        <v/>
      </c>
      <c r="ET114" s="75" t="str">
        <f t="shared" ca="1" si="93"/>
        <v/>
      </c>
      <c r="EU114" s="75" t="str">
        <f t="shared" ca="1" si="93"/>
        <v/>
      </c>
      <c r="EV114" s="75" t="str">
        <f t="shared" ca="1" si="93"/>
        <v/>
      </c>
      <c r="EW114" s="75" t="str">
        <f t="shared" ca="1" si="93"/>
        <v/>
      </c>
      <c r="EX114" s="75" t="str">
        <f t="shared" ca="1" si="93"/>
        <v/>
      </c>
      <c r="EY114" s="75" t="str">
        <f t="shared" ca="1" si="93"/>
        <v/>
      </c>
      <c r="EZ114" s="75" t="str">
        <f t="shared" ca="1" si="93"/>
        <v/>
      </c>
      <c r="FA114" s="75" t="str">
        <f t="shared" ca="1" si="93"/>
        <v/>
      </c>
      <c r="FB114" s="75" t="str">
        <f t="shared" ca="1" si="93"/>
        <v/>
      </c>
      <c r="FC114" s="76" t="str">
        <f t="shared" ca="1" si="93"/>
        <v/>
      </c>
      <c r="FD114" s="74" t="str">
        <f t="shared" ca="1" si="93"/>
        <v/>
      </c>
      <c r="FE114" s="74" t="str">
        <f t="shared" ca="1" si="93"/>
        <v/>
      </c>
      <c r="FF114" s="74" t="str">
        <f t="shared" ca="1" si="93"/>
        <v/>
      </c>
      <c r="FG114" s="74" t="str">
        <f t="shared" ca="1" si="86"/>
        <v/>
      </c>
      <c r="FH114" s="74" t="str">
        <f t="shared" ca="1" si="86"/>
        <v/>
      </c>
      <c r="FI114" s="74" t="str">
        <f t="shared" ca="1" si="86"/>
        <v/>
      </c>
      <c r="FJ114" s="74" t="str">
        <f t="shared" ca="1" si="86"/>
        <v/>
      </c>
      <c r="FK114" s="74" t="str">
        <f t="shared" ca="1" si="86"/>
        <v/>
      </c>
      <c r="FL114" s="74" t="str">
        <f t="shared" ca="1" si="86"/>
        <v/>
      </c>
      <c r="FM114" s="74" t="str">
        <f t="shared" ca="1" si="86"/>
        <v/>
      </c>
      <c r="FN114" s="74" t="str">
        <f t="shared" ca="1" si="86"/>
        <v/>
      </c>
      <c r="FO114" s="74" t="str">
        <f t="shared" ca="1" si="86"/>
        <v/>
      </c>
      <c r="FP114" s="74" t="str">
        <f t="shared" ca="1" si="86"/>
        <v/>
      </c>
      <c r="FQ114" s="74" t="str">
        <f t="shared" ca="1" si="86"/>
        <v/>
      </c>
      <c r="FR114" s="74" t="str">
        <f t="shared" ca="1" si="86"/>
        <v/>
      </c>
      <c r="FS114" s="74" t="str">
        <f t="shared" ca="1" si="86"/>
        <v/>
      </c>
      <c r="FT114" s="74" t="str">
        <f t="shared" ca="1" si="86"/>
        <v/>
      </c>
    </row>
    <row r="115" spans="1:176" x14ac:dyDescent="0.35">
      <c r="A115" s="74"/>
      <c r="B115" s="74" t="str">
        <f t="shared" ref="B115:Q130" ca="1" si="95">IF($A115="", "", IF(INDIRECT($A115&amp; "!"&amp; B$2)="", "", INDIRECT($A115&amp; "!"&amp; B$2)))</f>
        <v/>
      </c>
      <c r="C115" s="74" t="str">
        <f t="shared" ca="1" si="95"/>
        <v/>
      </c>
      <c r="D115" s="74" t="str">
        <f t="shared" ca="1" si="95"/>
        <v/>
      </c>
      <c r="E115" s="74" t="str">
        <f t="shared" ca="1" si="95"/>
        <v/>
      </c>
      <c r="F115" t="str">
        <f t="shared" ref="F115:H130" ca="1" si="96">IF($A115="", "", IF(INDIRECT($A115&amp; "!"&amp; F$2)="", "", INDIRECT($A115&amp; "!"&amp; F$2)))</f>
        <v/>
      </c>
      <c r="G115" t="str">
        <f t="shared" ca="1" si="96"/>
        <v/>
      </c>
      <c r="H115" t="str">
        <f t="shared" ca="1" si="96"/>
        <v/>
      </c>
      <c r="I115" s="74" t="str">
        <f t="shared" ca="1" si="95"/>
        <v/>
      </c>
      <c r="J115" s="74" t="str">
        <f t="shared" ca="1" si="95"/>
        <v/>
      </c>
      <c r="K115" s="74" t="str">
        <f t="shared" ca="1" si="95"/>
        <v/>
      </c>
      <c r="L115" s="74" t="str">
        <f t="shared" ca="1" si="95"/>
        <v/>
      </c>
      <c r="M115" s="74" t="str">
        <f t="shared" ca="1" si="95"/>
        <v/>
      </c>
      <c r="N115" s="74" t="str">
        <f t="shared" ca="1" si="95"/>
        <v/>
      </c>
      <c r="O115" s="74" t="str">
        <f t="shared" ca="1" si="95"/>
        <v/>
      </c>
      <c r="P115" s="74" t="str">
        <f t="shared" ca="1" si="95"/>
        <v/>
      </c>
      <c r="Q115" s="74" t="str">
        <f t="shared" ca="1" si="95"/>
        <v/>
      </c>
      <c r="R115" s="74" t="str">
        <f t="shared" ref="R115:S132" ca="1" si="97">IF($A115="", "", IF(INDIRECT($A115&amp; "!"&amp; R$2)="", "", INDIRECT($A115&amp; "!"&amp; R$2)))</f>
        <v/>
      </c>
      <c r="S115" s="74" t="str">
        <f t="shared" ca="1" si="97"/>
        <v/>
      </c>
      <c r="T115" s="74" t="str">
        <f t="shared" ca="1" si="85"/>
        <v/>
      </c>
      <c r="U115" s="74" t="str">
        <f t="shared" ca="1" si="85"/>
        <v/>
      </c>
      <c r="V115" s="74" t="str">
        <f t="shared" ca="1" si="85"/>
        <v/>
      </c>
      <c r="W115" s="74" t="str">
        <f t="shared" ca="1" si="85"/>
        <v/>
      </c>
      <c r="X115" s="74" t="str">
        <f t="shared" ca="1" si="85"/>
        <v/>
      </c>
      <c r="Y115" s="74" t="str">
        <f t="shared" ca="1" si="85"/>
        <v/>
      </c>
      <c r="Z115" s="74" t="str">
        <f t="shared" ca="1" si="85"/>
        <v/>
      </c>
      <c r="AA115" s="74" t="str">
        <f t="shared" ca="1" si="85"/>
        <v/>
      </c>
      <c r="AB115" s="75" t="str">
        <f t="shared" ca="1" si="85"/>
        <v/>
      </c>
      <c r="AC115" s="75" t="str">
        <f t="shared" ca="1" si="85"/>
        <v/>
      </c>
      <c r="AD115" s="75" t="str">
        <f t="shared" ca="1" si="85"/>
        <v/>
      </c>
      <c r="AE115" s="75" t="str">
        <f t="shared" ca="1" si="85"/>
        <v/>
      </c>
      <c r="AF115" s="75" t="str">
        <f t="shared" ca="1" si="85"/>
        <v/>
      </c>
      <c r="AG115" s="75" t="str">
        <f t="shared" ca="1" si="85"/>
        <v/>
      </c>
      <c r="AH115" s="75" t="str">
        <f t="shared" ca="1" si="85"/>
        <v/>
      </c>
      <c r="AI115" s="75" t="str">
        <f t="shared" ca="1" si="84"/>
        <v/>
      </c>
      <c r="AJ115" s="75" t="str">
        <f t="shared" ca="1" si="84"/>
        <v/>
      </c>
      <c r="AK115" s="75" t="str">
        <f t="shared" ca="1" si="84"/>
        <v/>
      </c>
      <c r="AL115" s="75" t="str">
        <f t="shared" ca="1" si="84"/>
        <v/>
      </c>
      <c r="AM115" s="75" t="str">
        <f t="shared" ca="1" si="84"/>
        <v/>
      </c>
      <c r="AN115" s="75" t="str">
        <f t="shared" ca="1" si="84"/>
        <v/>
      </c>
      <c r="AO115" s="75" t="str">
        <f t="shared" ca="1" si="84"/>
        <v/>
      </c>
      <c r="AP115" s="75" t="str">
        <f t="shared" ca="1" si="84"/>
        <v/>
      </c>
      <c r="AQ115" s="75" t="str">
        <f t="shared" ca="1" si="84"/>
        <v/>
      </c>
      <c r="AR115" s="75" t="str">
        <f t="shared" ca="1" si="84"/>
        <v/>
      </c>
      <c r="AS115" s="75" t="str">
        <f t="shared" ca="1" si="84"/>
        <v/>
      </c>
      <c r="AT115" s="75" t="str">
        <f t="shared" ca="1" si="84"/>
        <v/>
      </c>
      <c r="AU115" s="74" t="str">
        <f t="shared" ca="1" si="84"/>
        <v/>
      </c>
      <c r="AV115" s="74" t="str">
        <f t="shared" ca="1" si="84"/>
        <v/>
      </c>
      <c r="AW115" s="74" t="str">
        <f t="shared" ca="1" si="84"/>
        <v/>
      </c>
      <c r="AX115" s="74" t="str">
        <f t="shared" ca="1" si="84"/>
        <v/>
      </c>
      <c r="AY115" s="74" t="str">
        <f t="shared" ca="1" si="90"/>
        <v/>
      </c>
      <c r="AZ115" s="74" t="str">
        <f t="shared" ca="1" si="90"/>
        <v/>
      </c>
      <c r="BA115" s="74" t="str">
        <f t="shared" ca="1" si="90"/>
        <v/>
      </c>
      <c r="BB115" s="74" t="str">
        <f t="shared" ca="1" si="90"/>
        <v/>
      </c>
      <c r="BC115" s="74" t="str">
        <f t="shared" ca="1" si="90"/>
        <v/>
      </c>
      <c r="BD115" s="74" t="str">
        <f t="shared" ca="1" si="90"/>
        <v/>
      </c>
      <c r="BE115" s="74" t="str">
        <f t="shared" ca="1" si="90"/>
        <v/>
      </c>
      <c r="BF115" s="74" t="str">
        <f t="shared" ca="1" si="90"/>
        <v/>
      </c>
      <c r="BG115" s="74" t="str">
        <f t="shared" ca="1" si="90"/>
        <v/>
      </c>
      <c r="BH115" s="74" t="str">
        <f t="shared" ca="1" si="90"/>
        <v/>
      </c>
      <c r="BI115" s="74" t="str">
        <f t="shared" ca="1" si="90"/>
        <v/>
      </c>
      <c r="BJ115" s="74" t="str">
        <f t="shared" ca="1" si="90"/>
        <v/>
      </c>
      <c r="BK115" s="74" t="str">
        <f t="shared" ca="1" si="90"/>
        <v/>
      </c>
      <c r="BL115" s="74" t="str">
        <f t="shared" ca="1" si="90"/>
        <v/>
      </c>
      <c r="BM115" s="74" t="str">
        <f t="shared" ca="1" si="90"/>
        <v/>
      </c>
      <c r="BN115" s="75" t="str">
        <f t="shared" ca="1" si="90"/>
        <v/>
      </c>
      <c r="BO115" s="75" t="str">
        <f t="shared" ca="1" si="87"/>
        <v/>
      </c>
      <c r="BP115" s="75" t="str">
        <f t="shared" ca="1" si="87"/>
        <v/>
      </c>
      <c r="BQ115" s="75" t="str">
        <f t="shared" ca="1" si="87"/>
        <v/>
      </c>
      <c r="BR115" s="75" t="str">
        <f t="shared" ca="1" si="87"/>
        <v/>
      </c>
      <c r="BS115" s="75" t="str">
        <f t="shared" ca="1" si="87"/>
        <v/>
      </c>
      <c r="BT115" s="75" t="str">
        <f t="shared" ca="1" si="87"/>
        <v/>
      </c>
      <c r="BU115" s="75" t="str">
        <f t="shared" ca="1" si="87"/>
        <v/>
      </c>
      <c r="BV115" s="75" t="str">
        <f t="shared" ca="1" si="87"/>
        <v/>
      </c>
      <c r="BW115" s="75" t="str">
        <f t="shared" ca="1" si="87"/>
        <v/>
      </c>
      <c r="BX115" s="75" t="str">
        <f t="shared" ca="1" si="87"/>
        <v/>
      </c>
      <c r="BY115" s="75" t="str">
        <f t="shared" ca="1" si="87"/>
        <v/>
      </c>
      <c r="BZ115" s="75" t="str">
        <f t="shared" ca="1" si="87"/>
        <v/>
      </c>
      <c r="CA115" s="75" t="str">
        <f t="shared" ca="1" si="87"/>
        <v/>
      </c>
      <c r="CB115" s="75" t="str">
        <f t="shared" ca="1" si="87"/>
        <v/>
      </c>
      <c r="CC115" s="75" t="str">
        <f t="shared" ca="1" si="87"/>
        <v/>
      </c>
      <c r="CD115" s="75" t="str">
        <f t="shared" ca="1" si="87"/>
        <v/>
      </c>
      <c r="CE115" s="75" t="str">
        <f t="shared" ca="1" si="91"/>
        <v/>
      </c>
      <c r="CF115" s="75" t="str">
        <f t="shared" ca="1" si="91"/>
        <v/>
      </c>
      <c r="CG115" s="74" t="str">
        <f t="shared" ca="1" si="91"/>
        <v/>
      </c>
      <c r="CH115" s="74" t="str">
        <f t="shared" ca="1" si="91"/>
        <v/>
      </c>
      <c r="CI115" s="74" t="str">
        <f t="shared" ca="1" si="91"/>
        <v/>
      </c>
      <c r="CJ115" s="74" t="str">
        <f t="shared" ca="1" si="91"/>
        <v/>
      </c>
      <c r="CK115" s="74" t="str">
        <f t="shared" ca="1" si="91"/>
        <v/>
      </c>
      <c r="CL115" s="74" t="str">
        <f t="shared" ca="1" si="91"/>
        <v/>
      </c>
      <c r="CM115" s="74" t="str">
        <f t="shared" ca="1" si="91"/>
        <v/>
      </c>
      <c r="CN115" s="74" t="str">
        <f t="shared" ca="1" si="91"/>
        <v/>
      </c>
      <c r="CO115" s="74" t="str">
        <f t="shared" ca="1" si="91"/>
        <v/>
      </c>
      <c r="CP115" s="74" t="str">
        <f t="shared" ca="1" si="91"/>
        <v/>
      </c>
      <c r="CQ115" s="74" t="str">
        <f t="shared" ca="1" si="91"/>
        <v/>
      </c>
      <c r="CR115" s="74" t="str">
        <f t="shared" ca="1" si="91"/>
        <v/>
      </c>
      <c r="CS115" s="74" t="str">
        <f t="shared" ca="1" si="91"/>
        <v/>
      </c>
      <c r="CT115" s="74" t="str">
        <f t="shared" ca="1" si="91"/>
        <v/>
      </c>
      <c r="CU115" s="74" t="str">
        <f t="shared" ca="1" si="88"/>
        <v/>
      </c>
      <c r="CV115" s="74" t="str">
        <f t="shared" ca="1" si="88"/>
        <v/>
      </c>
      <c r="CW115" s="74" t="str">
        <f t="shared" ca="1" si="88"/>
        <v/>
      </c>
      <c r="CX115" s="74" t="str">
        <f t="shared" ca="1" si="88"/>
        <v/>
      </c>
      <c r="CY115" s="74" t="str">
        <f t="shared" ca="1" si="88"/>
        <v/>
      </c>
      <c r="CZ115" s="75" t="str">
        <f t="shared" ca="1" si="88"/>
        <v/>
      </c>
      <c r="DA115" s="75" t="str">
        <f t="shared" ca="1" si="88"/>
        <v/>
      </c>
      <c r="DB115" s="75" t="str">
        <f t="shared" ca="1" si="88"/>
        <v/>
      </c>
      <c r="DC115" s="75" t="str">
        <f t="shared" ca="1" si="88"/>
        <v/>
      </c>
      <c r="DD115" s="75" t="str">
        <f t="shared" ca="1" si="88"/>
        <v/>
      </c>
      <c r="DE115" s="75" t="str">
        <f t="shared" ca="1" si="88"/>
        <v/>
      </c>
      <c r="DF115" s="75" t="str">
        <f t="shared" ca="1" si="88"/>
        <v/>
      </c>
      <c r="DG115" s="75" t="str">
        <f t="shared" ca="1" si="88"/>
        <v/>
      </c>
      <c r="DH115" s="75" t="str">
        <f t="shared" ca="1" si="88"/>
        <v/>
      </c>
      <c r="DI115" s="75" t="str">
        <f t="shared" ca="1" si="88"/>
        <v/>
      </c>
      <c r="DJ115" s="75" t="str">
        <f t="shared" ca="1" si="88"/>
        <v/>
      </c>
      <c r="DK115" s="75" t="str">
        <f t="shared" ca="1" si="92"/>
        <v/>
      </c>
      <c r="DL115" s="75" t="str">
        <f t="shared" ca="1" si="92"/>
        <v/>
      </c>
      <c r="DM115" s="75" t="str">
        <f t="shared" ca="1" si="92"/>
        <v/>
      </c>
      <c r="DN115" s="75" t="str">
        <f t="shared" ca="1" si="92"/>
        <v/>
      </c>
      <c r="DO115" s="75" t="str">
        <f t="shared" ca="1" si="92"/>
        <v/>
      </c>
      <c r="DP115" s="75" t="str">
        <f t="shared" ca="1" si="92"/>
        <v/>
      </c>
      <c r="DQ115" s="75" t="str">
        <f t="shared" ca="1" si="92"/>
        <v/>
      </c>
      <c r="DR115" s="75" t="str">
        <f t="shared" ca="1" si="92"/>
        <v/>
      </c>
      <c r="DS115" s="74" t="str">
        <f t="shared" ca="1" si="92"/>
        <v/>
      </c>
      <c r="DT115" s="74" t="str">
        <f t="shared" ca="1" si="92"/>
        <v/>
      </c>
      <c r="DU115" s="74" t="str">
        <f t="shared" ca="1" si="92"/>
        <v/>
      </c>
      <c r="DV115" s="74" t="str">
        <f t="shared" ca="1" si="92"/>
        <v/>
      </c>
      <c r="DW115" s="74" t="str">
        <f t="shared" ca="1" si="92"/>
        <v/>
      </c>
      <c r="DX115" s="74" t="str">
        <f t="shared" ca="1" si="92"/>
        <v/>
      </c>
      <c r="DY115" s="74" t="str">
        <f t="shared" ca="1" si="92"/>
        <v/>
      </c>
      <c r="DZ115" s="74" t="str">
        <f t="shared" ca="1" si="92"/>
        <v/>
      </c>
      <c r="EA115" s="74" t="str">
        <f t="shared" ca="1" si="89"/>
        <v/>
      </c>
      <c r="EB115" s="74" t="str">
        <f t="shared" ca="1" si="89"/>
        <v/>
      </c>
      <c r="EC115" s="74" t="str">
        <f t="shared" ca="1" si="89"/>
        <v/>
      </c>
      <c r="ED115" s="74" t="str">
        <f t="shared" ca="1" si="89"/>
        <v/>
      </c>
      <c r="EE115" s="74" t="str">
        <f t="shared" ca="1" si="89"/>
        <v/>
      </c>
      <c r="EF115" s="74" t="str">
        <f t="shared" ca="1" si="89"/>
        <v/>
      </c>
      <c r="EG115" s="74" t="str">
        <f t="shared" ca="1" si="89"/>
        <v/>
      </c>
      <c r="EH115" s="74" t="str">
        <f t="shared" ca="1" si="89"/>
        <v/>
      </c>
      <c r="EI115" s="74" t="str">
        <f t="shared" ca="1" si="89"/>
        <v/>
      </c>
      <c r="EJ115" s="74" t="str">
        <f t="shared" ca="1" si="89"/>
        <v/>
      </c>
      <c r="EK115" s="75" t="str">
        <f t="shared" ca="1" si="89"/>
        <v/>
      </c>
      <c r="EL115" s="75" t="str">
        <f t="shared" ca="1" si="89"/>
        <v/>
      </c>
      <c r="EM115" s="75" t="str">
        <f t="shared" ca="1" si="89"/>
        <v/>
      </c>
      <c r="EN115" s="75" t="str">
        <f t="shared" ca="1" si="89"/>
        <v/>
      </c>
      <c r="EO115" s="75" t="str">
        <f t="shared" ca="1" si="89"/>
        <v/>
      </c>
      <c r="EP115" s="75" t="str">
        <f t="shared" ca="1" si="89"/>
        <v/>
      </c>
      <c r="EQ115" s="75" t="str">
        <f t="shared" ca="1" si="93"/>
        <v/>
      </c>
      <c r="ER115" s="75" t="str">
        <f t="shared" ca="1" si="93"/>
        <v/>
      </c>
      <c r="ES115" s="75" t="str">
        <f t="shared" ca="1" si="93"/>
        <v/>
      </c>
      <c r="ET115" s="75" t="str">
        <f t="shared" ca="1" si="93"/>
        <v/>
      </c>
      <c r="EU115" s="75" t="str">
        <f t="shared" ca="1" si="93"/>
        <v/>
      </c>
      <c r="EV115" s="75" t="str">
        <f t="shared" ca="1" si="93"/>
        <v/>
      </c>
      <c r="EW115" s="75" t="str">
        <f t="shared" ca="1" si="93"/>
        <v/>
      </c>
      <c r="EX115" s="75" t="str">
        <f t="shared" ca="1" si="93"/>
        <v/>
      </c>
      <c r="EY115" s="75" t="str">
        <f t="shared" ca="1" si="93"/>
        <v/>
      </c>
      <c r="EZ115" s="75" t="str">
        <f t="shared" ca="1" si="93"/>
        <v/>
      </c>
      <c r="FA115" s="75" t="str">
        <f t="shared" ca="1" si="93"/>
        <v/>
      </c>
      <c r="FB115" s="75" t="str">
        <f t="shared" ca="1" si="93"/>
        <v/>
      </c>
      <c r="FC115" s="76" t="str">
        <f t="shared" ca="1" si="93"/>
        <v/>
      </c>
      <c r="FD115" s="74" t="str">
        <f t="shared" ca="1" si="93"/>
        <v/>
      </c>
      <c r="FE115" s="74" t="str">
        <f t="shared" ca="1" si="93"/>
        <v/>
      </c>
      <c r="FF115" s="74" t="str">
        <f t="shared" ca="1" si="93"/>
        <v/>
      </c>
      <c r="FG115" s="74" t="str">
        <f t="shared" ca="1" si="86"/>
        <v/>
      </c>
      <c r="FH115" s="74" t="str">
        <f t="shared" ca="1" si="86"/>
        <v/>
      </c>
      <c r="FI115" s="74" t="str">
        <f t="shared" ca="1" si="86"/>
        <v/>
      </c>
      <c r="FJ115" s="74" t="str">
        <f t="shared" ca="1" si="86"/>
        <v/>
      </c>
      <c r="FK115" s="74" t="str">
        <f t="shared" ca="1" si="86"/>
        <v/>
      </c>
      <c r="FL115" s="74" t="str">
        <f t="shared" ca="1" si="86"/>
        <v/>
      </c>
      <c r="FM115" s="74" t="str">
        <f t="shared" ca="1" si="86"/>
        <v/>
      </c>
      <c r="FN115" s="74" t="str">
        <f t="shared" ca="1" si="86"/>
        <v/>
      </c>
      <c r="FO115" s="74" t="str">
        <f t="shared" ca="1" si="86"/>
        <v/>
      </c>
      <c r="FP115" s="74" t="str">
        <f t="shared" ca="1" si="86"/>
        <v/>
      </c>
      <c r="FQ115" s="74" t="str">
        <f t="shared" ca="1" si="86"/>
        <v/>
      </c>
      <c r="FR115" s="74" t="str">
        <f t="shared" ca="1" si="86"/>
        <v/>
      </c>
      <c r="FS115" s="74" t="str">
        <f t="shared" ca="1" si="86"/>
        <v/>
      </c>
      <c r="FT115" s="74" t="str">
        <f t="shared" ca="1" si="86"/>
        <v/>
      </c>
    </row>
    <row r="116" spans="1:176" x14ac:dyDescent="0.35">
      <c r="A116" s="74"/>
      <c r="B116" s="74" t="str">
        <f t="shared" ca="1" si="95"/>
        <v/>
      </c>
      <c r="C116" s="74" t="str">
        <f t="shared" ca="1" si="95"/>
        <v/>
      </c>
      <c r="D116" s="74" t="str">
        <f t="shared" ca="1" si="95"/>
        <v/>
      </c>
      <c r="E116" s="74" t="str">
        <f t="shared" ca="1" si="95"/>
        <v/>
      </c>
      <c r="F116" t="str">
        <f t="shared" ca="1" si="96"/>
        <v/>
      </c>
      <c r="G116" t="str">
        <f t="shared" ca="1" si="96"/>
        <v/>
      </c>
      <c r="H116" t="str">
        <f t="shared" ca="1" si="96"/>
        <v/>
      </c>
      <c r="I116" s="74" t="str">
        <f t="shared" ca="1" si="95"/>
        <v/>
      </c>
      <c r="J116" s="74" t="str">
        <f t="shared" ca="1" si="95"/>
        <v/>
      </c>
      <c r="K116" s="74" t="str">
        <f t="shared" ca="1" si="95"/>
        <v/>
      </c>
      <c r="L116" s="74" t="str">
        <f t="shared" ca="1" si="95"/>
        <v/>
      </c>
      <c r="M116" s="74" t="str">
        <f t="shared" ca="1" si="95"/>
        <v/>
      </c>
      <c r="N116" s="74" t="str">
        <f t="shared" ca="1" si="95"/>
        <v/>
      </c>
      <c r="O116" s="74" t="str">
        <f t="shared" ca="1" si="95"/>
        <v/>
      </c>
      <c r="P116" s="74" t="str">
        <f t="shared" ca="1" si="95"/>
        <v/>
      </c>
      <c r="Q116" s="74" t="str">
        <f t="shared" ca="1" si="95"/>
        <v/>
      </c>
      <c r="R116" s="74" t="str">
        <f t="shared" ca="1" si="97"/>
        <v/>
      </c>
      <c r="S116" s="74" t="str">
        <f t="shared" ca="1" si="97"/>
        <v/>
      </c>
      <c r="T116" s="74" t="str">
        <f t="shared" ca="1" si="85"/>
        <v/>
      </c>
      <c r="U116" s="74" t="str">
        <f t="shared" ca="1" si="85"/>
        <v/>
      </c>
      <c r="V116" s="74" t="str">
        <f t="shared" ca="1" si="85"/>
        <v/>
      </c>
      <c r="W116" s="74" t="str">
        <f t="shared" ca="1" si="85"/>
        <v/>
      </c>
      <c r="X116" s="74" t="str">
        <f t="shared" ca="1" si="85"/>
        <v/>
      </c>
      <c r="Y116" s="74" t="str">
        <f t="shared" ca="1" si="85"/>
        <v/>
      </c>
      <c r="Z116" s="74" t="str">
        <f t="shared" ca="1" si="85"/>
        <v/>
      </c>
      <c r="AA116" s="74" t="str">
        <f t="shared" ca="1" si="85"/>
        <v/>
      </c>
      <c r="AB116" s="75" t="str">
        <f t="shared" ca="1" si="85"/>
        <v/>
      </c>
      <c r="AC116" s="75" t="str">
        <f t="shared" ca="1" si="85"/>
        <v/>
      </c>
      <c r="AD116" s="75" t="str">
        <f t="shared" ca="1" si="85"/>
        <v/>
      </c>
      <c r="AE116" s="75" t="str">
        <f t="shared" ca="1" si="85"/>
        <v/>
      </c>
      <c r="AF116" s="75" t="str">
        <f t="shared" ca="1" si="85"/>
        <v/>
      </c>
      <c r="AG116" s="75" t="str">
        <f t="shared" ca="1" si="85"/>
        <v/>
      </c>
      <c r="AH116" s="75" t="str">
        <f t="shared" ca="1" si="85"/>
        <v/>
      </c>
      <c r="AI116" s="75" t="str">
        <f t="shared" ca="1" si="84"/>
        <v/>
      </c>
      <c r="AJ116" s="75" t="str">
        <f t="shared" ca="1" si="84"/>
        <v/>
      </c>
      <c r="AK116" s="75" t="str">
        <f t="shared" ca="1" si="84"/>
        <v/>
      </c>
      <c r="AL116" s="75" t="str">
        <f t="shared" ca="1" si="84"/>
        <v/>
      </c>
      <c r="AM116" s="75" t="str">
        <f t="shared" ca="1" si="84"/>
        <v/>
      </c>
      <c r="AN116" s="75" t="str">
        <f t="shared" ca="1" si="84"/>
        <v/>
      </c>
      <c r="AO116" s="75" t="str">
        <f t="shared" ca="1" si="84"/>
        <v/>
      </c>
      <c r="AP116" s="75" t="str">
        <f t="shared" ca="1" si="84"/>
        <v/>
      </c>
      <c r="AQ116" s="75" t="str">
        <f t="shared" ca="1" si="84"/>
        <v/>
      </c>
      <c r="AR116" s="75" t="str">
        <f t="shared" ca="1" si="84"/>
        <v/>
      </c>
      <c r="AS116" s="75" t="str">
        <f t="shared" ca="1" si="84"/>
        <v/>
      </c>
      <c r="AT116" s="75" t="str">
        <f t="shared" ca="1" si="84"/>
        <v/>
      </c>
      <c r="AU116" s="74" t="str">
        <f t="shared" ca="1" si="84"/>
        <v/>
      </c>
      <c r="AV116" s="74" t="str">
        <f t="shared" ca="1" si="84"/>
        <v/>
      </c>
      <c r="AW116" s="74" t="str">
        <f t="shared" ref="AW116:AX131" ca="1" si="98">IF($A116="", "", IF(INDIRECT($A116&amp; "!"&amp; AW$2)="", "", INDIRECT($A116&amp; "!"&amp; AW$2)))</f>
        <v/>
      </c>
      <c r="AX116" s="74" t="str">
        <f t="shared" ca="1" si="98"/>
        <v/>
      </c>
      <c r="AY116" s="74" t="str">
        <f t="shared" ca="1" si="90"/>
        <v/>
      </c>
      <c r="AZ116" s="74" t="str">
        <f t="shared" ca="1" si="90"/>
        <v/>
      </c>
      <c r="BA116" s="74" t="str">
        <f t="shared" ca="1" si="90"/>
        <v/>
      </c>
      <c r="BB116" s="74" t="str">
        <f t="shared" ca="1" si="90"/>
        <v/>
      </c>
      <c r="BC116" s="74" t="str">
        <f t="shared" ca="1" si="90"/>
        <v/>
      </c>
      <c r="BD116" s="74" t="str">
        <f t="shared" ca="1" si="90"/>
        <v/>
      </c>
      <c r="BE116" s="74" t="str">
        <f t="shared" ca="1" si="90"/>
        <v/>
      </c>
      <c r="BF116" s="74" t="str">
        <f t="shared" ca="1" si="90"/>
        <v/>
      </c>
      <c r="BG116" s="74" t="str">
        <f t="shared" ca="1" si="90"/>
        <v/>
      </c>
      <c r="BH116" s="74" t="str">
        <f t="shared" ca="1" si="90"/>
        <v/>
      </c>
      <c r="BI116" s="74" t="str">
        <f t="shared" ca="1" si="90"/>
        <v/>
      </c>
      <c r="BJ116" s="74" t="str">
        <f t="shared" ca="1" si="90"/>
        <v/>
      </c>
      <c r="BK116" s="74" t="str">
        <f t="shared" ca="1" si="90"/>
        <v/>
      </c>
      <c r="BL116" s="74" t="str">
        <f t="shared" ca="1" si="90"/>
        <v/>
      </c>
      <c r="BM116" s="74" t="str">
        <f t="shared" ca="1" si="90"/>
        <v/>
      </c>
      <c r="BN116" s="75" t="str">
        <f t="shared" ca="1" si="90"/>
        <v/>
      </c>
      <c r="BO116" s="75" t="str">
        <f t="shared" ca="1" si="87"/>
        <v/>
      </c>
      <c r="BP116" s="75" t="str">
        <f t="shared" ca="1" si="87"/>
        <v/>
      </c>
      <c r="BQ116" s="75" t="str">
        <f t="shared" ca="1" si="87"/>
        <v/>
      </c>
      <c r="BR116" s="75" t="str">
        <f t="shared" ca="1" si="87"/>
        <v/>
      </c>
      <c r="BS116" s="75" t="str">
        <f t="shared" ca="1" si="87"/>
        <v/>
      </c>
      <c r="BT116" s="75" t="str">
        <f t="shared" ca="1" si="87"/>
        <v/>
      </c>
      <c r="BU116" s="75" t="str">
        <f t="shared" ca="1" si="87"/>
        <v/>
      </c>
      <c r="BV116" s="75" t="str">
        <f t="shared" ca="1" si="87"/>
        <v/>
      </c>
      <c r="BW116" s="75" t="str">
        <f t="shared" ca="1" si="87"/>
        <v/>
      </c>
      <c r="BX116" s="75" t="str">
        <f t="shared" ca="1" si="87"/>
        <v/>
      </c>
      <c r="BY116" s="75" t="str">
        <f t="shared" ca="1" si="87"/>
        <v/>
      </c>
      <c r="BZ116" s="75" t="str">
        <f t="shared" ca="1" si="87"/>
        <v/>
      </c>
      <c r="CA116" s="75" t="str">
        <f t="shared" ca="1" si="87"/>
        <v/>
      </c>
      <c r="CB116" s="75" t="str">
        <f t="shared" ca="1" si="87"/>
        <v/>
      </c>
      <c r="CC116" s="75" t="str">
        <f t="shared" ca="1" si="87"/>
        <v/>
      </c>
      <c r="CD116" s="75" t="str">
        <f t="shared" ca="1" si="87"/>
        <v/>
      </c>
      <c r="CE116" s="75" t="str">
        <f t="shared" ca="1" si="91"/>
        <v/>
      </c>
      <c r="CF116" s="75" t="str">
        <f t="shared" ca="1" si="91"/>
        <v/>
      </c>
      <c r="CG116" s="74" t="str">
        <f t="shared" ca="1" si="91"/>
        <v/>
      </c>
      <c r="CH116" s="74" t="str">
        <f t="shared" ca="1" si="91"/>
        <v/>
      </c>
      <c r="CI116" s="74" t="str">
        <f t="shared" ca="1" si="91"/>
        <v/>
      </c>
      <c r="CJ116" s="74" t="str">
        <f t="shared" ca="1" si="91"/>
        <v/>
      </c>
      <c r="CK116" s="74" t="str">
        <f t="shared" ca="1" si="91"/>
        <v/>
      </c>
      <c r="CL116" s="74" t="str">
        <f t="shared" ca="1" si="91"/>
        <v/>
      </c>
      <c r="CM116" s="74" t="str">
        <f t="shared" ca="1" si="91"/>
        <v/>
      </c>
      <c r="CN116" s="74" t="str">
        <f t="shared" ca="1" si="91"/>
        <v/>
      </c>
      <c r="CO116" s="74" t="str">
        <f t="shared" ca="1" si="91"/>
        <v/>
      </c>
      <c r="CP116" s="74" t="str">
        <f t="shared" ca="1" si="91"/>
        <v/>
      </c>
      <c r="CQ116" s="74" t="str">
        <f t="shared" ca="1" si="91"/>
        <v/>
      </c>
      <c r="CR116" s="74" t="str">
        <f t="shared" ca="1" si="91"/>
        <v/>
      </c>
      <c r="CS116" s="74" t="str">
        <f t="shared" ca="1" si="91"/>
        <v/>
      </c>
      <c r="CT116" s="74" t="str">
        <f t="shared" ca="1" si="91"/>
        <v/>
      </c>
      <c r="CU116" s="74" t="str">
        <f t="shared" ca="1" si="88"/>
        <v/>
      </c>
      <c r="CV116" s="74" t="str">
        <f t="shared" ca="1" si="88"/>
        <v/>
      </c>
      <c r="CW116" s="74" t="str">
        <f t="shared" ca="1" si="88"/>
        <v/>
      </c>
      <c r="CX116" s="74" t="str">
        <f t="shared" ca="1" si="88"/>
        <v/>
      </c>
      <c r="CY116" s="74" t="str">
        <f t="shared" ca="1" si="88"/>
        <v/>
      </c>
      <c r="CZ116" s="75" t="str">
        <f t="shared" ca="1" si="88"/>
        <v/>
      </c>
      <c r="DA116" s="75" t="str">
        <f t="shared" ca="1" si="88"/>
        <v/>
      </c>
      <c r="DB116" s="75" t="str">
        <f t="shared" ca="1" si="88"/>
        <v/>
      </c>
      <c r="DC116" s="75" t="str">
        <f t="shared" ca="1" si="88"/>
        <v/>
      </c>
      <c r="DD116" s="75" t="str">
        <f t="shared" ca="1" si="88"/>
        <v/>
      </c>
      <c r="DE116" s="75" t="str">
        <f t="shared" ca="1" si="88"/>
        <v/>
      </c>
      <c r="DF116" s="75" t="str">
        <f t="shared" ca="1" si="88"/>
        <v/>
      </c>
      <c r="DG116" s="75" t="str">
        <f t="shared" ca="1" si="88"/>
        <v/>
      </c>
      <c r="DH116" s="75" t="str">
        <f t="shared" ca="1" si="88"/>
        <v/>
      </c>
      <c r="DI116" s="75" t="str">
        <f t="shared" ca="1" si="88"/>
        <v/>
      </c>
      <c r="DJ116" s="75" t="str">
        <f t="shared" ca="1" si="88"/>
        <v/>
      </c>
      <c r="DK116" s="75" t="str">
        <f t="shared" ca="1" si="92"/>
        <v/>
      </c>
      <c r="DL116" s="75" t="str">
        <f t="shared" ca="1" si="92"/>
        <v/>
      </c>
      <c r="DM116" s="75" t="str">
        <f t="shared" ca="1" si="92"/>
        <v/>
      </c>
      <c r="DN116" s="75" t="str">
        <f t="shared" ca="1" si="92"/>
        <v/>
      </c>
      <c r="DO116" s="75" t="str">
        <f t="shared" ca="1" si="92"/>
        <v/>
      </c>
      <c r="DP116" s="75" t="str">
        <f t="shared" ca="1" si="92"/>
        <v/>
      </c>
      <c r="DQ116" s="75" t="str">
        <f t="shared" ca="1" si="92"/>
        <v/>
      </c>
      <c r="DR116" s="75" t="str">
        <f t="shared" ca="1" si="92"/>
        <v/>
      </c>
      <c r="DS116" s="74" t="str">
        <f t="shared" ca="1" si="92"/>
        <v/>
      </c>
      <c r="DT116" s="74" t="str">
        <f t="shared" ca="1" si="92"/>
        <v/>
      </c>
      <c r="DU116" s="74" t="str">
        <f t="shared" ca="1" si="92"/>
        <v/>
      </c>
      <c r="DV116" s="74" t="str">
        <f t="shared" ca="1" si="92"/>
        <v/>
      </c>
      <c r="DW116" s="74" t="str">
        <f t="shared" ca="1" si="92"/>
        <v/>
      </c>
      <c r="DX116" s="74" t="str">
        <f t="shared" ca="1" si="92"/>
        <v/>
      </c>
      <c r="DY116" s="74" t="str">
        <f t="shared" ca="1" si="92"/>
        <v/>
      </c>
      <c r="DZ116" s="74" t="str">
        <f t="shared" ca="1" si="92"/>
        <v/>
      </c>
      <c r="EA116" s="74" t="str">
        <f t="shared" ca="1" si="89"/>
        <v/>
      </c>
      <c r="EB116" s="74" t="str">
        <f t="shared" ca="1" si="89"/>
        <v/>
      </c>
      <c r="EC116" s="74" t="str">
        <f t="shared" ca="1" si="89"/>
        <v/>
      </c>
      <c r="ED116" s="74" t="str">
        <f t="shared" ca="1" si="89"/>
        <v/>
      </c>
      <c r="EE116" s="74" t="str">
        <f t="shared" ca="1" si="89"/>
        <v/>
      </c>
      <c r="EF116" s="74" t="str">
        <f t="shared" ca="1" si="89"/>
        <v/>
      </c>
      <c r="EG116" s="74" t="str">
        <f t="shared" ca="1" si="89"/>
        <v/>
      </c>
      <c r="EH116" s="74" t="str">
        <f t="shared" ca="1" si="89"/>
        <v/>
      </c>
      <c r="EI116" s="74" t="str">
        <f t="shared" ca="1" si="89"/>
        <v/>
      </c>
      <c r="EJ116" s="74" t="str">
        <f t="shared" ca="1" si="89"/>
        <v/>
      </c>
      <c r="EK116" s="75" t="str">
        <f t="shared" ca="1" si="89"/>
        <v/>
      </c>
      <c r="EL116" s="75" t="str">
        <f t="shared" ca="1" si="89"/>
        <v/>
      </c>
      <c r="EM116" s="75" t="str">
        <f t="shared" ca="1" si="89"/>
        <v/>
      </c>
      <c r="EN116" s="75" t="str">
        <f t="shared" ca="1" si="89"/>
        <v/>
      </c>
      <c r="EO116" s="75" t="str">
        <f t="shared" ca="1" si="89"/>
        <v/>
      </c>
      <c r="EP116" s="75" t="str">
        <f t="shared" ca="1" si="89"/>
        <v/>
      </c>
      <c r="EQ116" s="75" t="str">
        <f t="shared" ca="1" si="93"/>
        <v/>
      </c>
      <c r="ER116" s="75" t="str">
        <f t="shared" ca="1" si="93"/>
        <v/>
      </c>
      <c r="ES116" s="75" t="str">
        <f t="shared" ca="1" si="93"/>
        <v/>
      </c>
      <c r="ET116" s="75" t="str">
        <f t="shared" ca="1" si="93"/>
        <v/>
      </c>
      <c r="EU116" s="75" t="str">
        <f t="shared" ca="1" si="93"/>
        <v/>
      </c>
      <c r="EV116" s="75" t="str">
        <f t="shared" ca="1" si="93"/>
        <v/>
      </c>
      <c r="EW116" s="75" t="str">
        <f t="shared" ca="1" si="93"/>
        <v/>
      </c>
      <c r="EX116" s="75" t="str">
        <f t="shared" ca="1" si="93"/>
        <v/>
      </c>
      <c r="EY116" s="75" t="str">
        <f t="shared" ca="1" si="93"/>
        <v/>
      </c>
      <c r="EZ116" s="75" t="str">
        <f t="shared" ca="1" si="93"/>
        <v/>
      </c>
      <c r="FA116" s="75" t="str">
        <f t="shared" ca="1" si="93"/>
        <v/>
      </c>
      <c r="FB116" s="75" t="str">
        <f t="shared" ca="1" si="93"/>
        <v/>
      </c>
      <c r="FC116" s="76" t="str">
        <f t="shared" ca="1" si="93"/>
        <v/>
      </c>
      <c r="FD116" s="74" t="str">
        <f t="shared" ca="1" si="93"/>
        <v/>
      </c>
      <c r="FE116" s="74" t="str">
        <f t="shared" ca="1" si="93"/>
        <v/>
      </c>
      <c r="FF116" s="74" t="str">
        <f t="shared" ca="1" si="93"/>
        <v/>
      </c>
      <c r="FG116" s="74" t="str">
        <f t="shared" ca="1" si="86"/>
        <v/>
      </c>
      <c r="FH116" s="74" t="str">
        <f t="shared" ca="1" si="86"/>
        <v/>
      </c>
      <c r="FI116" s="74" t="str">
        <f t="shared" ca="1" si="86"/>
        <v/>
      </c>
      <c r="FJ116" s="74" t="str">
        <f t="shared" ca="1" si="86"/>
        <v/>
      </c>
      <c r="FK116" s="74" t="str">
        <f t="shared" ca="1" si="86"/>
        <v/>
      </c>
      <c r="FL116" s="74" t="str">
        <f t="shared" ca="1" si="86"/>
        <v/>
      </c>
      <c r="FM116" s="74" t="str">
        <f t="shared" ca="1" si="86"/>
        <v/>
      </c>
      <c r="FN116" s="74" t="str">
        <f t="shared" ca="1" si="86"/>
        <v/>
      </c>
      <c r="FO116" s="74" t="str">
        <f t="shared" ca="1" si="86"/>
        <v/>
      </c>
      <c r="FP116" s="74" t="str">
        <f t="shared" ca="1" si="86"/>
        <v/>
      </c>
      <c r="FQ116" s="74" t="str">
        <f t="shared" ca="1" si="86"/>
        <v/>
      </c>
      <c r="FR116" s="74" t="str">
        <f t="shared" ca="1" si="86"/>
        <v/>
      </c>
      <c r="FS116" s="74" t="str">
        <f t="shared" ca="1" si="86"/>
        <v/>
      </c>
      <c r="FT116" s="74" t="str">
        <f t="shared" ca="1" si="86"/>
        <v/>
      </c>
    </row>
    <row r="117" spans="1:176" x14ac:dyDescent="0.35">
      <c r="A117" s="74"/>
      <c r="B117" s="74" t="str">
        <f t="shared" ca="1" si="95"/>
        <v/>
      </c>
      <c r="C117" s="74" t="str">
        <f t="shared" ca="1" si="95"/>
        <v/>
      </c>
      <c r="D117" s="74" t="str">
        <f t="shared" ca="1" si="95"/>
        <v/>
      </c>
      <c r="E117" s="74" t="str">
        <f t="shared" ca="1" si="95"/>
        <v/>
      </c>
      <c r="F117" t="str">
        <f t="shared" ca="1" si="96"/>
        <v/>
      </c>
      <c r="G117" t="str">
        <f t="shared" ca="1" si="96"/>
        <v/>
      </c>
      <c r="H117" t="str">
        <f t="shared" ca="1" si="96"/>
        <v/>
      </c>
      <c r="I117" s="74" t="str">
        <f t="shared" ca="1" si="95"/>
        <v/>
      </c>
      <c r="J117" s="74" t="str">
        <f t="shared" ca="1" si="95"/>
        <v/>
      </c>
      <c r="K117" s="74" t="str">
        <f t="shared" ca="1" si="95"/>
        <v/>
      </c>
      <c r="L117" s="74" t="str">
        <f t="shared" ca="1" si="95"/>
        <v/>
      </c>
      <c r="M117" s="74" t="str">
        <f t="shared" ca="1" si="95"/>
        <v/>
      </c>
      <c r="N117" s="74" t="str">
        <f t="shared" ca="1" si="95"/>
        <v/>
      </c>
      <c r="O117" s="74" t="str">
        <f t="shared" ca="1" si="95"/>
        <v/>
      </c>
      <c r="P117" s="74" t="str">
        <f t="shared" ca="1" si="95"/>
        <v/>
      </c>
      <c r="Q117" s="74" t="str">
        <f t="shared" ca="1" si="95"/>
        <v/>
      </c>
      <c r="R117" s="74" t="str">
        <f t="shared" ca="1" si="97"/>
        <v/>
      </c>
      <c r="S117" s="74" t="str">
        <f t="shared" ca="1" si="97"/>
        <v/>
      </c>
      <c r="T117" s="74" t="str">
        <f t="shared" ref="T117:AI132" ca="1" si="99">IF($A117="", "", IF(INDIRECT($A117&amp; "!"&amp; T$2)="", "", INDIRECT($A117&amp; "!"&amp; T$2)))</f>
        <v/>
      </c>
      <c r="U117" s="74" t="str">
        <f t="shared" ca="1" si="99"/>
        <v/>
      </c>
      <c r="V117" s="74" t="str">
        <f t="shared" ca="1" si="99"/>
        <v/>
      </c>
      <c r="W117" s="74" t="str">
        <f t="shared" ca="1" si="99"/>
        <v/>
      </c>
      <c r="X117" s="74" t="str">
        <f t="shared" ca="1" si="99"/>
        <v/>
      </c>
      <c r="Y117" s="74" t="str">
        <f t="shared" ca="1" si="99"/>
        <v/>
      </c>
      <c r="Z117" s="74" t="str">
        <f t="shared" ca="1" si="99"/>
        <v/>
      </c>
      <c r="AA117" s="74" t="str">
        <f t="shared" ca="1" si="99"/>
        <v/>
      </c>
      <c r="AB117" s="75" t="str">
        <f t="shared" ca="1" si="99"/>
        <v/>
      </c>
      <c r="AC117" s="75" t="str">
        <f t="shared" ca="1" si="99"/>
        <v/>
      </c>
      <c r="AD117" s="75" t="str">
        <f t="shared" ca="1" si="99"/>
        <v/>
      </c>
      <c r="AE117" s="75" t="str">
        <f t="shared" ca="1" si="99"/>
        <v/>
      </c>
      <c r="AF117" s="75" t="str">
        <f t="shared" ca="1" si="99"/>
        <v/>
      </c>
      <c r="AG117" s="75" t="str">
        <f t="shared" ca="1" si="99"/>
        <v/>
      </c>
      <c r="AH117" s="75" t="str">
        <f t="shared" ca="1" si="99"/>
        <v/>
      </c>
      <c r="AI117" s="75" t="str">
        <f t="shared" ca="1" si="99"/>
        <v/>
      </c>
      <c r="AJ117" s="75" t="str">
        <f t="shared" ref="AI117:AX132" ca="1" si="100">IF($A117="", "", IF(INDIRECT($A117&amp; "!"&amp; AJ$2)="", "", INDIRECT($A117&amp; "!"&amp; AJ$2)))</f>
        <v/>
      </c>
      <c r="AK117" s="75" t="str">
        <f t="shared" ca="1" si="100"/>
        <v/>
      </c>
      <c r="AL117" s="75" t="str">
        <f t="shared" ca="1" si="100"/>
        <v/>
      </c>
      <c r="AM117" s="75" t="str">
        <f t="shared" ca="1" si="100"/>
        <v/>
      </c>
      <c r="AN117" s="75" t="str">
        <f t="shared" ca="1" si="100"/>
        <v/>
      </c>
      <c r="AO117" s="75" t="str">
        <f t="shared" ca="1" si="100"/>
        <v/>
      </c>
      <c r="AP117" s="75" t="str">
        <f t="shared" ca="1" si="100"/>
        <v/>
      </c>
      <c r="AQ117" s="75" t="str">
        <f t="shared" ca="1" si="100"/>
        <v/>
      </c>
      <c r="AR117" s="75" t="str">
        <f t="shared" ca="1" si="100"/>
        <v/>
      </c>
      <c r="AS117" s="75" t="str">
        <f t="shared" ca="1" si="100"/>
        <v/>
      </c>
      <c r="AT117" s="75" t="str">
        <f t="shared" ca="1" si="100"/>
        <v/>
      </c>
      <c r="AU117" s="74" t="str">
        <f t="shared" ca="1" si="100"/>
        <v/>
      </c>
      <c r="AV117" s="74" t="str">
        <f t="shared" ca="1" si="100"/>
        <v/>
      </c>
      <c r="AW117" s="74" t="str">
        <f t="shared" ca="1" si="98"/>
        <v/>
      </c>
      <c r="AX117" s="74" t="str">
        <f t="shared" ca="1" si="98"/>
        <v/>
      </c>
      <c r="AY117" s="74" t="str">
        <f t="shared" ca="1" si="90"/>
        <v/>
      </c>
      <c r="AZ117" s="74" t="str">
        <f t="shared" ca="1" si="90"/>
        <v/>
      </c>
      <c r="BA117" s="74" t="str">
        <f t="shared" ca="1" si="90"/>
        <v/>
      </c>
      <c r="BB117" s="74" t="str">
        <f t="shared" ca="1" si="90"/>
        <v/>
      </c>
      <c r="BC117" s="74" t="str">
        <f t="shared" ca="1" si="90"/>
        <v/>
      </c>
      <c r="BD117" s="74" t="str">
        <f t="shared" ca="1" si="90"/>
        <v/>
      </c>
      <c r="BE117" s="74" t="str">
        <f t="shared" ca="1" si="90"/>
        <v/>
      </c>
      <c r="BF117" s="74" t="str">
        <f t="shared" ca="1" si="90"/>
        <v/>
      </c>
      <c r="BG117" s="74" t="str">
        <f t="shared" ca="1" si="90"/>
        <v/>
      </c>
      <c r="BH117" s="74" t="str">
        <f t="shared" ca="1" si="90"/>
        <v/>
      </c>
      <c r="BI117" s="74" t="str">
        <f t="shared" ca="1" si="90"/>
        <v/>
      </c>
      <c r="BJ117" s="74" t="str">
        <f t="shared" ca="1" si="90"/>
        <v/>
      </c>
      <c r="BK117" s="74" t="str">
        <f t="shared" ca="1" si="90"/>
        <v/>
      </c>
      <c r="BL117" s="74" t="str">
        <f t="shared" ca="1" si="90"/>
        <v/>
      </c>
      <c r="BM117" s="74" t="str">
        <f t="shared" ca="1" si="90"/>
        <v/>
      </c>
      <c r="BN117" s="75" t="str">
        <f t="shared" ca="1" si="90"/>
        <v/>
      </c>
      <c r="BO117" s="75" t="str">
        <f t="shared" ca="1" si="87"/>
        <v/>
      </c>
      <c r="BP117" s="75" t="str">
        <f t="shared" ca="1" si="87"/>
        <v/>
      </c>
      <c r="BQ117" s="75" t="str">
        <f t="shared" ca="1" si="87"/>
        <v/>
      </c>
      <c r="BR117" s="75" t="str">
        <f t="shared" ca="1" si="87"/>
        <v/>
      </c>
      <c r="BS117" s="75" t="str">
        <f t="shared" ca="1" si="87"/>
        <v/>
      </c>
      <c r="BT117" s="75" t="str">
        <f t="shared" ca="1" si="87"/>
        <v/>
      </c>
      <c r="BU117" s="75" t="str">
        <f t="shared" ca="1" si="87"/>
        <v/>
      </c>
      <c r="BV117" s="75" t="str">
        <f t="shared" ca="1" si="87"/>
        <v/>
      </c>
      <c r="BW117" s="75" t="str">
        <f t="shared" ca="1" si="87"/>
        <v/>
      </c>
      <c r="BX117" s="75" t="str">
        <f t="shared" ca="1" si="87"/>
        <v/>
      </c>
      <c r="BY117" s="75" t="str">
        <f t="shared" ca="1" si="87"/>
        <v/>
      </c>
      <c r="BZ117" s="75" t="str">
        <f t="shared" ca="1" si="87"/>
        <v/>
      </c>
      <c r="CA117" s="75" t="str">
        <f t="shared" ca="1" si="87"/>
        <v/>
      </c>
      <c r="CB117" s="75" t="str">
        <f t="shared" ca="1" si="87"/>
        <v/>
      </c>
      <c r="CC117" s="75" t="str">
        <f t="shared" ca="1" si="87"/>
        <v/>
      </c>
      <c r="CD117" s="75" t="str">
        <f t="shared" ca="1" si="87"/>
        <v/>
      </c>
      <c r="CE117" s="75" t="str">
        <f t="shared" ca="1" si="91"/>
        <v/>
      </c>
      <c r="CF117" s="75" t="str">
        <f t="shared" ca="1" si="91"/>
        <v/>
      </c>
      <c r="CG117" s="74" t="str">
        <f t="shared" ca="1" si="91"/>
        <v/>
      </c>
      <c r="CH117" s="74" t="str">
        <f t="shared" ca="1" si="91"/>
        <v/>
      </c>
      <c r="CI117" s="74" t="str">
        <f t="shared" ca="1" si="91"/>
        <v/>
      </c>
      <c r="CJ117" s="74" t="str">
        <f t="shared" ca="1" si="91"/>
        <v/>
      </c>
      <c r="CK117" s="74" t="str">
        <f t="shared" ca="1" si="91"/>
        <v/>
      </c>
      <c r="CL117" s="74" t="str">
        <f t="shared" ca="1" si="91"/>
        <v/>
      </c>
      <c r="CM117" s="74" t="str">
        <f t="shared" ca="1" si="91"/>
        <v/>
      </c>
      <c r="CN117" s="74" t="str">
        <f t="shared" ca="1" si="91"/>
        <v/>
      </c>
      <c r="CO117" s="74" t="str">
        <f t="shared" ca="1" si="91"/>
        <v/>
      </c>
      <c r="CP117" s="74" t="str">
        <f t="shared" ca="1" si="91"/>
        <v/>
      </c>
      <c r="CQ117" s="74" t="str">
        <f t="shared" ca="1" si="91"/>
        <v/>
      </c>
      <c r="CR117" s="74" t="str">
        <f t="shared" ca="1" si="91"/>
        <v/>
      </c>
      <c r="CS117" s="74" t="str">
        <f t="shared" ca="1" si="91"/>
        <v/>
      </c>
      <c r="CT117" s="74" t="str">
        <f t="shared" ca="1" si="91"/>
        <v/>
      </c>
      <c r="CU117" s="74" t="str">
        <f t="shared" ca="1" si="88"/>
        <v/>
      </c>
      <c r="CV117" s="74" t="str">
        <f t="shared" ca="1" si="88"/>
        <v/>
      </c>
      <c r="CW117" s="74" t="str">
        <f t="shared" ca="1" si="88"/>
        <v/>
      </c>
      <c r="CX117" s="74" t="str">
        <f t="shared" ca="1" si="88"/>
        <v/>
      </c>
      <c r="CY117" s="74" t="str">
        <f t="shared" ca="1" si="88"/>
        <v/>
      </c>
      <c r="CZ117" s="75" t="str">
        <f t="shared" ca="1" si="88"/>
        <v/>
      </c>
      <c r="DA117" s="75" t="str">
        <f t="shared" ca="1" si="88"/>
        <v/>
      </c>
      <c r="DB117" s="75" t="str">
        <f t="shared" ca="1" si="88"/>
        <v/>
      </c>
      <c r="DC117" s="75" t="str">
        <f t="shared" ca="1" si="88"/>
        <v/>
      </c>
      <c r="DD117" s="75" t="str">
        <f t="shared" ca="1" si="88"/>
        <v/>
      </c>
      <c r="DE117" s="75" t="str">
        <f t="shared" ca="1" si="88"/>
        <v/>
      </c>
      <c r="DF117" s="75" t="str">
        <f t="shared" ca="1" si="88"/>
        <v/>
      </c>
      <c r="DG117" s="75" t="str">
        <f t="shared" ca="1" si="88"/>
        <v/>
      </c>
      <c r="DH117" s="75" t="str">
        <f t="shared" ca="1" si="88"/>
        <v/>
      </c>
      <c r="DI117" s="75" t="str">
        <f t="shared" ca="1" si="88"/>
        <v/>
      </c>
      <c r="DJ117" s="75" t="str">
        <f t="shared" ca="1" si="88"/>
        <v/>
      </c>
      <c r="DK117" s="75" t="str">
        <f t="shared" ca="1" si="92"/>
        <v/>
      </c>
      <c r="DL117" s="75" t="str">
        <f t="shared" ca="1" si="92"/>
        <v/>
      </c>
      <c r="DM117" s="75" t="str">
        <f t="shared" ca="1" si="92"/>
        <v/>
      </c>
      <c r="DN117" s="75" t="str">
        <f t="shared" ca="1" si="92"/>
        <v/>
      </c>
      <c r="DO117" s="75" t="str">
        <f t="shared" ca="1" si="92"/>
        <v/>
      </c>
      <c r="DP117" s="75" t="str">
        <f t="shared" ca="1" si="92"/>
        <v/>
      </c>
      <c r="DQ117" s="75" t="str">
        <f t="shared" ca="1" si="92"/>
        <v/>
      </c>
      <c r="DR117" s="75" t="str">
        <f t="shared" ca="1" si="92"/>
        <v/>
      </c>
      <c r="DS117" s="74" t="str">
        <f t="shared" ca="1" si="92"/>
        <v/>
      </c>
      <c r="DT117" s="74" t="str">
        <f t="shared" ca="1" si="92"/>
        <v/>
      </c>
      <c r="DU117" s="74" t="str">
        <f t="shared" ca="1" si="92"/>
        <v/>
      </c>
      <c r="DV117" s="74" t="str">
        <f t="shared" ca="1" si="92"/>
        <v/>
      </c>
      <c r="DW117" s="74" t="str">
        <f t="shared" ca="1" si="92"/>
        <v/>
      </c>
      <c r="DX117" s="74" t="str">
        <f t="shared" ca="1" si="92"/>
        <v/>
      </c>
      <c r="DY117" s="74" t="str">
        <f t="shared" ca="1" si="92"/>
        <v/>
      </c>
      <c r="DZ117" s="74" t="str">
        <f t="shared" ca="1" si="92"/>
        <v/>
      </c>
      <c r="EA117" s="74" t="str">
        <f t="shared" ca="1" si="89"/>
        <v/>
      </c>
      <c r="EB117" s="74" t="str">
        <f t="shared" ca="1" si="89"/>
        <v/>
      </c>
      <c r="EC117" s="74" t="str">
        <f t="shared" ca="1" si="89"/>
        <v/>
      </c>
      <c r="ED117" s="74" t="str">
        <f t="shared" ca="1" si="89"/>
        <v/>
      </c>
      <c r="EE117" s="74" t="str">
        <f t="shared" ca="1" si="89"/>
        <v/>
      </c>
      <c r="EF117" s="74" t="str">
        <f t="shared" ca="1" si="89"/>
        <v/>
      </c>
      <c r="EG117" s="74" t="str">
        <f t="shared" ca="1" si="89"/>
        <v/>
      </c>
      <c r="EH117" s="74" t="str">
        <f t="shared" ca="1" si="89"/>
        <v/>
      </c>
      <c r="EI117" s="74" t="str">
        <f t="shared" ca="1" si="89"/>
        <v/>
      </c>
      <c r="EJ117" s="74" t="str">
        <f t="shared" ca="1" si="89"/>
        <v/>
      </c>
      <c r="EK117" s="75" t="str">
        <f t="shared" ca="1" si="89"/>
        <v/>
      </c>
      <c r="EL117" s="75" t="str">
        <f t="shared" ca="1" si="89"/>
        <v/>
      </c>
      <c r="EM117" s="75" t="str">
        <f t="shared" ca="1" si="89"/>
        <v/>
      </c>
      <c r="EN117" s="75" t="str">
        <f t="shared" ca="1" si="89"/>
        <v/>
      </c>
      <c r="EO117" s="75" t="str">
        <f t="shared" ca="1" si="89"/>
        <v/>
      </c>
      <c r="EP117" s="75" t="str">
        <f t="shared" ca="1" si="89"/>
        <v/>
      </c>
      <c r="EQ117" s="75" t="str">
        <f t="shared" ca="1" si="93"/>
        <v/>
      </c>
      <c r="ER117" s="75" t="str">
        <f t="shared" ca="1" si="93"/>
        <v/>
      </c>
      <c r="ES117" s="75" t="str">
        <f t="shared" ca="1" si="93"/>
        <v/>
      </c>
      <c r="ET117" s="75" t="str">
        <f t="shared" ca="1" si="93"/>
        <v/>
      </c>
      <c r="EU117" s="75" t="str">
        <f t="shared" ca="1" si="93"/>
        <v/>
      </c>
      <c r="EV117" s="75" t="str">
        <f t="shared" ca="1" si="93"/>
        <v/>
      </c>
      <c r="EW117" s="75" t="str">
        <f t="shared" ca="1" si="93"/>
        <v/>
      </c>
      <c r="EX117" s="75" t="str">
        <f t="shared" ca="1" si="93"/>
        <v/>
      </c>
      <c r="EY117" s="75" t="str">
        <f t="shared" ca="1" si="93"/>
        <v/>
      </c>
      <c r="EZ117" s="75" t="str">
        <f t="shared" ca="1" si="93"/>
        <v/>
      </c>
      <c r="FA117" s="75" t="str">
        <f t="shared" ca="1" si="93"/>
        <v/>
      </c>
      <c r="FB117" s="75" t="str">
        <f t="shared" ca="1" si="93"/>
        <v/>
      </c>
      <c r="FC117" s="76" t="str">
        <f t="shared" ca="1" si="93"/>
        <v/>
      </c>
      <c r="FD117" s="74" t="str">
        <f t="shared" ca="1" si="93"/>
        <v/>
      </c>
      <c r="FE117" s="74" t="str">
        <f t="shared" ca="1" si="93"/>
        <v/>
      </c>
      <c r="FF117" s="74" t="str">
        <f t="shared" ca="1" si="93"/>
        <v/>
      </c>
      <c r="FG117" s="74" t="str">
        <f t="shared" ca="1" si="86"/>
        <v/>
      </c>
      <c r="FH117" s="74" t="str">
        <f t="shared" ca="1" si="86"/>
        <v/>
      </c>
      <c r="FI117" s="74" t="str">
        <f t="shared" ca="1" si="86"/>
        <v/>
      </c>
      <c r="FJ117" s="74" t="str">
        <f t="shared" ca="1" si="86"/>
        <v/>
      </c>
      <c r="FK117" s="74" t="str">
        <f t="shared" ca="1" si="86"/>
        <v/>
      </c>
      <c r="FL117" s="74" t="str">
        <f t="shared" ca="1" si="86"/>
        <v/>
      </c>
      <c r="FM117" s="74" t="str">
        <f t="shared" ca="1" si="86"/>
        <v/>
      </c>
      <c r="FN117" s="74" t="str">
        <f t="shared" ca="1" si="86"/>
        <v/>
      </c>
      <c r="FO117" s="74" t="str">
        <f t="shared" ca="1" si="86"/>
        <v/>
      </c>
      <c r="FP117" s="74" t="str">
        <f t="shared" ca="1" si="86"/>
        <v/>
      </c>
      <c r="FQ117" s="74" t="str">
        <f t="shared" ca="1" si="86"/>
        <v/>
      </c>
      <c r="FR117" s="74" t="str">
        <f t="shared" ca="1" si="86"/>
        <v/>
      </c>
      <c r="FS117" s="74" t="str">
        <f t="shared" ca="1" si="86"/>
        <v/>
      </c>
      <c r="FT117" s="74" t="str">
        <f t="shared" ca="1" si="86"/>
        <v/>
      </c>
    </row>
    <row r="118" spans="1:176" x14ac:dyDescent="0.35">
      <c r="A118" s="74"/>
      <c r="B118" s="74" t="str">
        <f t="shared" ca="1" si="95"/>
        <v/>
      </c>
      <c r="C118" s="74" t="str">
        <f t="shared" ca="1" si="95"/>
        <v/>
      </c>
      <c r="D118" s="74" t="str">
        <f t="shared" ca="1" si="95"/>
        <v/>
      </c>
      <c r="E118" s="74" t="str">
        <f t="shared" ca="1" si="95"/>
        <v/>
      </c>
      <c r="F118" t="str">
        <f t="shared" ca="1" si="96"/>
        <v/>
      </c>
      <c r="G118" t="str">
        <f t="shared" ca="1" si="96"/>
        <v/>
      </c>
      <c r="H118" t="str">
        <f t="shared" ca="1" si="96"/>
        <v/>
      </c>
      <c r="I118" s="74" t="str">
        <f t="shared" ca="1" si="95"/>
        <v/>
      </c>
      <c r="J118" s="74" t="str">
        <f t="shared" ca="1" si="95"/>
        <v/>
      </c>
      <c r="K118" s="74" t="str">
        <f t="shared" ca="1" si="95"/>
        <v/>
      </c>
      <c r="L118" s="74" t="str">
        <f t="shared" ca="1" si="95"/>
        <v/>
      </c>
      <c r="M118" s="74" t="str">
        <f t="shared" ca="1" si="95"/>
        <v/>
      </c>
      <c r="N118" s="74" t="str">
        <f t="shared" ca="1" si="95"/>
        <v/>
      </c>
      <c r="O118" s="74" t="str">
        <f t="shared" ca="1" si="95"/>
        <v/>
      </c>
      <c r="P118" s="74" t="str">
        <f t="shared" ca="1" si="95"/>
        <v/>
      </c>
      <c r="Q118" s="74" t="str">
        <f t="shared" ca="1" si="95"/>
        <v/>
      </c>
      <c r="R118" s="74" t="str">
        <f t="shared" ca="1" si="97"/>
        <v/>
      </c>
      <c r="S118" s="74" t="str">
        <f t="shared" ca="1" si="97"/>
        <v/>
      </c>
      <c r="T118" s="74" t="str">
        <f t="shared" ca="1" si="99"/>
        <v/>
      </c>
      <c r="U118" s="74" t="str">
        <f t="shared" ca="1" si="99"/>
        <v/>
      </c>
      <c r="V118" s="74" t="str">
        <f t="shared" ca="1" si="99"/>
        <v/>
      </c>
      <c r="W118" s="74" t="str">
        <f t="shared" ca="1" si="99"/>
        <v/>
      </c>
      <c r="X118" s="74" t="str">
        <f t="shared" ca="1" si="99"/>
        <v/>
      </c>
      <c r="Y118" s="74" t="str">
        <f t="shared" ca="1" si="99"/>
        <v/>
      </c>
      <c r="Z118" s="74" t="str">
        <f t="shared" ca="1" si="99"/>
        <v/>
      </c>
      <c r="AA118" s="74" t="str">
        <f t="shared" ca="1" si="99"/>
        <v/>
      </c>
      <c r="AB118" s="75" t="str">
        <f t="shared" ca="1" si="99"/>
        <v/>
      </c>
      <c r="AC118" s="75" t="str">
        <f t="shared" ca="1" si="99"/>
        <v/>
      </c>
      <c r="AD118" s="75" t="str">
        <f t="shared" ca="1" si="99"/>
        <v/>
      </c>
      <c r="AE118" s="75" t="str">
        <f t="shared" ca="1" si="99"/>
        <v/>
      </c>
      <c r="AF118" s="75" t="str">
        <f t="shared" ca="1" si="99"/>
        <v/>
      </c>
      <c r="AG118" s="75" t="str">
        <f t="shared" ca="1" si="99"/>
        <v/>
      </c>
      <c r="AH118" s="75" t="str">
        <f t="shared" ca="1" si="99"/>
        <v/>
      </c>
      <c r="AI118" s="75" t="str">
        <f t="shared" ca="1" si="100"/>
        <v/>
      </c>
      <c r="AJ118" s="75" t="str">
        <f t="shared" ca="1" si="100"/>
        <v/>
      </c>
      <c r="AK118" s="75" t="str">
        <f t="shared" ca="1" si="100"/>
        <v/>
      </c>
      <c r="AL118" s="75" t="str">
        <f t="shared" ca="1" si="100"/>
        <v/>
      </c>
      <c r="AM118" s="75" t="str">
        <f t="shared" ca="1" si="100"/>
        <v/>
      </c>
      <c r="AN118" s="75" t="str">
        <f t="shared" ca="1" si="100"/>
        <v/>
      </c>
      <c r="AO118" s="75" t="str">
        <f t="shared" ca="1" si="100"/>
        <v/>
      </c>
      <c r="AP118" s="75" t="str">
        <f t="shared" ca="1" si="100"/>
        <v/>
      </c>
      <c r="AQ118" s="75" t="str">
        <f t="shared" ca="1" si="100"/>
        <v/>
      </c>
      <c r="AR118" s="75" t="str">
        <f t="shared" ca="1" si="100"/>
        <v/>
      </c>
      <c r="AS118" s="75" t="str">
        <f t="shared" ca="1" si="100"/>
        <v/>
      </c>
      <c r="AT118" s="75" t="str">
        <f t="shared" ca="1" si="100"/>
        <v/>
      </c>
      <c r="AU118" s="74" t="str">
        <f t="shared" ca="1" si="100"/>
        <v/>
      </c>
      <c r="AV118" s="74" t="str">
        <f t="shared" ca="1" si="100"/>
        <v/>
      </c>
      <c r="AW118" s="74" t="str">
        <f t="shared" ca="1" si="98"/>
        <v/>
      </c>
      <c r="AX118" s="74" t="str">
        <f t="shared" ca="1" si="98"/>
        <v/>
      </c>
      <c r="AY118" s="74" t="str">
        <f t="shared" ca="1" si="90"/>
        <v/>
      </c>
      <c r="AZ118" s="74" t="str">
        <f t="shared" ca="1" si="90"/>
        <v/>
      </c>
      <c r="BA118" s="74" t="str">
        <f t="shared" ca="1" si="90"/>
        <v/>
      </c>
      <c r="BB118" s="74" t="str">
        <f t="shared" ca="1" si="90"/>
        <v/>
      </c>
      <c r="BC118" s="74" t="str">
        <f t="shared" ca="1" si="90"/>
        <v/>
      </c>
      <c r="BD118" s="74" t="str">
        <f t="shared" ca="1" si="90"/>
        <v/>
      </c>
      <c r="BE118" s="74" t="str">
        <f t="shared" ca="1" si="90"/>
        <v/>
      </c>
      <c r="BF118" s="74" t="str">
        <f t="shared" ca="1" si="90"/>
        <v/>
      </c>
      <c r="BG118" s="74" t="str">
        <f t="shared" ca="1" si="90"/>
        <v/>
      </c>
      <c r="BH118" s="74" t="str">
        <f t="shared" ca="1" si="90"/>
        <v/>
      </c>
      <c r="BI118" s="74" t="str">
        <f t="shared" ca="1" si="90"/>
        <v/>
      </c>
      <c r="BJ118" s="74" t="str">
        <f t="shared" ca="1" si="90"/>
        <v/>
      </c>
      <c r="BK118" s="74" t="str">
        <f t="shared" ca="1" si="90"/>
        <v/>
      </c>
      <c r="BL118" s="74" t="str">
        <f t="shared" ca="1" si="90"/>
        <v/>
      </c>
      <c r="BM118" s="74" t="str">
        <f t="shared" ca="1" si="90"/>
        <v/>
      </c>
      <c r="BN118" s="75" t="str">
        <f t="shared" ca="1" si="90"/>
        <v/>
      </c>
      <c r="BO118" s="75" t="str">
        <f t="shared" ca="1" si="87"/>
        <v/>
      </c>
      <c r="BP118" s="75" t="str">
        <f t="shared" ca="1" si="87"/>
        <v/>
      </c>
      <c r="BQ118" s="75" t="str">
        <f t="shared" ca="1" si="87"/>
        <v/>
      </c>
      <c r="BR118" s="75" t="str">
        <f t="shared" ca="1" si="87"/>
        <v/>
      </c>
      <c r="BS118" s="75" t="str">
        <f t="shared" ca="1" si="87"/>
        <v/>
      </c>
      <c r="BT118" s="75" t="str">
        <f t="shared" ca="1" si="87"/>
        <v/>
      </c>
      <c r="BU118" s="75" t="str">
        <f t="shared" ca="1" si="87"/>
        <v/>
      </c>
      <c r="BV118" s="75" t="str">
        <f t="shared" ca="1" si="87"/>
        <v/>
      </c>
      <c r="BW118" s="75" t="str">
        <f t="shared" ca="1" si="87"/>
        <v/>
      </c>
      <c r="BX118" s="75" t="str">
        <f t="shared" ca="1" si="87"/>
        <v/>
      </c>
      <c r="BY118" s="75" t="str">
        <f t="shared" ca="1" si="87"/>
        <v/>
      </c>
      <c r="BZ118" s="75" t="str">
        <f t="shared" ca="1" si="87"/>
        <v/>
      </c>
      <c r="CA118" s="75" t="str">
        <f t="shared" ca="1" si="87"/>
        <v/>
      </c>
      <c r="CB118" s="75" t="str">
        <f t="shared" ca="1" si="87"/>
        <v/>
      </c>
      <c r="CC118" s="75" t="str">
        <f t="shared" ca="1" si="87"/>
        <v/>
      </c>
      <c r="CD118" s="75" t="str">
        <f t="shared" ca="1" si="87"/>
        <v/>
      </c>
      <c r="CE118" s="75" t="str">
        <f t="shared" ca="1" si="91"/>
        <v/>
      </c>
      <c r="CF118" s="75" t="str">
        <f t="shared" ca="1" si="91"/>
        <v/>
      </c>
      <c r="CG118" s="74" t="str">
        <f t="shared" ca="1" si="91"/>
        <v/>
      </c>
      <c r="CH118" s="74" t="str">
        <f t="shared" ca="1" si="91"/>
        <v/>
      </c>
      <c r="CI118" s="74" t="str">
        <f t="shared" ca="1" si="91"/>
        <v/>
      </c>
      <c r="CJ118" s="74" t="str">
        <f t="shared" ca="1" si="91"/>
        <v/>
      </c>
      <c r="CK118" s="74" t="str">
        <f t="shared" ca="1" si="91"/>
        <v/>
      </c>
      <c r="CL118" s="74" t="str">
        <f t="shared" ca="1" si="91"/>
        <v/>
      </c>
      <c r="CM118" s="74" t="str">
        <f t="shared" ca="1" si="91"/>
        <v/>
      </c>
      <c r="CN118" s="74" t="str">
        <f t="shared" ca="1" si="91"/>
        <v/>
      </c>
      <c r="CO118" s="74" t="str">
        <f t="shared" ca="1" si="91"/>
        <v/>
      </c>
      <c r="CP118" s="74" t="str">
        <f t="shared" ca="1" si="91"/>
        <v/>
      </c>
      <c r="CQ118" s="74" t="str">
        <f t="shared" ca="1" si="91"/>
        <v/>
      </c>
      <c r="CR118" s="74" t="str">
        <f t="shared" ca="1" si="91"/>
        <v/>
      </c>
      <c r="CS118" s="74" t="str">
        <f t="shared" ca="1" si="91"/>
        <v/>
      </c>
      <c r="CT118" s="74" t="str">
        <f t="shared" ca="1" si="91"/>
        <v/>
      </c>
      <c r="CU118" s="74" t="str">
        <f t="shared" ca="1" si="88"/>
        <v/>
      </c>
      <c r="CV118" s="74" t="str">
        <f t="shared" ca="1" si="88"/>
        <v/>
      </c>
      <c r="CW118" s="74" t="str">
        <f t="shared" ca="1" si="88"/>
        <v/>
      </c>
      <c r="CX118" s="74" t="str">
        <f t="shared" ca="1" si="88"/>
        <v/>
      </c>
      <c r="CY118" s="74" t="str">
        <f t="shared" ca="1" si="88"/>
        <v/>
      </c>
      <c r="CZ118" s="75" t="str">
        <f t="shared" ca="1" si="88"/>
        <v/>
      </c>
      <c r="DA118" s="75" t="str">
        <f t="shared" ca="1" si="88"/>
        <v/>
      </c>
      <c r="DB118" s="75" t="str">
        <f t="shared" ca="1" si="88"/>
        <v/>
      </c>
      <c r="DC118" s="75" t="str">
        <f t="shared" ca="1" si="88"/>
        <v/>
      </c>
      <c r="DD118" s="75" t="str">
        <f t="shared" ca="1" si="88"/>
        <v/>
      </c>
      <c r="DE118" s="75" t="str">
        <f t="shared" ca="1" si="88"/>
        <v/>
      </c>
      <c r="DF118" s="75" t="str">
        <f t="shared" ca="1" si="88"/>
        <v/>
      </c>
      <c r="DG118" s="75" t="str">
        <f t="shared" ca="1" si="88"/>
        <v/>
      </c>
      <c r="DH118" s="75" t="str">
        <f t="shared" ca="1" si="88"/>
        <v/>
      </c>
      <c r="DI118" s="75" t="str">
        <f t="shared" ca="1" si="88"/>
        <v/>
      </c>
      <c r="DJ118" s="75" t="str">
        <f t="shared" ca="1" si="88"/>
        <v/>
      </c>
      <c r="DK118" s="75" t="str">
        <f t="shared" ca="1" si="92"/>
        <v/>
      </c>
      <c r="DL118" s="75" t="str">
        <f t="shared" ca="1" si="92"/>
        <v/>
      </c>
      <c r="DM118" s="75" t="str">
        <f t="shared" ca="1" si="92"/>
        <v/>
      </c>
      <c r="DN118" s="75" t="str">
        <f t="shared" ca="1" si="92"/>
        <v/>
      </c>
      <c r="DO118" s="75" t="str">
        <f t="shared" ca="1" si="92"/>
        <v/>
      </c>
      <c r="DP118" s="75" t="str">
        <f t="shared" ca="1" si="92"/>
        <v/>
      </c>
      <c r="DQ118" s="75" t="str">
        <f t="shared" ca="1" si="92"/>
        <v/>
      </c>
      <c r="DR118" s="75" t="str">
        <f t="shared" ca="1" si="92"/>
        <v/>
      </c>
      <c r="DS118" s="74" t="str">
        <f t="shared" ca="1" si="92"/>
        <v/>
      </c>
      <c r="DT118" s="74" t="str">
        <f t="shared" ca="1" si="92"/>
        <v/>
      </c>
      <c r="DU118" s="74" t="str">
        <f t="shared" ca="1" si="92"/>
        <v/>
      </c>
      <c r="DV118" s="74" t="str">
        <f t="shared" ca="1" si="92"/>
        <v/>
      </c>
      <c r="DW118" s="74" t="str">
        <f t="shared" ca="1" si="92"/>
        <v/>
      </c>
      <c r="DX118" s="74" t="str">
        <f t="shared" ca="1" si="92"/>
        <v/>
      </c>
      <c r="DY118" s="74" t="str">
        <f t="shared" ca="1" si="92"/>
        <v/>
      </c>
      <c r="DZ118" s="74" t="str">
        <f t="shared" ca="1" si="92"/>
        <v/>
      </c>
      <c r="EA118" s="74" t="str">
        <f t="shared" ca="1" si="89"/>
        <v/>
      </c>
      <c r="EB118" s="74" t="str">
        <f t="shared" ca="1" si="89"/>
        <v/>
      </c>
      <c r="EC118" s="74" t="str">
        <f t="shared" ca="1" si="89"/>
        <v/>
      </c>
      <c r="ED118" s="74" t="str">
        <f t="shared" ca="1" si="89"/>
        <v/>
      </c>
      <c r="EE118" s="74" t="str">
        <f t="shared" ca="1" si="89"/>
        <v/>
      </c>
      <c r="EF118" s="74" t="str">
        <f t="shared" ca="1" si="89"/>
        <v/>
      </c>
      <c r="EG118" s="74" t="str">
        <f t="shared" ca="1" si="89"/>
        <v/>
      </c>
      <c r="EH118" s="74" t="str">
        <f t="shared" ca="1" si="89"/>
        <v/>
      </c>
      <c r="EI118" s="74" t="str">
        <f t="shared" ca="1" si="89"/>
        <v/>
      </c>
      <c r="EJ118" s="74" t="str">
        <f t="shared" ca="1" si="89"/>
        <v/>
      </c>
      <c r="EK118" s="75" t="str">
        <f t="shared" ca="1" si="89"/>
        <v/>
      </c>
      <c r="EL118" s="75" t="str">
        <f t="shared" ca="1" si="89"/>
        <v/>
      </c>
      <c r="EM118" s="75" t="str">
        <f t="shared" ca="1" si="89"/>
        <v/>
      </c>
      <c r="EN118" s="75" t="str">
        <f t="shared" ca="1" si="89"/>
        <v/>
      </c>
      <c r="EO118" s="75" t="str">
        <f t="shared" ca="1" si="89"/>
        <v/>
      </c>
      <c r="EP118" s="75" t="str">
        <f t="shared" ca="1" si="89"/>
        <v/>
      </c>
      <c r="EQ118" s="75" t="str">
        <f t="shared" ca="1" si="93"/>
        <v/>
      </c>
      <c r="ER118" s="75" t="str">
        <f t="shared" ca="1" si="93"/>
        <v/>
      </c>
      <c r="ES118" s="75" t="str">
        <f t="shared" ca="1" si="93"/>
        <v/>
      </c>
      <c r="ET118" s="75" t="str">
        <f t="shared" ca="1" si="93"/>
        <v/>
      </c>
      <c r="EU118" s="75" t="str">
        <f t="shared" ca="1" si="93"/>
        <v/>
      </c>
      <c r="EV118" s="75" t="str">
        <f t="shared" ca="1" si="93"/>
        <v/>
      </c>
      <c r="EW118" s="75" t="str">
        <f t="shared" ca="1" si="93"/>
        <v/>
      </c>
      <c r="EX118" s="75" t="str">
        <f t="shared" ca="1" si="93"/>
        <v/>
      </c>
      <c r="EY118" s="75" t="str">
        <f t="shared" ca="1" si="93"/>
        <v/>
      </c>
      <c r="EZ118" s="75" t="str">
        <f t="shared" ca="1" si="93"/>
        <v/>
      </c>
      <c r="FA118" s="75" t="str">
        <f t="shared" ca="1" si="93"/>
        <v/>
      </c>
      <c r="FB118" s="75" t="str">
        <f t="shared" ca="1" si="93"/>
        <v/>
      </c>
      <c r="FC118" s="76" t="str">
        <f t="shared" ca="1" si="93"/>
        <v/>
      </c>
      <c r="FD118" s="74" t="str">
        <f t="shared" ca="1" si="93"/>
        <v/>
      </c>
      <c r="FE118" s="74" t="str">
        <f t="shared" ca="1" si="93"/>
        <v/>
      </c>
      <c r="FF118" s="74" t="str">
        <f t="shared" ca="1" si="93"/>
        <v/>
      </c>
      <c r="FG118" s="74" t="str">
        <f t="shared" ca="1" si="86"/>
        <v/>
      </c>
      <c r="FH118" s="74" t="str">
        <f t="shared" ca="1" si="86"/>
        <v/>
      </c>
      <c r="FI118" s="74" t="str">
        <f t="shared" ca="1" si="86"/>
        <v/>
      </c>
      <c r="FJ118" s="74" t="str">
        <f t="shared" ref="FG118:FT132" ca="1" si="101">IF($A118="", "", IF(INDIRECT($A118&amp; "!"&amp; FJ$2)="", "", INDIRECT($A118&amp; "!"&amp; FJ$2)))</f>
        <v/>
      </c>
      <c r="FK118" s="74" t="str">
        <f t="shared" ca="1" si="101"/>
        <v/>
      </c>
      <c r="FL118" s="74" t="str">
        <f t="shared" ca="1" si="101"/>
        <v/>
      </c>
      <c r="FM118" s="74" t="str">
        <f t="shared" ca="1" si="101"/>
        <v/>
      </c>
      <c r="FN118" s="74" t="str">
        <f t="shared" ca="1" si="101"/>
        <v/>
      </c>
      <c r="FO118" s="74" t="str">
        <f t="shared" ca="1" si="101"/>
        <v/>
      </c>
      <c r="FP118" s="74" t="str">
        <f t="shared" ca="1" si="101"/>
        <v/>
      </c>
      <c r="FQ118" s="74" t="str">
        <f t="shared" ca="1" si="101"/>
        <v/>
      </c>
      <c r="FR118" s="74" t="str">
        <f t="shared" ca="1" si="101"/>
        <v/>
      </c>
      <c r="FS118" s="74" t="str">
        <f t="shared" ca="1" si="101"/>
        <v/>
      </c>
      <c r="FT118" s="74" t="str">
        <f t="shared" ca="1" si="101"/>
        <v/>
      </c>
    </row>
    <row r="119" spans="1:176" x14ac:dyDescent="0.35">
      <c r="A119" s="74"/>
      <c r="B119" s="74" t="str">
        <f t="shared" ca="1" si="95"/>
        <v/>
      </c>
      <c r="C119" s="74" t="str">
        <f t="shared" ca="1" si="95"/>
        <v/>
      </c>
      <c r="D119" s="74" t="str">
        <f t="shared" ca="1" si="95"/>
        <v/>
      </c>
      <c r="E119" s="74" t="str">
        <f t="shared" ca="1" si="95"/>
        <v/>
      </c>
      <c r="F119" t="str">
        <f t="shared" ca="1" si="96"/>
        <v/>
      </c>
      <c r="G119" t="str">
        <f t="shared" ca="1" si="96"/>
        <v/>
      </c>
      <c r="H119" t="str">
        <f t="shared" ca="1" si="96"/>
        <v/>
      </c>
      <c r="I119" s="74" t="str">
        <f t="shared" ca="1" si="95"/>
        <v/>
      </c>
      <c r="J119" s="74" t="str">
        <f t="shared" ca="1" si="95"/>
        <v/>
      </c>
      <c r="K119" s="74" t="str">
        <f t="shared" ca="1" si="95"/>
        <v/>
      </c>
      <c r="L119" s="74" t="str">
        <f t="shared" ca="1" si="95"/>
        <v/>
      </c>
      <c r="M119" s="74" t="str">
        <f t="shared" ca="1" si="95"/>
        <v/>
      </c>
      <c r="N119" s="74" t="str">
        <f t="shared" ca="1" si="95"/>
        <v/>
      </c>
      <c r="O119" s="74" t="str">
        <f t="shared" ca="1" si="95"/>
        <v/>
      </c>
      <c r="P119" s="74" t="str">
        <f t="shared" ca="1" si="95"/>
        <v/>
      </c>
      <c r="Q119" s="74" t="str">
        <f t="shared" ca="1" si="95"/>
        <v/>
      </c>
      <c r="R119" s="74" t="str">
        <f t="shared" ca="1" si="97"/>
        <v/>
      </c>
      <c r="S119" s="74" t="str">
        <f t="shared" ca="1" si="97"/>
        <v/>
      </c>
      <c r="T119" s="74" t="str">
        <f t="shared" ca="1" si="99"/>
        <v/>
      </c>
      <c r="U119" s="74" t="str">
        <f t="shared" ca="1" si="99"/>
        <v/>
      </c>
      <c r="V119" s="74" t="str">
        <f t="shared" ca="1" si="99"/>
        <v/>
      </c>
      <c r="W119" s="74" t="str">
        <f t="shared" ca="1" si="99"/>
        <v/>
      </c>
      <c r="X119" s="74" t="str">
        <f t="shared" ca="1" si="99"/>
        <v/>
      </c>
      <c r="Y119" s="74" t="str">
        <f t="shared" ca="1" si="99"/>
        <v/>
      </c>
      <c r="Z119" s="74" t="str">
        <f t="shared" ca="1" si="99"/>
        <v/>
      </c>
      <c r="AA119" s="74" t="str">
        <f t="shared" ca="1" si="99"/>
        <v/>
      </c>
      <c r="AB119" s="75" t="str">
        <f t="shared" ca="1" si="99"/>
        <v/>
      </c>
      <c r="AC119" s="75" t="str">
        <f t="shared" ca="1" si="99"/>
        <v/>
      </c>
      <c r="AD119" s="75" t="str">
        <f t="shared" ca="1" si="99"/>
        <v/>
      </c>
      <c r="AE119" s="75" t="str">
        <f t="shared" ca="1" si="99"/>
        <v/>
      </c>
      <c r="AF119" s="75" t="str">
        <f t="shared" ca="1" si="99"/>
        <v/>
      </c>
      <c r="AG119" s="75" t="str">
        <f t="shared" ca="1" si="99"/>
        <v/>
      </c>
      <c r="AH119" s="75" t="str">
        <f t="shared" ca="1" si="99"/>
        <v/>
      </c>
      <c r="AI119" s="75" t="str">
        <f t="shared" ca="1" si="100"/>
        <v/>
      </c>
      <c r="AJ119" s="75" t="str">
        <f t="shared" ca="1" si="100"/>
        <v/>
      </c>
      <c r="AK119" s="75" t="str">
        <f t="shared" ca="1" si="100"/>
        <v/>
      </c>
      <c r="AL119" s="75" t="str">
        <f t="shared" ca="1" si="100"/>
        <v/>
      </c>
      <c r="AM119" s="75" t="str">
        <f t="shared" ca="1" si="100"/>
        <v/>
      </c>
      <c r="AN119" s="75" t="str">
        <f t="shared" ca="1" si="100"/>
        <v/>
      </c>
      <c r="AO119" s="75" t="str">
        <f t="shared" ca="1" si="100"/>
        <v/>
      </c>
      <c r="AP119" s="75" t="str">
        <f t="shared" ca="1" si="100"/>
        <v/>
      </c>
      <c r="AQ119" s="75" t="str">
        <f t="shared" ca="1" si="100"/>
        <v/>
      </c>
      <c r="AR119" s="75" t="str">
        <f t="shared" ca="1" si="100"/>
        <v/>
      </c>
      <c r="AS119" s="75" t="str">
        <f t="shared" ca="1" si="100"/>
        <v/>
      </c>
      <c r="AT119" s="75" t="str">
        <f t="shared" ca="1" si="100"/>
        <v/>
      </c>
      <c r="AU119" s="74" t="str">
        <f t="shared" ca="1" si="100"/>
        <v/>
      </c>
      <c r="AV119" s="74" t="str">
        <f t="shared" ca="1" si="100"/>
        <v/>
      </c>
      <c r="AW119" s="74" t="str">
        <f t="shared" ca="1" si="98"/>
        <v/>
      </c>
      <c r="AX119" s="74" t="str">
        <f t="shared" ca="1" si="98"/>
        <v/>
      </c>
      <c r="AY119" s="74" t="str">
        <f t="shared" ca="1" si="90"/>
        <v/>
      </c>
      <c r="AZ119" s="74" t="str">
        <f t="shared" ca="1" si="90"/>
        <v/>
      </c>
      <c r="BA119" s="74" t="str">
        <f t="shared" ca="1" si="90"/>
        <v/>
      </c>
      <c r="BB119" s="74" t="str">
        <f t="shared" ca="1" si="90"/>
        <v/>
      </c>
      <c r="BC119" s="74" t="str">
        <f t="shared" ca="1" si="90"/>
        <v/>
      </c>
      <c r="BD119" s="74" t="str">
        <f t="shared" ca="1" si="90"/>
        <v/>
      </c>
      <c r="BE119" s="74" t="str">
        <f t="shared" ca="1" si="90"/>
        <v/>
      </c>
      <c r="BF119" s="74" t="str">
        <f t="shared" ca="1" si="90"/>
        <v/>
      </c>
      <c r="BG119" s="74" t="str">
        <f t="shared" ca="1" si="90"/>
        <v/>
      </c>
      <c r="BH119" s="74" t="str">
        <f t="shared" ca="1" si="90"/>
        <v/>
      </c>
      <c r="BI119" s="74" t="str">
        <f t="shared" ca="1" si="90"/>
        <v/>
      </c>
      <c r="BJ119" s="74" t="str">
        <f t="shared" ca="1" si="90"/>
        <v/>
      </c>
      <c r="BK119" s="74" t="str">
        <f t="shared" ca="1" si="90"/>
        <v/>
      </c>
      <c r="BL119" s="74" t="str">
        <f t="shared" ca="1" si="90"/>
        <v/>
      </c>
      <c r="BM119" s="74" t="str">
        <f t="shared" ca="1" si="90"/>
        <v/>
      </c>
      <c r="BN119" s="75" t="str">
        <f t="shared" ca="1" si="90"/>
        <v/>
      </c>
      <c r="BO119" s="75" t="str">
        <f t="shared" ca="1" si="87"/>
        <v/>
      </c>
      <c r="BP119" s="75" t="str">
        <f t="shared" ca="1" si="87"/>
        <v/>
      </c>
      <c r="BQ119" s="75" t="str">
        <f t="shared" ca="1" si="87"/>
        <v/>
      </c>
      <c r="BR119" s="75" t="str">
        <f t="shared" ca="1" si="87"/>
        <v/>
      </c>
      <c r="BS119" s="75" t="str">
        <f t="shared" ca="1" si="87"/>
        <v/>
      </c>
      <c r="BT119" s="75" t="str">
        <f t="shared" ca="1" si="87"/>
        <v/>
      </c>
      <c r="BU119" s="75" t="str">
        <f t="shared" ca="1" si="87"/>
        <v/>
      </c>
      <c r="BV119" s="75" t="str">
        <f t="shared" ca="1" si="87"/>
        <v/>
      </c>
      <c r="BW119" s="75" t="str">
        <f t="shared" ca="1" si="87"/>
        <v/>
      </c>
      <c r="BX119" s="75" t="str">
        <f t="shared" ca="1" si="87"/>
        <v/>
      </c>
      <c r="BY119" s="75" t="str">
        <f t="shared" ca="1" si="87"/>
        <v/>
      </c>
      <c r="BZ119" s="75" t="str">
        <f t="shared" ca="1" si="87"/>
        <v/>
      </c>
      <c r="CA119" s="75" t="str">
        <f t="shared" ca="1" si="87"/>
        <v/>
      </c>
      <c r="CB119" s="75" t="str">
        <f t="shared" ca="1" si="87"/>
        <v/>
      </c>
      <c r="CC119" s="75" t="str">
        <f t="shared" ca="1" si="87"/>
        <v/>
      </c>
      <c r="CD119" s="75" t="str">
        <f t="shared" ca="1" si="87"/>
        <v/>
      </c>
      <c r="CE119" s="75" t="str">
        <f t="shared" ca="1" si="91"/>
        <v/>
      </c>
      <c r="CF119" s="75" t="str">
        <f t="shared" ca="1" si="91"/>
        <v/>
      </c>
      <c r="CG119" s="74" t="str">
        <f t="shared" ca="1" si="91"/>
        <v/>
      </c>
      <c r="CH119" s="74" t="str">
        <f t="shared" ca="1" si="91"/>
        <v/>
      </c>
      <c r="CI119" s="74" t="str">
        <f t="shared" ca="1" si="91"/>
        <v/>
      </c>
      <c r="CJ119" s="74" t="str">
        <f t="shared" ca="1" si="91"/>
        <v/>
      </c>
      <c r="CK119" s="74" t="str">
        <f t="shared" ca="1" si="91"/>
        <v/>
      </c>
      <c r="CL119" s="74" t="str">
        <f t="shared" ca="1" si="91"/>
        <v/>
      </c>
      <c r="CM119" s="74" t="str">
        <f t="shared" ca="1" si="91"/>
        <v/>
      </c>
      <c r="CN119" s="74" t="str">
        <f t="shared" ca="1" si="91"/>
        <v/>
      </c>
      <c r="CO119" s="74" t="str">
        <f t="shared" ca="1" si="91"/>
        <v/>
      </c>
      <c r="CP119" s="74" t="str">
        <f t="shared" ca="1" si="91"/>
        <v/>
      </c>
      <c r="CQ119" s="74" t="str">
        <f t="shared" ca="1" si="91"/>
        <v/>
      </c>
      <c r="CR119" s="74" t="str">
        <f t="shared" ca="1" si="91"/>
        <v/>
      </c>
      <c r="CS119" s="74" t="str">
        <f t="shared" ca="1" si="91"/>
        <v/>
      </c>
      <c r="CT119" s="74" t="str">
        <f t="shared" ca="1" si="91"/>
        <v/>
      </c>
      <c r="CU119" s="74" t="str">
        <f t="shared" ca="1" si="88"/>
        <v/>
      </c>
      <c r="CV119" s="74" t="str">
        <f t="shared" ca="1" si="88"/>
        <v/>
      </c>
      <c r="CW119" s="74" t="str">
        <f t="shared" ca="1" si="88"/>
        <v/>
      </c>
      <c r="CX119" s="74" t="str">
        <f t="shared" ca="1" si="88"/>
        <v/>
      </c>
      <c r="CY119" s="74" t="str">
        <f t="shared" ca="1" si="88"/>
        <v/>
      </c>
      <c r="CZ119" s="75" t="str">
        <f t="shared" ca="1" si="88"/>
        <v/>
      </c>
      <c r="DA119" s="75" t="str">
        <f t="shared" ca="1" si="88"/>
        <v/>
      </c>
      <c r="DB119" s="75" t="str">
        <f t="shared" ca="1" si="88"/>
        <v/>
      </c>
      <c r="DC119" s="75" t="str">
        <f t="shared" ca="1" si="88"/>
        <v/>
      </c>
      <c r="DD119" s="75" t="str">
        <f t="shared" ca="1" si="88"/>
        <v/>
      </c>
      <c r="DE119" s="75" t="str">
        <f t="shared" ca="1" si="88"/>
        <v/>
      </c>
      <c r="DF119" s="75" t="str">
        <f t="shared" ca="1" si="88"/>
        <v/>
      </c>
      <c r="DG119" s="75" t="str">
        <f t="shared" ca="1" si="88"/>
        <v/>
      </c>
      <c r="DH119" s="75" t="str">
        <f t="shared" ca="1" si="88"/>
        <v/>
      </c>
      <c r="DI119" s="75" t="str">
        <f t="shared" ca="1" si="88"/>
        <v/>
      </c>
      <c r="DJ119" s="75" t="str">
        <f t="shared" ca="1" si="88"/>
        <v/>
      </c>
      <c r="DK119" s="75" t="str">
        <f t="shared" ca="1" si="92"/>
        <v/>
      </c>
      <c r="DL119" s="75" t="str">
        <f t="shared" ca="1" si="92"/>
        <v/>
      </c>
      <c r="DM119" s="75" t="str">
        <f t="shared" ca="1" si="92"/>
        <v/>
      </c>
      <c r="DN119" s="75" t="str">
        <f t="shared" ca="1" si="92"/>
        <v/>
      </c>
      <c r="DO119" s="75" t="str">
        <f t="shared" ca="1" si="92"/>
        <v/>
      </c>
      <c r="DP119" s="75" t="str">
        <f t="shared" ca="1" si="92"/>
        <v/>
      </c>
      <c r="DQ119" s="75" t="str">
        <f t="shared" ca="1" si="92"/>
        <v/>
      </c>
      <c r="DR119" s="75" t="str">
        <f t="shared" ca="1" si="92"/>
        <v/>
      </c>
      <c r="DS119" s="74" t="str">
        <f t="shared" ca="1" si="92"/>
        <v/>
      </c>
      <c r="DT119" s="74" t="str">
        <f t="shared" ca="1" si="92"/>
        <v/>
      </c>
      <c r="DU119" s="74" t="str">
        <f t="shared" ca="1" si="92"/>
        <v/>
      </c>
      <c r="DV119" s="74" t="str">
        <f t="shared" ca="1" si="92"/>
        <v/>
      </c>
      <c r="DW119" s="74" t="str">
        <f t="shared" ca="1" si="92"/>
        <v/>
      </c>
      <c r="DX119" s="74" t="str">
        <f t="shared" ca="1" si="92"/>
        <v/>
      </c>
      <c r="DY119" s="74" t="str">
        <f t="shared" ca="1" si="92"/>
        <v/>
      </c>
      <c r="DZ119" s="74" t="str">
        <f t="shared" ca="1" si="92"/>
        <v/>
      </c>
      <c r="EA119" s="74" t="str">
        <f t="shared" ca="1" si="89"/>
        <v/>
      </c>
      <c r="EB119" s="74" t="str">
        <f t="shared" ca="1" si="89"/>
        <v/>
      </c>
      <c r="EC119" s="74" t="str">
        <f t="shared" ca="1" si="89"/>
        <v/>
      </c>
      <c r="ED119" s="74" t="str">
        <f t="shared" ca="1" si="89"/>
        <v/>
      </c>
      <c r="EE119" s="74" t="str">
        <f t="shared" ca="1" si="89"/>
        <v/>
      </c>
      <c r="EF119" s="74" t="str">
        <f t="shared" ca="1" si="89"/>
        <v/>
      </c>
      <c r="EG119" s="74" t="str">
        <f t="shared" ca="1" si="89"/>
        <v/>
      </c>
      <c r="EH119" s="74" t="str">
        <f t="shared" ca="1" si="89"/>
        <v/>
      </c>
      <c r="EI119" s="74" t="str">
        <f t="shared" ca="1" si="89"/>
        <v/>
      </c>
      <c r="EJ119" s="74" t="str">
        <f t="shared" ca="1" si="89"/>
        <v/>
      </c>
      <c r="EK119" s="75" t="str">
        <f t="shared" ca="1" si="89"/>
        <v/>
      </c>
      <c r="EL119" s="75" t="str">
        <f t="shared" ca="1" si="89"/>
        <v/>
      </c>
      <c r="EM119" s="75" t="str">
        <f t="shared" ca="1" si="89"/>
        <v/>
      </c>
      <c r="EN119" s="75" t="str">
        <f t="shared" ca="1" si="89"/>
        <v/>
      </c>
      <c r="EO119" s="75" t="str">
        <f t="shared" ca="1" si="89"/>
        <v/>
      </c>
      <c r="EP119" s="75" t="str">
        <f t="shared" ca="1" si="89"/>
        <v/>
      </c>
      <c r="EQ119" s="75" t="str">
        <f t="shared" ca="1" si="93"/>
        <v/>
      </c>
      <c r="ER119" s="75" t="str">
        <f t="shared" ca="1" si="93"/>
        <v/>
      </c>
      <c r="ES119" s="75" t="str">
        <f t="shared" ca="1" si="93"/>
        <v/>
      </c>
      <c r="ET119" s="75" t="str">
        <f t="shared" ca="1" si="93"/>
        <v/>
      </c>
      <c r="EU119" s="75" t="str">
        <f t="shared" ca="1" si="93"/>
        <v/>
      </c>
      <c r="EV119" s="75" t="str">
        <f t="shared" ca="1" si="93"/>
        <v/>
      </c>
      <c r="EW119" s="75" t="str">
        <f t="shared" ca="1" si="93"/>
        <v/>
      </c>
      <c r="EX119" s="75" t="str">
        <f t="shared" ca="1" si="93"/>
        <v/>
      </c>
      <c r="EY119" s="75" t="str">
        <f t="shared" ca="1" si="93"/>
        <v/>
      </c>
      <c r="EZ119" s="75" t="str">
        <f t="shared" ca="1" si="93"/>
        <v/>
      </c>
      <c r="FA119" s="75" t="str">
        <f t="shared" ca="1" si="93"/>
        <v/>
      </c>
      <c r="FB119" s="75" t="str">
        <f t="shared" ca="1" si="93"/>
        <v/>
      </c>
      <c r="FC119" s="76" t="str">
        <f t="shared" ca="1" si="93"/>
        <v/>
      </c>
      <c r="FD119" s="74" t="str">
        <f t="shared" ca="1" si="93"/>
        <v/>
      </c>
      <c r="FE119" s="74" t="str">
        <f t="shared" ca="1" si="93"/>
        <v/>
      </c>
      <c r="FF119" s="74" t="str">
        <f t="shared" ca="1" si="93"/>
        <v/>
      </c>
      <c r="FG119" s="74" t="str">
        <f t="shared" ca="1" si="101"/>
        <v/>
      </c>
      <c r="FH119" s="74" t="str">
        <f t="shared" ca="1" si="101"/>
        <v/>
      </c>
      <c r="FI119" s="74" t="str">
        <f t="shared" ca="1" si="101"/>
        <v/>
      </c>
      <c r="FJ119" s="74" t="str">
        <f t="shared" ca="1" si="101"/>
        <v/>
      </c>
      <c r="FK119" s="74" t="str">
        <f t="shared" ca="1" si="101"/>
        <v/>
      </c>
      <c r="FL119" s="74" t="str">
        <f t="shared" ca="1" si="101"/>
        <v/>
      </c>
      <c r="FM119" s="74" t="str">
        <f t="shared" ca="1" si="101"/>
        <v/>
      </c>
      <c r="FN119" s="74" t="str">
        <f t="shared" ca="1" si="101"/>
        <v/>
      </c>
      <c r="FO119" s="74" t="str">
        <f t="shared" ca="1" si="101"/>
        <v/>
      </c>
      <c r="FP119" s="74" t="str">
        <f t="shared" ca="1" si="101"/>
        <v/>
      </c>
      <c r="FQ119" s="74" t="str">
        <f t="shared" ca="1" si="101"/>
        <v/>
      </c>
      <c r="FR119" s="74" t="str">
        <f t="shared" ca="1" si="101"/>
        <v/>
      </c>
      <c r="FS119" s="74" t="str">
        <f t="shared" ca="1" si="101"/>
        <v/>
      </c>
      <c r="FT119" s="74" t="str">
        <f t="shared" ca="1" si="101"/>
        <v/>
      </c>
    </row>
    <row r="120" spans="1:176" x14ac:dyDescent="0.35">
      <c r="A120" s="74"/>
      <c r="B120" s="74" t="str">
        <f t="shared" ca="1" si="95"/>
        <v/>
      </c>
      <c r="C120" s="74" t="str">
        <f t="shared" ca="1" si="95"/>
        <v/>
      </c>
      <c r="D120" s="74" t="str">
        <f t="shared" ca="1" si="95"/>
        <v/>
      </c>
      <c r="E120" s="74" t="str">
        <f t="shared" ca="1" si="95"/>
        <v/>
      </c>
      <c r="F120" t="str">
        <f t="shared" ca="1" si="96"/>
        <v/>
      </c>
      <c r="G120" t="str">
        <f t="shared" ca="1" si="96"/>
        <v/>
      </c>
      <c r="H120" t="str">
        <f t="shared" ca="1" si="96"/>
        <v/>
      </c>
      <c r="I120" s="74" t="str">
        <f t="shared" ca="1" si="95"/>
        <v/>
      </c>
      <c r="J120" s="74" t="str">
        <f t="shared" ca="1" si="95"/>
        <v/>
      </c>
      <c r="K120" s="74" t="str">
        <f t="shared" ca="1" si="95"/>
        <v/>
      </c>
      <c r="L120" s="74" t="str">
        <f t="shared" ca="1" si="95"/>
        <v/>
      </c>
      <c r="M120" s="74" t="str">
        <f t="shared" ca="1" si="95"/>
        <v/>
      </c>
      <c r="N120" s="74" t="str">
        <f t="shared" ca="1" si="95"/>
        <v/>
      </c>
      <c r="O120" s="74" t="str">
        <f t="shared" ca="1" si="95"/>
        <v/>
      </c>
      <c r="P120" s="74" t="str">
        <f t="shared" ca="1" si="95"/>
        <v/>
      </c>
      <c r="Q120" s="74" t="str">
        <f t="shared" ca="1" si="95"/>
        <v/>
      </c>
      <c r="R120" s="74" t="str">
        <f t="shared" ca="1" si="97"/>
        <v/>
      </c>
      <c r="S120" s="74" t="str">
        <f t="shared" ca="1" si="97"/>
        <v/>
      </c>
      <c r="T120" s="74" t="str">
        <f t="shared" ca="1" si="99"/>
        <v/>
      </c>
      <c r="U120" s="74" t="str">
        <f t="shared" ca="1" si="99"/>
        <v/>
      </c>
      <c r="V120" s="74" t="str">
        <f t="shared" ca="1" si="99"/>
        <v/>
      </c>
      <c r="W120" s="74" t="str">
        <f t="shared" ca="1" si="99"/>
        <v/>
      </c>
      <c r="X120" s="74" t="str">
        <f t="shared" ca="1" si="99"/>
        <v/>
      </c>
      <c r="Y120" s="74" t="str">
        <f t="shared" ca="1" si="99"/>
        <v/>
      </c>
      <c r="Z120" s="74" t="str">
        <f t="shared" ca="1" si="99"/>
        <v/>
      </c>
      <c r="AA120" s="74" t="str">
        <f t="shared" ca="1" si="99"/>
        <v/>
      </c>
      <c r="AB120" s="75" t="str">
        <f t="shared" ca="1" si="99"/>
        <v/>
      </c>
      <c r="AC120" s="75" t="str">
        <f t="shared" ca="1" si="99"/>
        <v/>
      </c>
      <c r="AD120" s="75" t="str">
        <f t="shared" ca="1" si="99"/>
        <v/>
      </c>
      <c r="AE120" s="75" t="str">
        <f t="shared" ca="1" si="99"/>
        <v/>
      </c>
      <c r="AF120" s="75" t="str">
        <f t="shared" ca="1" si="99"/>
        <v/>
      </c>
      <c r="AG120" s="75" t="str">
        <f t="shared" ca="1" si="99"/>
        <v/>
      </c>
      <c r="AH120" s="75" t="str">
        <f t="shared" ca="1" si="99"/>
        <v/>
      </c>
      <c r="AI120" s="75" t="str">
        <f t="shared" ca="1" si="100"/>
        <v/>
      </c>
      <c r="AJ120" s="75" t="str">
        <f t="shared" ca="1" si="100"/>
        <v/>
      </c>
      <c r="AK120" s="75" t="str">
        <f t="shared" ca="1" si="100"/>
        <v/>
      </c>
      <c r="AL120" s="75" t="str">
        <f t="shared" ca="1" si="100"/>
        <v/>
      </c>
      <c r="AM120" s="75" t="str">
        <f t="shared" ca="1" si="100"/>
        <v/>
      </c>
      <c r="AN120" s="75" t="str">
        <f t="shared" ca="1" si="100"/>
        <v/>
      </c>
      <c r="AO120" s="75" t="str">
        <f t="shared" ca="1" si="100"/>
        <v/>
      </c>
      <c r="AP120" s="75" t="str">
        <f t="shared" ca="1" si="100"/>
        <v/>
      </c>
      <c r="AQ120" s="75" t="str">
        <f t="shared" ca="1" si="100"/>
        <v/>
      </c>
      <c r="AR120" s="75" t="str">
        <f t="shared" ca="1" si="100"/>
        <v/>
      </c>
      <c r="AS120" s="75" t="str">
        <f t="shared" ca="1" si="100"/>
        <v/>
      </c>
      <c r="AT120" s="75" t="str">
        <f t="shared" ca="1" si="100"/>
        <v/>
      </c>
      <c r="AU120" s="74" t="str">
        <f t="shared" ca="1" si="100"/>
        <v/>
      </c>
      <c r="AV120" s="74" t="str">
        <f t="shared" ca="1" si="100"/>
        <v/>
      </c>
      <c r="AW120" s="74" t="str">
        <f t="shared" ca="1" si="98"/>
        <v/>
      </c>
      <c r="AX120" s="74" t="str">
        <f t="shared" ca="1" si="98"/>
        <v/>
      </c>
      <c r="AY120" s="74" t="str">
        <f t="shared" ca="1" si="90"/>
        <v/>
      </c>
      <c r="AZ120" s="74" t="str">
        <f t="shared" ca="1" si="90"/>
        <v/>
      </c>
      <c r="BA120" s="74" t="str">
        <f t="shared" ca="1" si="90"/>
        <v/>
      </c>
      <c r="BB120" s="74" t="str">
        <f t="shared" ca="1" si="90"/>
        <v/>
      </c>
      <c r="BC120" s="74" t="str">
        <f t="shared" ca="1" si="90"/>
        <v/>
      </c>
      <c r="BD120" s="74" t="str">
        <f t="shared" ca="1" si="90"/>
        <v/>
      </c>
      <c r="BE120" s="74" t="str">
        <f t="shared" ca="1" si="90"/>
        <v/>
      </c>
      <c r="BF120" s="74" t="str">
        <f t="shared" ca="1" si="90"/>
        <v/>
      </c>
      <c r="BG120" s="74" t="str">
        <f t="shared" ca="1" si="90"/>
        <v/>
      </c>
      <c r="BH120" s="74" t="str">
        <f t="shared" ca="1" si="90"/>
        <v/>
      </c>
      <c r="BI120" s="74" t="str">
        <f t="shared" ca="1" si="90"/>
        <v/>
      </c>
      <c r="BJ120" s="74" t="str">
        <f t="shared" ca="1" si="90"/>
        <v/>
      </c>
      <c r="BK120" s="74" t="str">
        <f t="shared" ca="1" si="90"/>
        <v/>
      </c>
      <c r="BL120" s="74" t="str">
        <f t="shared" ca="1" si="90"/>
        <v/>
      </c>
      <c r="BM120" s="74" t="str">
        <f t="shared" ca="1" si="90"/>
        <v/>
      </c>
      <c r="BN120" s="75" t="str">
        <f t="shared" ca="1" si="90"/>
        <v/>
      </c>
      <c r="BO120" s="75" t="str">
        <f t="shared" ca="1" si="87"/>
        <v/>
      </c>
      <c r="BP120" s="75" t="str">
        <f t="shared" ca="1" si="87"/>
        <v/>
      </c>
      <c r="BQ120" s="75" t="str">
        <f t="shared" ca="1" si="87"/>
        <v/>
      </c>
      <c r="BR120" s="75" t="str">
        <f t="shared" ca="1" si="87"/>
        <v/>
      </c>
      <c r="BS120" s="75" t="str">
        <f t="shared" ca="1" si="87"/>
        <v/>
      </c>
      <c r="BT120" s="75" t="str">
        <f t="shared" ca="1" si="87"/>
        <v/>
      </c>
      <c r="BU120" s="75" t="str">
        <f t="shared" ca="1" si="87"/>
        <v/>
      </c>
      <c r="BV120" s="75" t="str">
        <f t="shared" ca="1" si="87"/>
        <v/>
      </c>
      <c r="BW120" s="75" t="str">
        <f t="shared" ca="1" si="87"/>
        <v/>
      </c>
      <c r="BX120" s="75" t="str">
        <f t="shared" ca="1" si="87"/>
        <v/>
      </c>
      <c r="BY120" s="75" t="str">
        <f t="shared" ca="1" si="87"/>
        <v/>
      </c>
      <c r="BZ120" s="75" t="str">
        <f t="shared" ca="1" si="87"/>
        <v/>
      </c>
      <c r="CA120" s="75" t="str">
        <f t="shared" ca="1" si="87"/>
        <v/>
      </c>
      <c r="CB120" s="75" t="str">
        <f t="shared" ca="1" si="87"/>
        <v/>
      </c>
      <c r="CC120" s="75" t="str">
        <f t="shared" ca="1" si="87"/>
        <v/>
      </c>
      <c r="CD120" s="75" t="str">
        <f t="shared" ca="1" si="87"/>
        <v/>
      </c>
      <c r="CE120" s="75" t="str">
        <f t="shared" ca="1" si="91"/>
        <v/>
      </c>
      <c r="CF120" s="75" t="str">
        <f t="shared" ca="1" si="91"/>
        <v/>
      </c>
      <c r="CG120" s="74" t="str">
        <f t="shared" ca="1" si="91"/>
        <v/>
      </c>
      <c r="CH120" s="74" t="str">
        <f t="shared" ca="1" si="91"/>
        <v/>
      </c>
      <c r="CI120" s="74" t="str">
        <f t="shared" ca="1" si="91"/>
        <v/>
      </c>
      <c r="CJ120" s="74" t="str">
        <f t="shared" ca="1" si="91"/>
        <v/>
      </c>
      <c r="CK120" s="74" t="str">
        <f t="shared" ca="1" si="91"/>
        <v/>
      </c>
      <c r="CL120" s="74" t="str">
        <f t="shared" ca="1" si="91"/>
        <v/>
      </c>
      <c r="CM120" s="74" t="str">
        <f t="shared" ca="1" si="91"/>
        <v/>
      </c>
      <c r="CN120" s="74" t="str">
        <f t="shared" ca="1" si="91"/>
        <v/>
      </c>
      <c r="CO120" s="74" t="str">
        <f t="shared" ca="1" si="91"/>
        <v/>
      </c>
      <c r="CP120" s="74" t="str">
        <f t="shared" ca="1" si="91"/>
        <v/>
      </c>
      <c r="CQ120" s="74" t="str">
        <f t="shared" ca="1" si="91"/>
        <v/>
      </c>
      <c r="CR120" s="74" t="str">
        <f t="shared" ca="1" si="91"/>
        <v/>
      </c>
      <c r="CS120" s="74" t="str">
        <f t="shared" ca="1" si="91"/>
        <v/>
      </c>
      <c r="CT120" s="74" t="str">
        <f t="shared" ca="1" si="91"/>
        <v/>
      </c>
      <c r="CU120" s="74" t="str">
        <f t="shared" ca="1" si="88"/>
        <v/>
      </c>
      <c r="CV120" s="74" t="str">
        <f t="shared" ca="1" si="88"/>
        <v/>
      </c>
      <c r="CW120" s="74" t="str">
        <f t="shared" ca="1" si="88"/>
        <v/>
      </c>
      <c r="CX120" s="74" t="str">
        <f t="shared" ca="1" si="88"/>
        <v/>
      </c>
      <c r="CY120" s="74" t="str">
        <f t="shared" ca="1" si="88"/>
        <v/>
      </c>
      <c r="CZ120" s="75" t="str">
        <f t="shared" ca="1" si="88"/>
        <v/>
      </c>
      <c r="DA120" s="75" t="str">
        <f t="shared" ca="1" si="88"/>
        <v/>
      </c>
      <c r="DB120" s="75" t="str">
        <f t="shared" ca="1" si="88"/>
        <v/>
      </c>
      <c r="DC120" s="75" t="str">
        <f t="shared" ca="1" si="88"/>
        <v/>
      </c>
      <c r="DD120" s="75" t="str">
        <f t="shared" ca="1" si="88"/>
        <v/>
      </c>
      <c r="DE120" s="75" t="str">
        <f t="shared" ca="1" si="88"/>
        <v/>
      </c>
      <c r="DF120" s="75" t="str">
        <f t="shared" ca="1" si="88"/>
        <v/>
      </c>
      <c r="DG120" s="75" t="str">
        <f t="shared" ca="1" si="88"/>
        <v/>
      </c>
      <c r="DH120" s="75" t="str">
        <f t="shared" ca="1" si="88"/>
        <v/>
      </c>
      <c r="DI120" s="75" t="str">
        <f t="shared" ca="1" si="88"/>
        <v/>
      </c>
      <c r="DJ120" s="75" t="str">
        <f t="shared" ca="1" si="88"/>
        <v/>
      </c>
      <c r="DK120" s="75" t="str">
        <f t="shared" ca="1" si="92"/>
        <v/>
      </c>
      <c r="DL120" s="75" t="str">
        <f t="shared" ca="1" si="92"/>
        <v/>
      </c>
      <c r="DM120" s="75" t="str">
        <f t="shared" ca="1" si="92"/>
        <v/>
      </c>
      <c r="DN120" s="75" t="str">
        <f t="shared" ca="1" si="92"/>
        <v/>
      </c>
      <c r="DO120" s="75" t="str">
        <f t="shared" ca="1" si="92"/>
        <v/>
      </c>
      <c r="DP120" s="75" t="str">
        <f t="shared" ca="1" si="92"/>
        <v/>
      </c>
      <c r="DQ120" s="75" t="str">
        <f t="shared" ca="1" si="92"/>
        <v/>
      </c>
      <c r="DR120" s="75" t="str">
        <f t="shared" ca="1" si="92"/>
        <v/>
      </c>
      <c r="DS120" s="74" t="str">
        <f t="shared" ca="1" si="92"/>
        <v/>
      </c>
      <c r="DT120" s="74" t="str">
        <f t="shared" ca="1" si="92"/>
        <v/>
      </c>
      <c r="DU120" s="74" t="str">
        <f t="shared" ca="1" si="92"/>
        <v/>
      </c>
      <c r="DV120" s="74" t="str">
        <f t="shared" ca="1" si="92"/>
        <v/>
      </c>
      <c r="DW120" s="74" t="str">
        <f t="shared" ca="1" si="92"/>
        <v/>
      </c>
      <c r="DX120" s="74" t="str">
        <f t="shared" ca="1" si="92"/>
        <v/>
      </c>
      <c r="DY120" s="74" t="str">
        <f t="shared" ca="1" si="92"/>
        <v/>
      </c>
      <c r="DZ120" s="74" t="str">
        <f t="shared" ca="1" si="92"/>
        <v/>
      </c>
      <c r="EA120" s="74" t="str">
        <f t="shared" ca="1" si="89"/>
        <v/>
      </c>
      <c r="EB120" s="74" t="str">
        <f t="shared" ca="1" si="89"/>
        <v/>
      </c>
      <c r="EC120" s="74" t="str">
        <f t="shared" ca="1" si="89"/>
        <v/>
      </c>
      <c r="ED120" s="74" t="str">
        <f t="shared" ca="1" si="89"/>
        <v/>
      </c>
      <c r="EE120" s="74" t="str">
        <f t="shared" ca="1" si="89"/>
        <v/>
      </c>
      <c r="EF120" s="74" t="str">
        <f t="shared" ca="1" si="89"/>
        <v/>
      </c>
      <c r="EG120" s="74" t="str">
        <f t="shared" ca="1" si="89"/>
        <v/>
      </c>
      <c r="EH120" s="74" t="str">
        <f t="shared" ca="1" si="89"/>
        <v/>
      </c>
      <c r="EI120" s="74" t="str">
        <f t="shared" ca="1" si="89"/>
        <v/>
      </c>
      <c r="EJ120" s="74" t="str">
        <f t="shared" ca="1" si="89"/>
        <v/>
      </c>
      <c r="EK120" s="75" t="str">
        <f t="shared" ca="1" si="89"/>
        <v/>
      </c>
      <c r="EL120" s="75" t="str">
        <f t="shared" ca="1" si="89"/>
        <v/>
      </c>
      <c r="EM120" s="75" t="str">
        <f t="shared" ca="1" si="89"/>
        <v/>
      </c>
      <c r="EN120" s="75" t="str">
        <f t="shared" ca="1" si="89"/>
        <v/>
      </c>
      <c r="EO120" s="75" t="str">
        <f t="shared" ca="1" si="89"/>
        <v/>
      </c>
      <c r="EP120" s="75" t="str">
        <f t="shared" ca="1" si="89"/>
        <v/>
      </c>
      <c r="EQ120" s="75" t="str">
        <f t="shared" ca="1" si="93"/>
        <v/>
      </c>
      <c r="ER120" s="75" t="str">
        <f t="shared" ca="1" si="93"/>
        <v/>
      </c>
      <c r="ES120" s="75" t="str">
        <f t="shared" ca="1" si="93"/>
        <v/>
      </c>
      <c r="ET120" s="75" t="str">
        <f t="shared" ca="1" si="93"/>
        <v/>
      </c>
      <c r="EU120" s="75" t="str">
        <f t="shared" ca="1" si="93"/>
        <v/>
      </c>
      <c r="EV120" s="75" t="str">
        <f t="shared" ca="1" si="93"/>
        <v/>
      </c>
      <c r="EW120" s="75" t="str">
        <f t="shared" ca="1" si="93"/>
        <v/>
      </c>
      <c r="EX120" s="75" t="str">
        <f t="shared" ca="1" si="93"/>
        <v/>
      </c>
      <c r="EY120" s="75" t="str">
        <f t="shared" ca="1" si="93"/>
        <v/>
      </c>
      <c r="EZ120" s="75" t="str">
        <f t="shared" ca="1" si="93"/>
        <v/>
      </c>
      <c r="FA120" s="75" t="str">
        <f t="shared" ca="1" si="93"/>
        <v/>
      </c>
      <c r="FB120" s="75" t="str">
        <f t="shared" ca="1" si="93"/>
        <v/>
      </c>
      <c r="FC120" s="76" t="str">
        <f t="shared" ca="1" si="93"/>
        <v/>
      </c>
      <c r="FD120" s="74" t="str">
        <f t="shared" ca="1" si="93"/>
        <v/>
      </c>
      <c r="FE120" s="74" t="str">
        <f t="shared" ca="1" si="93"/>
        <v/>
      </c>
      <c r="FF120" s="74" t="str">
        <f t="shared" ca="1" si="93"/>
        <v/>
      </c>
      <c r="FG120" s="74" t="str">
        <f t="shared" ca="1" si="101"/>
        <v/>
      </c>
      <c r="FH120" s="74" t="str">
        <f t="shared" ca="1" si="101"/>
        <v/>
      </c>
      <c r="FI120" s="74" t="str">
        <f t="shared" ca="1" si="101"/>
        <v/>
      </c>
      <c r="FJ120" s="74" t="str">
        <f t="shared" ca="1" si="101"/>
        <v/>
      </c>
      <c r="FK120" s="74" t="str">
        <f t="shared" ca="1" si="101"/>
        <v/>
      </c>
      <c r="FL120" s="74" t="str">
        <f t="shared" ca="1" si="101"/>
        <v/>
      </c>
      <c r="FM120" s="74" t="str">
        <f t="shared" ca="1" si="101"/>
        <v/>
      </c>
      <c r="FN120" s="74" t="str">
        <f t="shared" ca="1" si="101"/>
        <v/>
      </c>
      <c r="FO120" s="74" t="str">
        <f t="shared" ca="1" si="101"/>
        <v/>
      </c>
      <c r="FP120" s="74" t="str">
        <f t="shared" ca="1" si="101"/>
        <v/>
      </c>
      <c r="FQ120" s="74" t="str">
        <f t="shared" ca="1" si="101"/>
        <v/>
      </c>
      <c r="FR120" s="74" t="str">
        <f t="shared" ca="1" si="101"/>
        <v/>
      </c>
      <c r="FS120" s="74" t="str">
        <f t="shared" ca="1" si="101"/>
        <v/>
      </c>
      <c r="FT120" s="74" t="str">
        <f t="shared" ca="1" si="101"/>
        <v/>
      </c>
    </row>
    <row r="121" spans="1:176" x14ac:dyDescent="0.35">
      <c r="A121" s="74"/>
      <c r="B121" s="74" t="str">
        <f t="shared" ca="1" si="95"/>
        <v/>
      </c>
      <c r="C121" s="74" t="str">
        <f t="shared" ca="1" si="95"/>
        <v/>
      </c>
      <c r="D121" s="74" t="str">
        <f t="shared" ca="1" si="95"/>
        <v/>
      </c>
      <c r="E121" s="74" t="str">
        <f t="shared" ca="1" si="95"/>
        <v/>
      </c>
      <c r="F121" t="str">
        <f t="shared" ca="1" si="96"/>
        <v/>
      </c>
      <c r="G121" t="str">
        <f t="shared" ca="1" si="96"/>
        <v/>
      </c>
      <c r="H121" t="str">
        <f t="shared" ca="1" si="96"/>
        <v/>
      </c>
      <c r="I121" s="74" t="str">
        <f t="shared" ca="1" si="95"/>
        <v/>
      </c>
      <c r="J121" s="74" t="str">
        <f t="shared" ca="1" si="95"/>
        <v/>
      </c>
      <c r="K121" s="74" t="str">
        <f t="shared" ca="1" si="95"/>
        <v/>
      </c>
      <c r="L121" s="74" t="str">
        <f t="shared" ca="1" si="95"/>
        <v/>
      </c>
      <c r="M121" s="74" t="str">
        <f t="shared" ca="1" si="95"/>
        <v/>
      </c>
      <c r="N121" s="74" t="str">
        <f t="shared" ca="1" si="95"/>
        <v/>
      </c>
      <c r="O121" s="74" t="str">
        <f t="shared" ca="1" si="95"/>
        <v/>
      </c>
      <c r="P121" s="74" t="str">
        <f t="shared" ca="1" si="95"/>
        <v/>
      </c>
      <c r="Q121" s="74" t="str">
        <f t="shared" ca="1" si="95"/>
        <v/>
      </c>
      <c r="R121" s="74" t="str">
        <f t="shared" ca="1" si="97"/>
        <v/>
      </c>
      <c r="S121" s="74" t="str">
        <f t="shared" ca="1" si="97"/>
        <v/>
      </c>
      <c r="T121" s="74" t="str">
        <f t="shared" ca="1" si="99"/>
        <v/>
      </c>
      <c r="U121" s="74" t="str">
        <f t="shared" ca="1" si="99"/>
        <v/>
      </c>
      <c r="V121" s="74" t="str">
        <f t="shared" ca="1" si="99"/>
        <v/>
      </c>
      <c r="W121" s="74" t="str">
        <f t="shared" ca="1" si="99"/>
        <v/>
      </c>
      <c r="X121" s="74" t="str">
        <f t="shared" ca="1" si="99"/>
        <v/>
      </c>
      <c r="Y121" s="74" t="str">
        <f t="shared" ca="1" si="99"/>
        <v/>
      </c>
      <c r="Z121" s="74" t="str">
        <f t="shared" ca="1" si="99"/>
        <v/>
      </c>
      <c r="AA121" s="74" t="str">
        <f t="shared" ca="1" si="99"/>
        <v/>
      </c>
      <c r="AB121" s="75" t="str">
        <f t="shared" ca="1" si="99"/>
        <v/>
      </c>
      <c r="AC121" s="75" t="str">
        <f t="shared" ca="1" si="99"/>
        <v/>
      </c>
      <c r="AD121" s="75" t="str">
        <f t="shared" ca="1" si="99"/>
        <v/>
      </c>
      <c r="AE121" s="75" t="str">
        <f t="shared" ca="1" si="99"/>
        <v/>
      </c>
      <c r="AF121" s="75" t="str">
        <f t="shared" ca="1" si="99"/>
        <v/>
      </c>
      <c r="AG121" s="75" t="str">
        <f t="shared" ca="1" si="99"/>
        <v/>
      </c>
      <c r="AH121" s="75" t="str">
        <f t="shared" ca="1" si="99"/>
        <v/>
      </c>
      <c r="AI121" s="75" t="str">
        <f t="shared" ca="1" si="100"/>
        <v/>
      </c>
      <c r="AJ121" s="75" t="str">
        <f t="shared" ca="1" si="100"/>
        <v/>
      </c>
      <c r="AK121" s="75" t="str">
        <f t="shared" ca="1" si="100"/>
        <v/>
      </c>
      <c r="AL121" s="75" t="str">
        <f t="shared" ca="1" si="100"/>
        <v/>
      </c>
      <c r="AM121" s="75" t="str">
        <f t="shared" ca="1" si="100"/>
        <v/>
      </c>
      <c r="AN121" s="75" t="str">
        <f t="shared" ca="1" si="100"/>
        <v/>
      </c>
      <c r="AO121" s="75" t="str">
        <f t="shared" ca="1" si="100"/>
        <v/>
      </c>
      <c r="AP121" s="75" t="str">
        <f t="shared" ca="1" si="100"/>
        <v/>
      </c>
      <c r="AQ121" s="75" t="str">
        <f t="shared" ca="1" si="100"/>
        <v/>
      </c>
      <c r="AR121" s="75" t="str">
        <f t="shared" ca="1" si="100"/>
        <v/>
      </c>
      <c r="AS121" s="75" t="str">
        <f t="shared" ca="1" si="100"/>
        <v/>
      </c>
      <c r="AT121" s="75" t="str">
        <f t="shared" ca="1" si="100"/>
        <v/>
      </c>
      <c r="AU121" s="74" t="str">
        <f t="shared" ca="1" si="100"/>
        <v/>
      </c>
      <c r="AV121" s="74" t="str">
        <f t="shared" ca="1" si="100"/>
        <v/>
      </c>
      <c r="AW121" s="74" t="str">
        <f t="shared" ca="1" si="98"/>
        <v/>
      </c>
      <c r="AX121" s="74" t="str">
        <f t="shared" ca="1" si="98"/>
        <v/>
      </c>
      <c r="AY121" s="74" t="str">
        <f t="shared" ca="1" si="90"/>
        <v/>
      </c>
      <c r="AZ121" s="74" t="str">
        <f t="shared" ca="1" si="90"/>
        <v/>
      </c>
      <c r="BA121" s="74" t="str">
        <f t="shared" ca="1" si="90"/>
        <v/>
      </c>
      <c r="BB121" s="74" t="str">
        <f t="shared" ca="1" si="90"/>
        <v/>
      </c>
      <c r="BC121" s="74" t="str">
        <f t="shared" ca="1" si="90"/>
        <v/>
      </c>
      <c r="BD121" s="74" t="str">
        <f t="shared" ca="1" si="90"/>
        <v/>
      </c>
      <c r="BE121" s="74" t="str">
        <f t="shared" ca="1" si="90"/>
        <v/>
      </c>
      <c r="BF121" s="74" t="str">
        <f t="shared" ca="1" si="90"/>
        <v/>
      </c>
      <c r="BG121" s="74" t="str">
        <f t="shared" ca="1" si="90"/>
        <v/>
      </c>
      <c r="BH121" s="74" t="str">
        <f t="shared" ca="1" si="90"/>
        <v/>
      </c>
      <c r="BI121" s="74" t="str">
        <f t="shared" ca="1" si="90"/>
        <v/>
      </c>
      <c r="BJ121" s="74" t="str">
        <f t="shared" ca="1" si="90"/>
        <v/>
      </c>
      <c r="BK121" s="74" t="str">
        <f t="shared" ca="1" si="90"/>
        <v/>
      </c>
      <c r="BL121" s="74" t="str">
        <f t="shared" ca="1" si="90"/>
        <v/>
      </c>
      <c r="BM121" s="74" t="str">
        <f t="shared" ca="1" si="90"/>
        <v/>
      </c>
      <c r="BN121" s="75" t="str">
        <f t="shared" ca="1" si="90"/>
        <v/>
      </c>
      <c r="BO121" s="75" t="str">
        <f t="shared" ca="1" si="87"/>
        <v/>
      </c>
      <c r="BP121" s="75" t="str">
        <f t="shared" ca="1" si="87"/>
        <v/>
      </c>
      <c r="BQ121" s="75" t="str">
        <f t="shared" ca="1" si="87"/>
        <v/>
      </c>
      <c r="BR121" s="75" t="str">
        <f t="shared" ca="1" si="87"/>
        <v/>
      </c>
      <c r="BS121" s="75" t="str">
        <f t="shared" ca="1" si="87"/>
        <v/>
      </c>
      <c r="BT121" s="75" t="str">
        <f t="shared" ca="1" si="87"/>
        <v/>
      </c>
      <c r="BU121" s="75" t="str">
        <f t="shared" ca="1" si="87"/>
        <v/>
      </c>
      <c r="BV121" s="75" t="str">
        <f t="shared" ca="1" si="87"/>
        <v/>
      </c>
      <c r="BW121" s="75" t="str">
        <f t="shared" ca="1" si="87"/>
        <v/>
      </c>
      <c r="BX121" s="75" t="str">
        <f t="shared" ca="1" si="87"/>
        <v/>
      </c>
      <c r="BY121" s="75" t="str">
        <f t="shared" ca="1" si="87"/>
        <v/>
      </c>
      <c r="BZ121" s="75" t="str">
        <f t="shared" ca="1" si="87"/>
        <v/>
      </c>
      <c r="CA121" s="75" t="str">
        <f t="shared" ca="1" si="87"/>
        <v/>
      </c>
      <c r="CB121" s="75" t="str">
        <f t="shared" ca="1" si="87"/>
        <v/>
      </c>
      <c r="CC121" s="75" t="str">
        <f t="shared" ca="1" si="87"/>
        <v/>
      </c>
      <c r="CD121" s="75" t="str">
        <f t="shared" ca="1" si="87"/>
        <v/>
      </c>
      <c r="CE121" s="75" t="str">
        <f t="shared" ca="1" si="91"/>
        <v/>
      </c>
      <c r="CF121" s="75" t="str">
        <f t="shared" ca="1" si="91"/>
        <v/>
      </c>
      <c r="CG121" s="74" t="str">
        <f t="shared" ca="1" si="91"/>
        <v/>
      </c>
      <c r="CH121" s="74" t="str">
        <f t="shared" ca="1" si="91"/>
        <v/>
      </c>
      <c r="CI121" s="74" t="str">
        <f t="shared" ca="1" si="91"/>
        <v/>
      </c>
      <c r="CJ121" s="74" t="str">
        <f t="shared" ca="1" si="91"/>
        <v/>
      </c>
      <c r="CK121" s="74" t="str">
        <f t="shared" ca="1" si="91"/>
        <v/>
      </c>
      <c r="CL121" s="74" t="str">
        <f t="shared" ca="1" si="91"/>
        <v/>
      </c>
      <c r="CM121" s="74" t="str">
        <f t="shared" ca="1" si="91"/>
        <v/>
      </c>
      <c r="CN121" s="74" t="str">
        <f t="shared" ca="1" si="91"/>
        <v/>
      </c>
      <c r="CO121" s="74" t="str">
        <f t="shared" ca="1" si="91"/>
        <v/>
      </c>
      <c r="CP121" s="74" t="str">
        <f t="shared" ca="1" si="91"/>
        <v/>
      </c>
      <c r="CQ121" s="74" t="str">
        <f t="shared" ca="1" si="91"/>
        <v/>
      </c>
      <c r="CR121" s="74" t="str">
        <f t="shared" ca="1" si="91"/>
        <v/>
      </c>
      <c r="CS121" s="74" t="str">
        <f t="shared" ca="1" si="91"/>
        <v/>
      </c>
      <c r="CT121" s="74" t="str">
        <f t="shared" ca="1" si="91"/>
        <v/>
      </c>
      <c r="CU121" s="74" t="str">
        <f t="shared" ca="1" si="88"/>
        <v/>
      </c>
      <c r="CV121" s="74" t="str">
        <f t="shared" ca="1" si="88"/>
        <v/>
      </c>
      <c r="CW121" s="74" t="str">
        <f t="shared" ca="1" si="88"/>
        <v/>
      </c>
      <c r="CX121" s="74" t="str">
        <f t="shared" ca="1" si="88"/>
        <v/>
      </c>
      <c r="CY121" s="74" t="str">
        <f t="shared" ca="1" si="88"/>
        <v/>
      </c>
      <c r="CZ121" s="75" t="str">
        <f t="shared" ca="1" si="88"/>
        <v/>
      </c>
      <c r="DA121" s="75" t="str">
        <f t="shared" ca="1" si="88"/>
        <v/>
      </c>
      <c r="DB121" s="75" t="str">
        <f t="shared" ca="1" si="88"/>
        <v/>
      </c>
      <c r="DC121" s="75" t="str">
        <f t="shared" ca="1" si="88"/>
        <v/>
      </c>
      <c r="DD121" s="75" t="str">
        <f t="shared" ca="1" si="88"/>
        <v/>
      </c>
      <c r="DE121" s="75" t="str">
        <f t="shared" ca="1" si="88"/>
        <v/>
      </c>
      <c r="DF121" s="75" t="str">
        <f t="shared" ca="1" si="88"/>
        <v/>
      </c>
      <c r="DG121" s="75" t="str">
        <f t="shared" ca="1" si="88"/>
        <v/>
      </c>
      <c r="DH121" s="75" t="str">
        <f t="shared" ca="1" si="88"/>
        <v/>
      </c>
      <c r="DI121" s="75" t="str">
        <f t="shared" ca="1" si="88"/>
        <v/>
      </c>
      <c r="DJ121" s="75" t="str">
        <f t="shared" ca="1" si="88"/>
        <v/>
      </c>
      <c r="DK121" s="75" t="str">
        <f t="shared" ca="1" si="92"/>
        <v/>
      </c>
      <c r="DL121" s="75" t="str">
        <f t="shared" ca="1" si="92"/>
        <v/>
      </c>
      <c r="DM121" s="75" t="str">
        <f t="shared" ca="1" si="92"/>
        <v/>
      </c>
      <c r="DN121" s="75" t="str">
        <f t="shared" ca="1" si="92"/>
        <v/>
      </c>
      <c r="DO121" s="75" t="str">
        <f t="shared" ca="1" si="92"/>
        <v/>
      </c>
      <c r="DP121" s="75" t="str">
        <f t="shared" ca="1" si="92"/>
        <v/>
      </c>
      <c r="DQ121" s="75" t="str">
        <f t="shared" ca="1" si="92"/>
        <v/>
      </c>
      <c r="DR121" s="75" t="str">
        <f t="shared" ca="1" si="92"/>
        <v/>
      </c>
      <c r="DS121" s="74" t="str">
        <f t="shared" ca="1" si="92"/>
        <v/>
      </c>
      <c r="DT121" s="74" t="str">
        <f t="shared" ca="1" si="92"/>
        <v/>
      </c>
      <c r="DU121" s="74" t="str">
        <f t="shared" ca="1" si="92"/>
        <v/>
      </c>
      <c r="DV121" s="74" t="str">
        <f t="shared" ca="1" si="92"/>
        <v/>
      </c>
      <c r="DW121" s="74" t="str">
        <f t="shared" ca="1" si="92"/>
        <v/>
      </c>
      <c r="DX121" s="74" t="str">
        <f t="shared" ca="1" si="92"/>
        <v/>
      </c>
      <c r="DY121" s="74" t="str">
        <f t="shared" ca="1" si="92"/>
        <v/>
      </c>
      <c r="DZ121" s="74" t="str">
        <f t="shared" ca="1" si="92"/>
        <v/>
      </c>
      <c r="EA121" s="74" t="str">
        <f t="shared" ca="1" si="89"/>
        <v/>
      </c>
      <c r="EB121" s="74" t="str">
        <f t="shared" ca="1" si="89"/>
        <v/>
      </c>
      <c r="EC121" s="74" t="str">
        <f t="shared" ca="1" si="89"/>
        <v/>
      </c>
      <c r="ED121" s="74" t="str">
        <f t="shared" ca="1" si="89"/>
        <v/>
      </c>
      <c r="EE121" s="74" t="str">
        <f t="shared" ca="1" si="89"/>
        <v/>
      </c>
      <c r="EF121" s="74" t="str">
        <f t="shared" ca="1" si="89"/>
        <v/>
      </c>
      <c r="EG121" s="74" t="str">
        <f t="shared" ca="1" si="89"/>
        <v/>
      </c>
      <c r="EH121" s="74" t="str">
        <f t="shared" ca="1" si="89"/>
        <v/>
      </c>
      <c r="EI121" s="74" t="str">
        <f t="shared" ca="1" si="89"/>
        <v/>
      </c>
      <c r="EJ121" s="74" t="str">
        <f t="shared" ca="1" si="89"/>
        <v/>
      </c>
      <c r="EK121" s="75" t="str">
        <f t="shared" ca="1" si="89"/>
        <v/>
      </c>
      <c r="EL121" s="75" t="str">
        <f t="shared" ca="1" si="89"/>
        <v/>
      </c>
      <c r="EM121" s="75" t="str">
        <f t="shared" ca="1" si="89"/>
        <v/>
      </c>
      <c r="EN121" s="75" t="str">
        <f t="shared" ca="1" si="89"/>
        <v/>
      </c>
      <c r="EO121" s="75" t="str">
        <f t="shared" ca="1" si="89"/>
        <v/>
      </c>
      <c r="EP121" s="75" t="str">
        <f t="shared" ca="1" si="89"/>
        <v/>
      </c>
      <c r="EQ121" s="75" t="str">
        <f t="shared" ca="1" si="93"/>
        <v/>
      </c>
      <c r="ER121" s="75" t="str">
        <f t="shared" ca="1" si="93"/>
        <v/>
      </c>
      <c r="ES121" s="75" t="str">
        <f t="shared" ca="1" si="93"/>
        <v/>
      </c>
      <c r="ET121" s="75" t="str">
        <f t="shared" ca="1" si="93"/>
        <v/>
      </c>
      <c r="EU121" s="75" t="str">
        <f t="shared" ca="1" si="93"/>
        <v/>
      </c>
      <c r="EV121" s="75" t="str">
        <f t="shared" ca="1" si="93"/>
        <v/>
      </c>
      <c r="EW121" s="75" t="str">
        <f t="shared" ca="1" si="93"/>
        <v/>
      </c>
      <c r="EX121" s="75" t="str">
        <f t="shared" ca="1" si="93"/>
        <v/>
      </c>
      <c r="EY121" s="75" t="str">
        <f t="shared" ca="1" si="93"/>
        <v/>
      </c>
      <c r="EZ121" s="75" t="str">
        <f t="shared" ca="1" si="93"/>
        <v/>
      </c>
      <c r="FA121" s="75" t="str">
        <f t="shared" ca="1" si="93"/>
        <v/>
      </c>
      <c r="FB121" s="75" t="str">
        <f t="shared" ca="1" si="93"/>
        <v/>
      </c>
      <c r="FC121" s="76" t="str">
        <f t="shared" ca="1" si="93"/>
        <v/>
      </c>
      <c r="FD121" s="74" t="str">
        <f t="shared" ca="1" si="93"/>
        <v/>
      </c>
      <c r="FE121" s="74" t="str">
        <f t="shared" ca="1" si="93"/>
        <v/>
      </c>
      <c r="FF121" s="74" t="str">
        <f t="shared" ca="1" si="93"/>
        <v/>
      </c>
      <c r="FG121" s="74" t="str">
        <f t="shared" ca="1" si="101"/>
        <v/>
      </c>
      <c r="FH121" s="74" t="str">
        <f t="shared" ca="1" si="101"/>
        <v/>
      </c>
      <c r="FI121" s="74" t="str">
        <f t="shared" ca="1" si="101"/>
        <v/>
      </c>
      <c r="FJ121" s="74" t="str">
        <f t="shared" ca="1" si="101"/>
        <v/>
      </c>
      <c r="FK121" s="74" t="str">
        <f t="shared" ca="1" si="101"/>
        <v/>
      </c>
      <c r="FL121" s="74" t="str">
        <f t="shared" ca="1" si="101"/>
        <v/>
      </c>
      <c r="FM121" s="74" t="str">
        <f t="shared" ca="1" si="101"/>
        <v/>
      </c>
      <c r="FN121" s="74" t="str">
        <f t="shared" ca="1" si="101"/>
        <v/>
      </c>
      <c r="FO121" s="74" t="str">
        <f t="shared" ca="1" si="101"/>
        <v/>
      </c>
      <c r="FP121" s="74" t="str">
        <f t="shared" ca="1" si="101"/>
        <v/>
      </c>
      <c r="FQ121" s="74" t="str">
        <f t="shared" ca="1" si="101"/>
        <v/>
      </c>
      <c r="FR121" s="74" t="str">
        <f t="shared" ca="1" si="101"/>
        <v/>
      </c>
      <c r="FS121" s="74" t="str">
        <f t="shared" ca="1" si="101"/>
        <v/>
      </c>
      <c r="FT121" s="74" t="str">
        <f t="shared" ca="1" si="101"/>
        <v/>
      </c>
    </row>
    <row r="122" spans="1:176" x14ac:dyDescent="0.35">
      <c r="A122" s="74"/>
      <c r="B122" s="74" t="str">
        <f t="shared" ca="1" si="95"/>
        <v/>
      </c>
      <c r="C122" s="74" t="str">
        <f t="shared" ca="1" si="95"/>
        <v/>
      </c>
      <c r="D122" s="74" t="str">
        <f t="shared" ca="1" si="95"/>
        <v/>
      </c>
      <c r="E122" s="74" t="str">
        <f t="shared" ca="1" si="95"/>
        <v/>
      </c>
      <c r="F122" t="str">
        <f t="shared" ca="1" si="96"/>
        <v/>
      </c>
      <c r="G122" t="str">
        <f t="shared" ca="1" si="96"/>
        <v/>
      </c>
      <c r="H122" t="str">
        <f t="shared" ca="1" si="96"/>
        <v/>
      </c>
      <c r="I122" s="74" t="str">
        <f t="shared" ca="1" si="95"/>
        <v/>
      </c>
      <c r="J122" s="74" t="str">
        <f t="shared" ca="1" si="95"/>
        <v/>
      </c>
      <c r="K122" s="74" t="str">
        <f t="shared" ca="1" si="95"/>
        <v/>
      </c>
      <c r="L122" s="74" t="str">
        <f t="shared" ca="1" si="95"/>
        <v/>
      </c>
      <c r="M122" s="74" t="str">
        <f t="shared" ca="1" si="95"/>
        <v/>
      </c>
      <c r="N122" s="74" t="str">
        <f t="shared" ca="1" si="95"/>
        <v/>
      </c>
      <c r="O122" s="74" t="str">
        <f t="shared" ca="1" si="95"/>
        <v/>
      </c>
      <c r="P122" s="74" t="str">
        <f t="shared" ca="1" si="95"/>
        <v/>
      </c>
      <c r="Q122" s="74" t="str">
        <f t="shared" ca="1" si="95"/>
        <v/>
      </c>
      <c r="R122" s="74" t="str">
        <f t="shared" ca="1" si="97"/>
        <v/>
      </c>
      <c r="S122" s="74" t="str">
        <f t="shared" ca="1" si="97"/>
        <v/>
      </c>
      <c r="T122" s="74" t="str">
        <f t="shared" ca="1" si="99"/>
        <v/>
      </c>
      <c r="U122" s="74" t="str">
        <f t="shared" ca="1" si="99"/>
        <v/>
      </c>
      <c r="V122" s="74" t="str">
        <f t="shared" ca="1" si="99"/>
        <v/>
      </c>
      <c r="W122" s="74" t="str">
        <f t="shared" ca="1" si="99"/>
        <v/>
      </c>
      <c r="X122" s="74" t="str">
        <f t="shared" ca="1" si="99"/>
        <v/>
      </c>
      <c r="Y122" s="74" t="str">
        <f t="shared" ca="1" si="99"/>
        <v/>
      </c>
      <c r="Z122" s="74" t="str">
        <f t="shared" ca="1" si="99"/>
        <v/>
      </c>
      <c r="AA122" s="74" t="str">
        <f t="shared" ca="1" si="99"/>
        <v/>
      </c>
      <c r="AB122" s="75" t="str">
        <f t="shared" ca="1" si="99"/>
        <v/>
      </c>
      <c r="AC122" s="75" t="str">
        <f t="shared" ca="1" si="99"/>
        <v/>
      </c>
      <c r="AD122" s="75" t="str">
        <f t="shared" ca="1" si="99"/>
        <v/>
      </c>
      <c r="AE122" s="75" t="str">
        <f t="shared" ca="1" si="99"/>
        <v/>
      </c>
      <c r="AF122" s="75" t="str">
        <f t="shared" ca="1" si="99"/>
        <v/>
      </c>
      <c r="AG122" s="75" t="str">
        <f t="shared" ca="1" si="99"/>
        <v/>
      </c>
      <c r="AH122" s="75" t="str">
        <f t="shared" ca="1" si="99"/>
        <v/>
      </c>
      <c r="AI122" s="75" t="str">
        <f t="shared" ca="1" si="100"/>
        <v/>
      </c>
      <c r="AJ122" s="75" t="str">
        <f t="shared" ca="1" si="100"/>
        <v/>
      </c>
      <c r="AK122" s="75" t="str">
        <f t="shared" ca="1" si="100"/>
        <v/>
      </c>
      <c r="AL122" s="75" t="str">
        <f t="shared" ca="1" si="100"/>
        <v/>
      </c>
      <c r="AM122" s="75" t="str">
        <f t="shared" ca="1" si="100"/>
        <v/>
      </c>
      <c r="AN122" s="75" t="str">
        <f t="shared" ca="1" si="100"/>
        <v/>
      </c>
      <c r="AO122" s="75" t="str">
        <f t="shared" ca="1" si="100"/>
        <v/>
      </c>
      <c r="AP122" s="75" t="str">
        <f t="shared" ca="1" si="100"/>
        <v/>
      </c>
      <c r="AQ122" s="75" t="str">
        <f t="shared" ca="1" si="100"/>
        <v/>
      </c>
      <c r="AR122" s="75" t="str">
        <f t="shared" ca="1" si="100"/>
        <v/>
      </c>
      <c r="AS122" s="75" t="str">
        <f t="shared" ca="1" si="100"/>
        <v/>
      </c>
      <c r="AT122" s="75" t="str">
        <f t="shared" ca="1" si="100"/>
        <v/>
      </c>
      <c r="AU122" s="74" t="str">
        <f t="shared" ca="1" si="100"/>
        <v/>
      </c>
      <c r="AV122" s="74" t="str">
        <f t="shared" ca="1" si="100"/>
        <v/>
      </c>
      <c r="AW122" s="74" t="str">
        <f t="shared" ca="1" si="98"/>
        <v/>
      </c>
      <c r="AX122" s="74" t="str">
        <f t="shared" ca="1" si="98"/>
        <v/>
      </c>
      <c r="AY122" s="74" t="str">
        <f t="shared" ca="1" si="90"/>
        <v/>
      </c>
      <c r="AZ122" s="74" t="str">
        <f t="shared" ca="1" si="90"/>
        <v/>
      </c>
      <c r="BA122" s="74" t="str">
        <f t="shared" ca="1" si="90"/>
        <v/>
      </c>
      <c r="BB122" s="74" t="str">
        <f t="shared" ca="1" si="90"/>
        <v/>
      </c>
      <c r="BC122" s="74" t="str">
        <f t="shared" ca="1" si="90"/>
        <v/>
      </c>
      <c r="BD122" s="74" t="str">
        <f t="shared" ca="1" si="90"/>
        <v/>
      </c>
      <c r="BE122" s="74" t="str">
        <f t="shared" ca="1" si="90"/>
        <v/>
      </c>
      <c r="BF122" s="74" t="str">
        <f t="shared" ca="1" si="90"/>
        <v/>
      </c>
      <c r="BG122" s="74" t="str">
        <f t="shared" ca="1" si="90"/>
        <v/>
      </c>
      <c r="BH122" s="74" t="str">
        <f t="shared" ca="1" si="90"/>
        <v/>
      </c>
      <c r="BI122" s="74" t="str">
        <f t="shared" ca="1" si="90"/>
        <v/>
      </c>
      <c r="BJ122" s="74" t="str">
        <f t="shared" ca="1" si="90"/>
        <v/>
      </c>
      <c r="BK122" s="74" t="str">
        <f t="shared" ca="1" si="90"/>
        <v/>
      </c>
      <c r="BL122" s="74" t="str">
        <f t="shared" ca="1" si="90"/>
        <v/>
      </c>
      <c r="BM122" s="74" t="str">
        <f t="shared" ca="1" si="90"/>
        <v/>
      </c>
      <c r="BN122" s="75" t="str">
        <f t="shared" ca="1" si="90"/>
        <v/>
      </c>
      <c r="BO122" s="75" t="str">
        <f t="shared" ca="1" si="87"/>
        <v/>
      </c>
      <c r="BP122" s="75" t="str">
        <f t="shared" ca="1" si="87"/>
        <v/>
      </c>
      <c r="BQ122" s="75" t="str">
        <f t="shared" ca="1" si="87"/>
        <v/>
      </c>
      <c r="BR122" s="75" t="str">
        <f t="shared" ca="1" si="87"/>
        <v/>
      </c>
      <c r="BS122" s="75" t="str">
        <f t="shared" ca="1" si="87"/>
        <v/>
      </c>
      <c r="BT122" s="75" t="str">
        <f t="shared" ca="1" si="87"/>
        <v/>
      </c>
      <c r="BU122" s="75" t="str">
        <f t="shared" ca="1" si="87"/>
        <v/>
      </c>
      <c r="BV122" s="75" t="str">
        <f t="shared" ca="1" si="87"/>
        <v/>
      </c>
      <c r="BW122" s="75" t="str">
        <f t="shared" ca="1" si="87"/>
        <v/>
      </c>
      <c r="BX122" s="75" t="str">
        <f t="shared" ca="1" si="87"/>
        <v/>
      </c>
      <c r="BY122" s="75" t="str">
        <f t="shared" ca="1" si="87"/>
        <v/>
      </c>
      <c r="BZ122" s="75" t="str">
        <f t="shared" ca="1" si="87"/>
        <v/>
      </c>
      <c r="CA122" s="75" t="str">
        <f t="shared" ca="1" si="87"/>
        <v/>
      </c>
      <c r="CB122" s="75" t="str">
        <f t="shared" ca="1" si="87"/>
        <v/>
      </c>
      <c r="CC122" s="75" t="str">
        <f t="shared" ca="1" si="87"/>
        <v/>
      </c>
      <c r="CD122" s="75" t="str">
        <f t="shared" ca="1" si="87"/>
        <v/>
      </c>
      <c r="CE122" s="75" t="str">
        <f t="shared" ca="1" si="91"/>
        <v/>
      </c>
      <c r="CF122" s="75" t="str">
        <f t="shared" ca="1" si="91"/>
        <v/>
      </c>
      <c r="CG122" s="74" t="str">
        <f t="shared" ca="1" si="91"/>
        <v/>
      </c>
      <c r="CH122" s="74" t="str">
        <f t="shared" ca="1" si="91"/>
        <v/>
      </c>
      <c r="CI122" s="74" t="str">
        <f t="shared" ca="1" si="91"/>
        <v/>
      </c>
      <c r="CJ122" s="74" t="str">
        <f t="shared" ca="1" si="91"/>
        <v/>
      </c>
      <c r="CK122" s="74" t="str">
        <f t="shared" ca="1" si="91"/>
        <v/>
      </c>
      <c r="CL122" s="74" t="str">
        <f t="shared" ca="1" si="91"/>
        <v/>
      </c>
      <c r="CM122" s="74" t="str">
        <f t="shared" ca="1" si="91"/>
        <v/>
      </c>
      <c r="CN122" s="74" t="str">
        <f t="shared" ca="1" si="91"/>
        <v/>
      </c>
      <c r="CO122" s="74" t="str">
        <f t="shared" ca="1" si="91"/>
        <v/>
      </c>
      <c r="CP122" s="74" t="str">
        <f t="shared" ca="1" si="91"/>
        <v/>
      </c>
      <c r="CQ122" s="74" t="str">
        <f t="shared" ca="1" si="91"/>
        <v/>
      </c>
      <c r="CR122" s="74" t="str">
        <f t="shared" ca="1" si="91"/>
        <v/>
      </c>
      <c r="CS122" s="74" t="str">
        <f t="shared" ca="1" si="91"/>
        <v/>
      </c>
      <c r="CT122" s="74" t="str">
        <f t="shared" ca="1" si="91"/>
        <v/>
      </c>
      <c r="CU122" s="74" t="str">
        <f t="shared" ca="1" si="88"/>
        <v/>
      </c>
      <c r="CV122" s="74" t="str">
        <f t="shared" ca="1" si="88"/>
        <v/>
      </c>
      <c r="CW122" s="74" t="str">
        <f t="shared" ca="1" si="88"/>
        <v/>
      </c>
      <c r="CX122" s="74" t="str">
        <f t="shared" ca="1" si="88"/>
        <v/>
      </c>
      <c r="CY122" s="74" t="str">
        <f t="shared" ca="1" si="88"/>
        <v/>
      </c>
      <c r="CZ122" s="75" t="str">
        <f t="shared" ca="1" si="88"/>
        <v/>
      </c>
      <c r="DA122" s="75" t="str">
        <f t="shared" ca="1" si="88"/>
        <v/>
      </c>
      <c r="DB122" s="75" t="str">
        <f t="shared" ca="1" si="88"/>
        <v/>
      </c>
      <c r="DC122" s="75" t="str">
        <f t="shared" ca="1" si="88"/>
        <v/>
      </c>
      <c r="DD122" s="75" t="str">
        <f t="shared" ca="1" si="88"/>
        <v/>
      </c>
      <c r="DE122" s="75" t="str">
        <f t="shared" ca="1" si="88"/>
        <v/>
      </c>
      <c r="DF122" s="75" t="str">
        <f t="shared" ca="1" si="88"/>
        <v/>
      </c>
      <c r="DG122" s="75" t="str">
        <f t="shared" ca="1" si="88"/>
        <v/>
      </c>
      <c r="DH122" s="75" t="str">
        <f t="shared" ca="1" si="88"/>
        <v/>
      </c>
      <c r="DI122" s="75" t="str">
        <f t="shared" ca="1" si="88"/>
        <v/>
      </c>
      <c r="DJ122" s="75" t="str">
        <f t="shared" ca="1" si="88"/>
        <v/>
      </c>
      <c r="DK122" s="75" t="str">
        <f t="shared" ca="1" si="92"/>
        <v/>
      </c>
      <c r="DL122" s="75" t="str">
        <f t="shared" ca="1" si="92"/>
        <v/>
      </c>
      <c r="DM122" s="75" t="str">
        <f t="shared" ca="1" si="92"/>
        <v/>
      </c>
      <c r="DN122" s="75" t="str">
        <f t="shared" ca="1" si="92"/>
        <v/>
      </c>
      <c r="DO122" s="75" t="str">
        <f t="shared" ca="1" si="92"/>
        <v/>
      </c>
      <c r="DP122" s="75" t="str">
        <f t="shared" ca="1" si="92"/>
        <v/>
      </c>
      <c r="DQ122" s="75" t="str">
        <f t="shared" ca="1" si="92"/>
        <v/>
      </c>
      <c r="DR122" s="75" t="str">
        <f t="shared" ca="1" si="92"/>
        <v/>
      </c>
      <c r="DS122" s="74" t="str">
        <f t="shared" ca="1" si="92"/>
        <v/>
      </c>
      <c r="DT122" s="74" t="str">
        <f t="shared" ca="1" si="92"/>
        <v/>
      </c>
      <c r="DU122" s="74" t="str">
        <f t="shared" ca="1" si="92"/>
        <v/>
      </c>
      <c r="DV122" s="74" t="str">
        <f t="shared" ca="1" si="92"/>
        <v/>
      </c>
      <c r="DW122" s="74" t="str">
        <f t="shared" ca="1" si="92"/>
        <v/>
      </c>
      <c r="DX122" s="74" t="str">
        <f t="shared" ca="1" si="92"/>
        <v/>
      </c>
      <c r="DY122" s="74" t="str">
        <f t="shared" ca="1" si="92"/>
        <v/>
      </c>
      <c r="DZ122" s="74" t="str">
        <f t="shared" ca="1" si="92"/>
        <v/>
      </c>
      <c r="EA122" s="74" t="str">
        <f t="shared" ca="1" si="89"/>
        <v/>
      </c>
      <c r="EB122" s="74" t="str">
        <f t="shared" ca="1" si="89"/>
        <v/>
      </c>
      <c r="EC122" s="74" t="str">
        <f t="shared" ca="1" si="89"/>
        <v/>
      </c>
      <c r="ED122" s="74" t="str">
        <f t="shared" ca="1" si="89"/>
        <v/>
      </c>
      <c r="EE122" s="74" t="str">
        <f t="shared" ca="1" si="89"/>
        <v/>
      </c>
      <c r="EF122" s="74" t="str">
        <f t="shared" ca="1" si="89"/>
        <v/>
      </c>
      <c r="EG122" s="74" t="str">
        <f t="shared" ca="1" si="89"/>
        <v/>
      </c>
      <c r="EH122" s="74" t="str">
        <f t="shared" ca="1" si="89"/>
        <v/>
      </c>
      <c r="EI122" s="74" t="str">
        <f t="shared" ca="1" si="89"/>
        <v/>
      </c>
      <c r="EJ122" s="74" t="str">
        <f t="shared" ca="1" si="89"/>
        <v/>
      </c>
      <c r="EK122" s="75" t="str">
        <f t="shared" ca="1" si="89"/>
        <v/>
      </c>
      <c r="EL122" s="75" t="str">
        <f t="shared" ca="1" si="89"/>
        <v/>
      </c>
      <c r="EM122" s="75" t="str">
        <f t="shared" ca="1" si="89"/>
        <v/>
      </c>
      <c r="EN122" s="75" t="str">
        <f t="shared" ca="1" si="89"/>
        <v/>
      </c>
      <c r="EO122" s="75" t="str">
        <f t="shared" ca="1" si="89"/>
        <v/>
      </c>
      <c r="EP122" s="75" t="str">
        <f t="shared" ca="1" si="89"/>
        <v/>
      </c>
      <c r="EQ122" s="75" t="str">
        <f t="shared" ca="1" si="93"/>
        <v/>
      </c>
      <c r="ER122" s="75" t="str">
        <f t="shared" ca="1" si="93"/>
        <v/>
      </c>
      <c r="ES122" s="75" t="str">
        <f t="shared" ca="1" si="93"/>
        <v/>
      </c>
      <c r="ET122" s="75" t="str">
        <f t="shared" ca="1" si="93"/>
        <v/>
      </c>
      <c r="EU122" s="75" t="str">
        <f t="shared" ca="1" si="93"/>
        <v/>
      </c>
      <c r="EV122" s="75" t="str">
        <f t="shared" ca="1" si="93"/>
        <v/>
      </c>
      <c r="EW122" s="75" t="str">
        <f t="shared" ca="1" si="93"/>
        <v/>
      </c>
      <c r="EX122" s="75" t="str">
        <f t="shared" ca="1" si="93"/>
        <v/>
      </c>
      <c r="EY122" s="75" t="str">
        <f t="shared" ca="1" si="93"/>
        <v/>
      </c>
      <c r="EZ122" s="75" t="str">
        <f t="shared" ca="1" si="93"/>
        <v/>
      </c>
      <c r="FA122" s="75" t="str">
        <f t="shared" ca="1" si="93"/>
        <v/>
      </c>
      <c r="FB122" s="75" t="str">
        <f t="shared" ca="1" si="93"/>
        <v/>
      </c>
      <c r="FC122" s="76" t="str">
        <f t="shared" ca="1" si="93"/>
        <v/>
      </c>
      <c r="FD122" s="74" t="str">
        <f t="shared" ca="1" si="93"/>
        <v/>
      </c>
      <c r="FE122" s="74" t="str">
        <f t="shared" ca="1" si="93"/>
        <v/>
      </c>
      <c r="FF122" s="74" t="str">
        <f t="shared" ca="1" si="93"/>
        <v/>
      </c>
      <c r="FG122" s="74" t="str">
        <f t="shared" ca="1" si="101"/>
        <v/>
      </c>
      <c r="FH122" s="74" t="str">
        <f t="shared" ca="1" si="101"/>
        <v/>
      </c>
      <c r="FI122" s="74" t="str">
        <f t="shared" ca="1" si="101"/>
        <v/>
      </c>
      <c r="FJ122" s="74" t="str">
        <f t="shared" ca="1" si="101"/>
        <v/>
      </c>
      <c r="FK122" s="74" t="str">
        <f t="shared" ca="1" si="101"/>
        <v/>
      </c>
      <c r="FL122" s="74" t="str">
        <f t="shared" ca="1" si="101"/>
        <v/>
      </c>
      <c r="FM122" s="74" t="str">
        <f t="shared" ca="1" si="101"/>
        <v/>
      </c>
      <c r="FN122" s="74" t="str">
        <f t="shared" ca="1" si="101"/>
        <v/>
      </c>
      <c r="FO122" s="74" t="str">
        <f t="shared" ca="1" si="101"/>
        <v/>
      </c>
      <c r="FP122" s="74" t="str">
        <f t="shared" ca="1" si="101"/>
        <v/>
      </c>
      <c r="FQ122" s="74" t="str">
        <f t="shared" ca="1" si="101"/>
        <v/>
      </c>
      <c r="FR122" s="74" t="str">
        <f t="shared" ca="1" si="101"/>
        <v/>
      </c>
      <c r="FS122" s="74" t="str">
        <f t="shared" ca="1" si="101"/>
        <v/>
      </c>
      <c r="FT122" s="74" t="str">
        <f t="shared" ca="1" si="101"/>
        <v/>
      </c>
    </row>
    <row r="123" spans="1:176" x14ac:dyDescent="0.35">
      <c r="A123" s="74"/>
      <c r="B123" s="74" t="str">
        <f t="shared" ca="1" si="95"/>
        <v/>
      </c>
      <c r="C123" s="74" t="str">
        <f t="shared" ca="1" si="95"/>
        <v/>
      </c>
      <c r="D123" s="74" t="str">
        <f t="shared" ca="1" si="95"/>
        <v/>
      </c>
      <c r="E123" s="74" t="str">
        <f t="shared" ca="1" si="95"/>
        <v/>
      </c>
      <c r="F123" t="str">
        <f t="shared" ca="1" si="96"/>
        <v/>
      </c>
      <c r="G123" t="str">
        <f t="shared" ca="1" si="96"/>
        <v/>
      </c>
      <c r="H123" t="str">
        <f t="shared" ca="1" si="96"/>
        <v/>
      </c>
      <c r="I123" s="74" t="str">
        <f t="shared" ca="1" si="95"/>
        <v/>
      </c>
      <c r="J123" s="74" t="str">
        <f t="shared" ca="1" si="95"/>
        <v/>
      </c>
      <c r="K123" s="74" t="str">
        <f t="shared" ca="1" si="95"/>
        <v/>
      </c>
      <c r="L123" s="74" t="str">
        <f t="shared" ca="1" si="95"/>
        <v/>
      </c>
      <c r="M123" s="74" t="str">
        <f t="shared" ca="1" si="95"/>
        <v/>
      </c>
      <c r="N123" s="74" t="str">
        <f t="shared" ca="1" si="95"/>
        <v/>
      </c>
      <c r="O123" s="74" t="str">
        <f t="shared" ca="1" si="95"/>
        <v/>
      </c>
      <c r="P123" s="74" t="str">
        <f t="shared" ca="1" si="95"/>
        <v/>
      </c>
      <c r="Q123" s="74" t="str">
        <f t="shared" ca="1" si="95"/>
        <v/>
      </c>
      <c r="R123" s="74" t="str">
        <f t="shared" ca="1" si="97"/>
        <v/>
      </c>
      <c r="S123" s="74" t="str">
        <f t="shared" ca="1" si="97"/>
        <v/>
      </c>
      <c r="T123" s="74" t="str">
        <f t="shared" ca="1" si="99"/>
        <v/>
      </c>
      <c r="U123" s="74" t="str">
        <f t="shared" ca="1" si="99"/>
        <v/>
      </c>
      <c r="V123" s="74" t="str">
        <f t="shared" ca="1" si="99"/>
        <v/>
      </c>
      <c r="W123" s="74" t="str">
        <f t="shared" ca="1" si="99"/>
        <v/>
      </c>
      <c r="X123" s="74" t="str">
        <f t="shared" ca="1" si="99"/>
        <v/>
      </c>
      <c r="Y123" s="74" t="str">
        <f t="shared" ca="1" si="99"/>
        <v/>
      </c>
      <c r="Z123" s="74" t="str">
        <f t="shared" ca="1" si="99"/>
        <v/>
      </c>
      <c r="AA123" s="74" t="str">
        <f t="shared" ca="1" si="99"/>
        <v/>
      </c>
      <c r="AB123" s="75" t="str">
        <f t="shared" ca="1" si="99"/>
        <v/>
      </c>
      <c r="AC123" s="75" t="str">
        <f t="shared" ca="1" si="99"/>
        <v/>
      </c>
      <c r="AD123" s="75" t="str">
        <f t="shared" ca="1" si="99"/>
        <v/>
      </c>
      <c r="AE123" s="75" t="str">
        <f t="shared" ca="1" si="99"/>
        <v/>
      </c>
      <c r="AF123" s="75" t="str">
        <f t="shared" ca="1" si="99"/>
        <v/>
      </c>
      <c r="AG123" s="75" t="str">
        <f t="shared" ca="1" si="99"/>
        <v/>
      </c>
      <c r="AH123" s="75" t="str">
        <f t="shared" ca="1" si="99"/>
        <v/>
      </c>
      <c r="AI123" s="75" t="str">
        <f t="shared" ca="1" si="100"/>
        <v/>
      </c>
      <c r="AJ123" s="75" t="str">
        <f t="shared" ca="1" si="100"/>
        <v/>
      </c>
      <c r="AK123" s="75" t="str">
        <f t="shared" ca="1" si="100"/>
        <v/>
      </c>
      <c r="AL123" s="75" t="str">
        <f t="shared" ca="1" si="100"/>
        <v/>
      </c>
      <c r="AM123" s="75" t="str">
        <f t="shared" ca="1" si="100"/>
        <v/>
      </c>
      <c r="AN123" s="75" t="str">
        <f t="shared" ca="1" si="100"/>
        <v/>
      </c>
      <c r="AO123" s="75" t="str">
        <f t="shared" ca="1" si="100"/>
        <v/>
      </c>
      <c r="AP123" s="75" t="str">
        <f t="shared" ca="1" si="100"/>
        <v/>
      </c>
      <c r="AQ123" s="75" t="str">
        <f t="shared" ca="1" si="100"/>
        <v/>
      </c>
      <c r="AR123" s="75" t="str">
        <f t="shared" ca="1" si="100"/>
        <v/>
      </c>
      <c r="AS123" s="75" t="str">
        <f t="shared" ca="1" si="100"/>
        <v/>
      </c>
      <c r="AT123" s="75" t="str">
        <f t="shared" ca="1" si="100"/>
        <v/>
      </c>
      <c r="AU123" s="74" t="str">
        <f t="shared" ca="1" si="100"/>
        <v/>
      </c>
      <c r="AV123" s="74" t="str">
        <f t="shared" ca="1" si="100"/>
        <v/>
      </c>
      <c r="AW123" s="74" t="str">
        <f t="shared" ca="1" si="98"/>
        <v/>
      </c>
      <c r="AX123" s="74" t="str">
        <f t="shared" ca="1" si="98"/>
        <v/>
      </c>
      <c r="AY123" s="74" t="str">
        <f t="shared" ca="1" si="90"/>
        <v/>
      </c>
      <c r="AZ123" s="74" t="str">
        <f t="shared" ca="1" si="90"/>
        <v/>
      </c>
      <c r="BA123" s="74" t="str">
        <f t="shared" ca="1" si="90"/>
        <v/>
      </c>
      <c r="BB123" s="74" t="str">
        <f t="shared" ca="1" si="90"/>
        <v/>
      </c>
      <c r="BC123" s="74" t="str">
        <f t="shared" ca="1" si="90"/>
        <v/>
      </c>
      <c r="BD123" s="74" t="str">
        <f t="shared" ca="1" si="90"/>
        <v/>
      </c>
      <c r="BE123" s="74" t="str">
        <f t="shared" ca="1" si="90"/>
        <v/>
      </c>
      <c r="BF123" s="74" t="str">
        <f t="shared" ca="1" si="90"/>
        <v/>
      </c>
      <c r="BG123" s="74" t="str">
        <f t="shared" ca="1" si="90"/>
        <v/>
      </c>
      <c r="BH123" s="74" t="str">
        <f t="shared" ca="1" si="90"/>
        <v/>
      </c>
      <c r="BI123" s="74" t="str">
        <f t="shared" ca="1" si="90"/>
        <v/>
      </c>
      <c r="BJ123" s="74" t="str">
        <f t="shared" ca="1" si="90"/>
        <v/>
      </c>
      <c r="BK123" s="74" t="str">
        <f t="shared" ca="1" si="90"/>
        <v/>
      </c>
      <c r="BL123" s="74" t="str">
        <f t="shared" ca="1" si="90"/>
        <v/>
      </c>
      <c r="BM123" s="74" t="str">
        <f t="shared" ca="1" si="90"/>
        <v/>
      </c>
      <c r="BN123" s="75" t="str">
        <f t="shared" ca="1" si="90"/>
        <v/>
      </c>
      <c r="BO123" s="75" t="str">
        <f t="shared" ca="1" si="87"/>
        <v/>
      </c>
      <c r="BP123" s="75" t="str">
        <f t="shared" ca="1" si="87"/>
        <v/>
      </c>
      <c r="BQ123" s="75" t="str">
        <f t="shared" ca="1" si="87"/>
        <v/>
      </c>
      <c r="BR123" s="75" t="str">
        <f t="shared" ca="1" si="87"/>
        <v/>
      </c>
      <c r="BS123" s="75" t="str">
        <f t="shared" ca="1" si="87"/>
        <v/>
      </c>
      <c r="BT123" s="75" t="str">
        <f t="shared" ca="1" si="87"/>
        <v/>
      </c>
      <c r="BU123" s="75" t="str">
        <f t="shared" ca="1" si="87"/>
        <v/>
      </c>
      <c r="BV123" s="75" t="str">
        <f t="shared" ca="1" si="87"/>
        <v/>
      </c>
      <c r="BW123" s="75" t="str">
        <f t="shared" ca="1" si="87"/>
        <v/>
      </c>
      <c r="BX123" s="75" t="str">
        <f t="shared" ca="1" si="87"/>
        <v/>
      </c>
      <c r="BY123" s="75" t="str">
        <f t="shared" ca="1" si="87"/>
        <v/>
      </c>
      <c r="BZ123" s="75" t="str">
        <f t="shared" ca="1" si="87"/>
        <v/>
      </c>
      <c r="CA123" s="75" t="str">
        <f t="shared" ca="1" si="87"/>
        <v/>
      </c>
      <c r="CB123" s="75" t="str">
        <f t="shared" ca="1" si="87"/>
        <v/>
      </c>
      <c r="CC123" s="75" t="str">
        <f t="shared" ca="1" si="87"/>
        <v/>
      </c>
      <c r="CD123" s="75" t="str">
        <f t="shared" ca="1" si="87"/>
        <v/>
      </c>
      <c r="CE123" s="75" t="str">
        <f t="shared" ca="1" si="91"/>
        <v/>
      </c>
      <c r="CF123" s="75" t="str">
        <f t="shared" ca="1" si="91"/>
        <v/>
      </c>
      <c r="CG123" s="74" t="str">
        <f t="shared" ca="1" si="91"/>
        <v/>
      </c>
      <c r="CH123" s="74" t="str">
        <f t="shared" ca="1" si="91"/>
        <v/>
      </c>
      <c r="CI123" s="74" t="str">
        <f t="shared" ca="1" si="91"/>
        <v/>
      </c>
      <c r="CJ123" s="74" t="str">
        <f t="shared" ca="1" si="91"/>
        <v/>
      </c>
      <c r="CK123" s="74" t="str">
        <f t="shared" ca="1" si="91"/>
        <v/>
      </c>
      <c r="CL123" s="74" t="str">
        <f t="shared" ca="1" si="91"/>
        <v/>
      </c>
      <c r="CM123" s="74" t="str">
        <f t="shared" ca="1" si="91"/>
        <v/>
      </c>
      <c r="CN123" s="74" t="str">
        <f t="shared" ca="1" si="91"/>
        <v/>
      </c>
      <c r="CO123" s="74" t="str">
        <f t="shared" ca="1" si="91"/>
        <v/>
      </c>
      <c r="CP123" s="74" t="str">
        <f t="shared" ca="1" si="91"/>
        <v/>
      </c>
      <c r="CQ123" s="74" t="str">
        <f t="shared" ca="1" si="91"/>
        <v/>
      </c>
      <c r="CR123" s="74" t="str">
        <f t="shared" ca="1" si="91"/>
        <v/>
      </c>
      <c r="CS123" s="74" t="str">
        <f t="shared" ca="1" si="91"/>
        <v/>
      </c>
      <c r="CT123" s="74" t="str">
        <f t="shared" ca="1" si="91"/>
        <v/>
      </c>
      <c r="CU123" s="74" t="str">
        <f t="shared" ca="1" si="88"/>
        <v/>
      </c>
      <c r="CV123" s="74" t="str">
        <f t="shared" ca="1" si="88"/>
        <v/>
      </c>
      <c r="CW123" s="74" t="str">
        <f t="shared" ca="1" si="88"/>
        <v/>
      </c>
      <c r="CX123" s="74" t="str">
        <f t="shared" ca="1" si="88"/>
        <v/>
      </c>
      <c r="CY123" s="74" t="str">
        <f t="shared" ca="1" si="88"/>
        <v/>
      </c>
      <c r="CZ123" s="75" t="str">
        <f t="shared" ca="1" si="88"/>
        <v/>
      </c>
      <c r="DA123" s="75" t="str">
        <f t="shared" ca="1" si="88"/>
        <v/>
      </c>
      <c r="DB123" s="75" t="str">
        <f t="shared" ca="1" si="88"/>
        <v/>
      </c>
      <c r="DC123" s="75" t="str">
        <f t="shared" ca="1" si="88"/>
        <v/>
      </c>
      <c r="DD123" s="75" t="str">
        <f t="shared" ca="1" si="88"/>
        <v/>
      </c>
      <c r="DE123" s="75" t="str">
        <f t="shared" ca="1" si="88"/>
        <v/>
      </c>
      <c r="DF123" s="75" t="str">
        <f t="shared" ca="1" si="88"/>
        <v/>
      </c>
      <c r="DG123" s="75" t="str">
        <f t="shared" ca="1" si="88"/>
        <v/>
      </c>
      <c r="DH123" s="75" t="str">
        <f t="shared" ca="1" si="88"/>
        <v/>
      </c>
      <c r="DI123" s="75" t="str">
        <f t="shared" ca="1" si="88"/>
        <v/>
      </c>
      <c r="DJ123" s="75" t="str">
        <f t="shared" ca="1" si="88"/>
        <v/>
      </c>
      <c r="DK123" s="75" t="str">
        <f t="shared" ca="1" si="92"/>
        <v/>
      </c>
      <c r="DL123" s="75" t="str">
        <f t="shared" ca="1" si="92"/>
        <v/>
      </c>
      <c r="DM123" s="75" t="str">
        <f t="shared" ca="1" si="92"/>
        <v/>
      </c>
      <c r="DN123" s="75" t="str">
        <f t="shared" ca="1" si="92"/>
        <v/>
      </c>
      <c r="DO123" s="75" t="str">
        <f t="shared" ca="1" si="92"/>
        <v/>
      </c>
      <c r="DP123" s="75" t="str">
        <f t="shared" ca="1" si="92"/>
        <v/>
      </c>
      <c r="DQ123" s="75" t="str">
        <f t="shared" ca="1" si="92"/>
        <v/>
      </c>
      <c r="DR123" s="75" t="str">
        <f t="shared" ca="1" si="92"/>
        <v/>
      </c>
      <c r="DS123" s="74" t="str">
        <f t="shared" ca="1" si="92"/>
        <v/>
      </c>
      <c r="DT123" s="74" t="str">
        <f t="shared" ca="1" si="92"/>
        <v/>
      </c>
      <c r="DU123" s="74" t="str">
        <f t="shared" ca="1" si="92"/>
        <v/>
      </c>
      <c r="DV123" s="74" t="str">
        <f t="shared" ca="1" si="92"/>
        <v/>
      </c>
      <c r="DW123" s="74" t="str">
        <f t="shared" ca="1" si="92"/>
        <v/>
      </c>
      <c r="DX123" s="74" t="str">
        <f t="shared" ca="1" si="92"/>
        <v/>
      </c>
      <c r="DY123" s="74" t="str">
        <f t="shared" ca="1" si="92"/>
        <v/>
      </c>
      <c r="DZ123" s="74" t="str">
        <f t="shared" ca="1" si="92"/>
        <v/>
      </c>
      <c r="EA123" s="74" t="str">
        <f t="shared" ca="1" si="89"/>
        <v/>
      </c>
      <c r="EB123" s="74" t="str">
        <f t="shared" ca="1" si="89"/>
        <v/>
      </c>
      <c r="EC123" s="74" t="str">
        <f t="shared" ca="1" si="89"/>
        <v/>
      </c>
      <c r="ED123" s="74" t="str">
        <f t="shared" ca="1" si="89"/>
        <v/>
      </c>
      <c r="EE123" s="74" t="str">
        <f t="shared" ca="1" si="89"/>
        <v/>
      </c>
      <c r="EF123" s="74" t="str">
        <f t="shared" ca="1" si="89"/>
        <v/>
      </c>
      <c r="EG123" s="74" t="str">
        <f t="shared" ca="1" si="89"/>
        <v/>
      </c>
      <c r="EH123" s="74" t="str">
        <f t="shared" ca="1" si="89"/>
        <v/>
      </c>
      <c r="EI123" s="74" t="str">
        <f t="shared" ca="1" si="89"/>
        <v/>
      </c>
      <c r="EJ123" s="74" t="str">
        <f t="shared" ca="1" si="89"/>
        <v/>
      </c>
      <c r="EK123" s="75" t="str">
        <f t="shared" ca="1" si="89"/>
        <v/>
      </c>
      <c r="EL123" s="75" t="str">
        <f t="shared" ca="1" si="89"/>
        <v/>
      </c>
      <c r="EM123" s="75" t="str">
        <f t="shared" ca="1" si="89"/>
        <v/>
      </c>
      <c r="EN123" s="75" t="str">
        <f t="shared" ca="1" si="89"/>
        <v/>
      </c>
      <c r="EO123" s="75" t="str">
        <f t="shared" ca="1" si="89"/>
        <v/>
      </c>
      <c r="EP123" s="75" t="str">
        <f t="shared" ca="1" si="89"/>
        <v/>
      </c>
      <c r="EQ123" s="75" t="str">
        <f t="shared" ca="1" si="93"/>
        <v/>
      </c>
      <c r="ER123" s="75" t="str">
        <f t="shared" ca="1" si="93"/>
        <v/>
      </c>
      <c r="ES123" s="75" t="str">
        <f t="shared" ca="1" si="93"/>
        <v/>
      </c>
      <c r="ET123" s="75" t="str">
        <f t="shared" ca="1" si="93"/>
        <v/>
      </c>
      <c r="EU123" s="75" t="str">
        <f t="shared" ca="1" si="93"/>
        <v/>
      </c>
      <c r="EV123" s="75" t="str">
        <f t="shared" ca="1" si="93"/>
        <v/>
      </c>
      <c r="EW123" s="75" t="str">
        <f t="shared" ca="1" si="93"/>
        <v/>
      </c>
      <c r="EX123" s="75" t="str">
        <f t="shared" ca="1" si="93"/>
        <v/>
      </c>
      <c r="EY123" s="75" t="str">
        <f t="shared" ca="1" si="93"/>
        <v/>
      </c>
      <c r="EZ123" s="75" t="str">
        <f t="shared" ca="1" si="93"/>
        <v/>
      </c>
      <c r="FA123" s="75" t="str">
        <f t="shared" ca="1" si="93"/>
        <v/>
      </c>
      <c r="FB123" s="75" t="str">
        <f t="shared" ca="1" si="93"/>
        <v/>
      </c>
      <c r="FC123" s="76" t="str">
        <f t="shared" ca="1" si="93"/>
        <v/>
      </c>
      <c r="FD123" s="74" t="str">
        <f t="shared" ca="1" si="93"/>
        <v/>
      </c>
      <c r="FE123" s="74" t="str">
        <f t="shared" ca="1" si="93"/>
        <v/>
      </c>
      <c r="FF123" s="74" t="str">
        <f t="shared" ca="1" si="93"/>
        <v/>
      </c>
      <c r="FG123" s="74" t="str">
        <f t="shared" ca="1" si="101"/>
        <v/>
      </c>
      <c r="FH123" s="74" t="str">
        <f t="shared" ca="1" si="101"/>
        <v/>
      </c>
      <c r="FI123" s="74" t="str">
        <f t="shared" ca="1" si="101"/>
        <v/>
      </c>
      <c r="FJ123" s="74" t="str">
        <f t="shared" ca="1" si="101"/>
        <v/>
      </c>
      <c r="FK123" s="74" t="str">
        <f t="shared" ca="1" si="101"/>
        <v/>
      </c>
      <c r="FL123" s="74" t="str">
        <f t="shared" ca="1" si="101"/>
        <v/>
      </c>
      <c r="FM123" s="74" t="str">
        <f t="shared" ca="1" si="101"/>
        <v/>
      </c>
      <c r="FN123" s="74" t="str">
        <f t="shared" ca="1" si="101"/>
        <v/>
      </c>
      <c r="FO123" s="74" t="str">
        <f t="shared" ca="1" si="101"/>
        <v/>
      </c>
      <c r="FP123" s="74" t="str">
        <f t="shared" ca="1" si="101"/>
        <v/>
      </c>
      <c r="FQ123" s="74" t="str">
        <f t="shared" ca="1" si="101"/>
        <v/>
      </c>
      <c r="FR123" s="74" t="str">
        <f t="shared" ca="1" si="101"/>
        <v/>
      </c>
      <c r="FS123" s="74" t="str">
        <f t="shared" ca="1" si="101"/>
        <v/>
      </c>
      <c r="FT123" s="74" t="str">
        <f t="shared" ca="1" si="101"/>
        <v/>
      </c>
    </row>
    <row r="124" spans="1:176" x14ac:dyDescent="0.35">
      <c r="A124" s="74"/>
      <c r="B124" s="74" t="str">
        <f t="shared" ca="1" si="95"/>
        <v/>
      </c>
      <c r="C124" s="74" t="str">
        <f t="shared" ca="1" si="95"/>
        <v/>
      </c>
      <c r="D124" s="74" t="str">
        <f t="shared" ca="1" si="95"/>
        <v/>
      </c>
      <c r="E124" s="74" t="str">
        <f t="shared" ca="1" si="95"/>
        <v/>
      </c>
      <c r="F124" t="str">
        <f t="shared" ca="1" si="96"/>
        <v/>
      </c>
      <c r="G124" t="str">
        <f t="shared" ca="1" si="96"/>
        <v/>
      </c>
      <c r="H124" t="str">
        <f t="shared" ca="1" si="96"/>
        <v/>
      </c>
      <c r="I124" s="74" t="str">
        <f t="shared" ca="1" si="95"/>
        <v/>
      </c>
      <c r="J124" s="74" t="str">
        <f t="shared" ca="1" si="95"/>
        <v/>
      </c>
      <c r="K124" s="74" t="str">
        <f t="shared" ca="1" si="95"/>
        <v/>
      </c>
      <c r="L124" s="74" t="str">
        <f t="shared" ca="1" si="95"/>
        <v/>
      </c>
      <c r="M124" s="74" t="str">
        <f t="shared" ca="1" si="95"/>
        <v/>
      </c>
      <c r="N124" s="74" t="str">
        <f t="shared" ca="1" si="95"/>
        <v/>
      </c>
      <c r="O124" s="74" t="str">
        <f t="shared" ca="1" si="95"/>
        <v/>
      </c>
      <c r="P124" s="74" t="str">
        <f t="shared" ca="1" si="95"/>
        <v/>
      </c>
      <c r="Q124" s="74" t="str">
        <f t="shared" ca="1" si="95"/>
        <v/>
      </c>
      <c r="R124" s="74" t="str">
        <f t="shared" ca="1" si="97"/>
        <v/>
      </c>
      <c r="S124" s="74" t="str">
        <f t="shared" ca="1" si="97"/>
        <v/>
      </c>
      <c r="T124" s="74" t="str">
        <f t="shared" ca="1" si="99"/>
        <v/>
      </c>
      <c r="U124" s="74" t="str">
        <f t="shared" ca="1" si="99"/>
        <v/>
      </c>
      <c r="V124" s="74" t="str">
        <f t="shared" ca="1" si="99"/>
        <v/>
      </c>
      <c r="W124" s="74" t="str">
        <f t="shared" ca="1" si="99"/>
        <v/>
      </c>
      <c r="X124" s="74" t="str">
        <f t="shared" ca="1" si="99"/>
        <v/>
      </c>
      <c r="Y124" s="74" t="str">
        <f t="shared" ca="1" si="99"/>
        <v/>
      </c>
      <c r="Z124" s="74" t="str">
        <f t="shared" ca="1" si="99"/>
        <v/>
      </c>
      <c r="AA124" s="74" t="str">
        <f t="shared" ca="1" si="99"/>
        <v/>
      </c>
      <c r="AB124" s="75" t="str">
        <f t="shared" ca="1" si="99"/>
        <v/>
      </c>
      <c r="AC124" s="75" t="str">
        <f t="shared" ca="1" si="99"/>
        <v/>
      </c>
      <c r="AD124" s="75" t="str">
        <f t="shared" ca="1" si="99"/>
        <v/>
      </c>
      <c r="AE124" s="75" t="str">
        <f t="shared" ca="1" si="99"/>
        <v/>
      </c>
      <c r="AF124" s="75" t="str">
        <f t="shared" ca="1" si="99"/>
        <v/>
      </c>
      <c r="AG124" s="75" t="str">
        <f t="shared" ca="1" si="99"/>
        <v/>
      </c>
      <c r="AH124" s="75" t="str">
        <f t="shared" ca="1" si="99"/>
        <v/>
      </c>
      <c r="AI124" s="75" t="str">
        <f t="shared" ca="1" si="100"/>
        <v/>
      </c>
      <c r="AJ124" s="75" t="str">
        <f t="shared" ca="1" si="100"/>
        <v/>
      </c>
      <c r="AK124" s="75" t="str">
        <f t="shared" ca="1" si="100"/>
        <v/>
      </c>
      <c r="AL124" s="75" t="str">
        <f t="shared" ca="1" si="100"/>
        <v/>
      </c>
      <c r="AM124" s="75" t="str">
        <f t="shared" ca="1" si="100"/>
        <v/>
      </c>
      <c r="AN124" s="75" t="str">
        <f t="shared" ca="1" si="100"/>
        <v/>
      </c>
      <c r="AO124" s="75" t="str">
        <f t="shared" ca="1" si="100"/>
        <v/>
      </c>
      <c r="AP124" s="75" t="str">
        <f t="shared" ca="1" si="100"/>
        <v/>
      </c>
      <c r="AQ124" s="75" t="str">
        <f t="shared" ca="1" si="100"/>
        <v/>
      </c>
      <c r="AR124" s="75" t="str">
        <f t="shared" ca="1" si="100"/>
        <v/>
      </c>
      <c r="AS124" s="75" t="str">
        <f t="shared" ca="1" si="100"/>
        <v/>
      </c>
      <c r="AT124" s="75" t="str">
        <f t="shared" ca="1" si="100"/>
        <v/>
      </c>
      <c r="AU124" s="74" t="str">
        <f t="shared" ca="1" si="100"/>
        <v/>
      </c>
      <c r="AV124" s="74" t="str">
        <f t="shared" ca="1" si="100"/>
        <v/>
      </c>
      <c r="AW124" s="74" t="str">
        <f t="shared" ca="1" si="98"/>
        <v/>
      </c>
      <c r="AX124" s="74" t="str">
        <f t="shared" ca="1" si="98"/>
        <v/>
      </c>
      <c r="AY124" s="74" t="str">
        <f t="shared" ca="1" si="90"/>
        <v/>
      </c>
      <c r="AZ124" s="74" t="str">
        <f t="shared" ca="1" si="90"/>
        <v/>
      </c>
      <c r="BA124" s="74" t="str">
        <f t="shared" ca="1" si="90"/>
        <v/>
      </c>
      <c r="BB124" s="74" t="str">
        <f t="shared" ca="1" si="90"/>
        <v/>
      </c>
      <c r="BC124" s="74" t="str">
        <f t="shared" ca="1" si="90"/>
        <v/>
      </c>
      <c r="BD124" s="74" t="str">
        <f t="shared" ca="1" si="90"/>
        <v/>
      </c>
      <c r="BE124" s="74" t="str">
        <f t="shared" ca="1" si="90"/>
        <v/>
      </c>
      <c r="BF124" s="74" t="str">
        <f t="shared" ca="1" si="90"/>
        <v/>
      </c>
      <c r="BG124" s="74" t="str">
        <f t="shared" ca="1" si="90"/>
        <v/>
      </c>
      <c r="BH124" s="74" t="str">
        <f t="shared" ca="1" si="90"/>
        <v/>
      </c>
      <c r="BI124" s="74" t="str">
        <f t="shared" ca="1" si="90"/>
        <v/>
      </c>
      <c r="BJ124" s="74" t="str">
        <f t="shared" ca="1" si="90"/>
        <v/>
      </c>
      <c r="BK124" s="74" t="str">
        <f t="shared" ca="1" si="90"/>
        <v/>
      </c>
      <c r="BL124" s="74" t="str">
        <f t="shared" ca="1" si="90"/>
        <v/>
      </c>
      <c r="BM124" s="74" t="str">
        <f t="shared" ca="1" si="90"/>
        <v/>
      </c>
      <c r="BN124" s="75" t="str">
        <f t="shared" ca="1" si="90"/>
        <v/>
      </c>
      <c r="BO124" s="75" t="str">
        <f t="shared" ca="1" si="87"/>
        <v/>
      </c>
      <c r="BP124" s="75" t="str">
        <f t="shared" ca="1" si="87"/>
        <v/>
      </c>
      <c r="BQ124" s="75" t="str">
        <f t="shared" ca="1" si="87"/>
        <v/>
      </c>
      <c r="BR124" s="75" t="str">
        <f t="shared" ca="1" si="87"/>
        <v/>
      </c>
      <c r="BS124" s="75" t="str">
        <f t="shared" ca="1" si="87"/>
        <v/>
      </c>
      <c r="BT124" s="75" t="str">
        <f t="shared" ca="1" si="87"/>
        <v/>
      </c>
      <c r="BU124" s="75" t="str">
        <f t="shared" ca="1" si="87"/>
        <v/>
      </c>
      <c r="BV124" s="75" t="str">
        <f t="shared" ca="1" si="87"/>
        <v/>
      </c>
      <c r="BW124" s="75" t="str">
        <f t="shared" ca="1" si="87"/>
        <v/>
      </c>
      <c r="BX124" s="75" t="str">
        <f t="shared" ca="1" si="87"/>
        <v/>
      </c>
      <c r="BY124" s="75" t="str">
        <f t="shared" ca="1" si="87"/>
        <v/>
      </c>
      <c r="BZ124" s="75" t="str">
        <f t="shared" ca="1" si="87"/>
        <v/>
      </c>
      <c r="CA124" s="75" t="str">
        <f t="shared" ca="1" si="87"/>
        <v/>
      </c>
      <c r="CB124" s="75" t="str">
        <f t="shared" ca="1" si="87"/>
        <v/>
      </c>
      <c r="CC124" s="75" t="str">
        <f t="shared" ca="1" si="87"/>
        <v/>
      </c>
      <c r="CD124" s="75" t="str">
        <f t="shared" ca="1" si="87"/>
        <v/>
      </c>
      <c r="CE124" s="75" t="str">
        <f t="shared" ca="1" si="91"/>
        <v/>
      </c>
      <c r="CF124" s="75" t="str">
        <f t="shared" ca="1" si="91"/>
        <v/>
      </c>
      <c r="CG124" s="74" t="str">
        <f t="shared" ca="1" si="91"/>
        <v/>
      </c>
      <c r="CH124" s="74" t="str">
        <f t="shared" ca="1" si="91"/>
        <v/>
      </c>
      <c r="CI124" s="74" t="str">
        <f t="shared" ca="1" si="91"/>
        <v/>
      </c>
      <c r="CJ124" s="74" t="str">
        <f t="shared" ca="1" si="91"/>
        <v/>
      </c>
      <c r="CK124" s="74" t="str">
        <f t="shared" ca="1" si="91"/>
        <v/>
      </c>
      <c r="CL124" s="74" t="str">
        <f t="shared" ca="1" si="91"/>
        <v/>
      </c>
      <c r="CM124" s="74" t="str">
        <f t="shared" ca="1" si="91"/>
        <v/>
      </c>
      <c r="CN124" s="74" t="str">
        <f t="shared" ca="1" si="91"/>
        <v/>
      </c>
      <c r="CO124" s="74" t="str">
        <f t="shared" ca="1" si="91"/>
        <v/>
      </c>
      <c r="CP124" s="74" t="str">
        <f t="shared" ca="1" si="91"/>
        <v/>
      </c>
      <c r="CQ124" s="74" t="str">
        <f t="shared" ca="1" si="91"/>
        <v/>
      </c>
      <c r="CR124" s="74" t="str">
        <f t="shared" ca="1" si="91"/>
        <v/>
      </c>
      <c r="CS124" s="74" t="str">
        <f t="shared" ca="1" si="91"/>
        <v/>
      </c>
      <c r="CT124" s="74" t="str">
        <f t="shared" ca="1" si="91"/>
        <v/>
      </c>
      <c r="CU124" s="74" t="str">
        <f t="shared" ca="1" si="88"/>
        <v/>
      </c>
      <c r="CV124" s="74" t="str">
        <f t="shared" ca="1" si="88"/>
        <v/>
      </c>
      <c r="CW124" s="74" t="str">
        <f t="shared" ca="1" si="88"/>
        <v/>
      </c>
      <c r="CX124" s="74" t="str">
        <f t="shared" ca="1" si="88"/>
        <v/>
      </c>
      <c r="CY124" s="74" t="str">
        <f t="shared" ca="1" si="88"/>
        <v/>
      </c>
      <c r="CZ124" s="75" t="str">
        <f t="shared" ca="1" si="88"/>
        <v/>
      </c>
      <c r="DA124" s="75" t="str">
        <f t="shared" ca="1" si="88"/>
        <v/>
      </c>
      <c r="DB124" s="75" t="str">
        <f t="shared" ca="1" si="88"/>
        <v/>
      </c>
      <c r="DC124" s="75" t="str">
        <f t="shared" ca="1" si="88"/>
        <v/>
      </c>
      <c r="DD124" s="75" t="str">
        <f t="shared" ca="1" si="88"/>
        <v/>
      </c>
      <c r="DE124" s="75" t="str">
        <f t="shared" ca="1" si="88"/>
        <v/>
      </c>
      <c r="DF124" s="75" t="str">
        <f t="shared" ca="1" si="88"/>
        <v/>
      </c>
      <c r="DG124" s="75" t="str">
        <f t="shared" ca="1" si="88"/>
        <v/>
      </c>
      <c r="DH124" s="75" t="str">
        <f t="shared" ca="1" si="88"/>
        <v/>
      </c>
      <c r="DI124" s="75" t="str">
        <f t="shared" ca="1" si="88"/>
        <v/>
      </c>
      <c r="DJ124" s="75" t="str">
        <f t="shared" ca="1" si="88"/>
        <v/>
      </c>
      <c r="DK124" s="75" t="str">
        <f t="shared" ca="1" si="92"/>
        <v/>
      </c>
      <c r="DL124" s="75" t="str">
        <f t="shared" ca="1" si="92"/>
        <v/>
      </c>
      <c r="DM124" s="75" t="str">
        <f t="shared" ca="1" si="92"/>
        <v/>
      </c>
      <c r="DN124" s="75" t="str">
        <f t="shared" ca="1" si="92"/>
        <v/>
      </c>
      <c r="DO124" s="75" t="str">
        <f t="shared" ca="1" si="92"/>
        <v/>
      </c>
      <c r="DP124" s="75" t="str">
        <f t="shared" ca="1" si="92"/>
        <v/>
      </c>
      <c r="DQ124" s="75" t="str">
        <f t="shared" ca="1" si="92"/>
        <v/>
      </c>
      <c r="DR124" s="75" t="str">
        <f t="shared" ca="1" si="92"/>
        <v/>
      </c>
      <c r="DS124" s="74" t="str">
        <f t="shared" ca="1" si="92"/>
        <v/>
      </c>
      <c r="DT124" s="74" t="str">
        <f t="shared" ca="1" si="92"/>
        <v/>
      </c>
      <c r="DU124" s="74" t="str">
        <f t="shared" ca="1" si="92"/>
        <v/>
      </c>
      <c r="DV124" s="74" t="str">
        <f t="shared" ca="1" si="92"/>
        <v/>
      </c>
      <c r="DW124" s="74" t="str">
        <f t="shared" ca="1" si="92"/>
        <v/>
      </c>
      <c r="DX124" s="74" t="str">
        <f t="shared" ca="1" si="92"/>
        <v/>
      </c>
      <c r="DY124" s="74" t="str">
        <f t="shared" ca="1" si="92"/>
        <v/>
      </c>
      <c r="DZ124" s="74" t="str">
        <f t="shared" ca="1" si="92"/>
        <v/>
      </c>
      <c r="EA124" s="74" t="str">
        <f t="shared" ca="1" si="89"/>
        <v/>
      </c>
      <c r="EB124" s="74" t="str">
        <f t="shared" ca="1" si="89"/>
        <v/>
      </c>
      <c r="EC124" s="74" t="str">
        <f t="shared" ca="1" si="89"/>
        <v/>
      </c>
      <c r="ED124" s="74" t="str">
        <f t="shared" ca="1" si="89"/>
        <v/>
      </c>
      <c r="EE124" s="74" t="str">
        <f t="shared" ca="1" si="89"/>
        <v/>
      </c>
      <c r="EF124" s="74" t="str">
        <f t="shared" ca="1" si="89"/>
        <v/>
      </c>
      <c r="EG124" s="74" t="str">
        <f t="shared" ca="1" si="89"/>
        <v/>
      </c>
      <c r="EH124" s="74" t="str">
        <f t="shared" ca="1" si="89"/>
        <v/>
      </c>
      <c r="EI124" s="74" t="str">
        <f t="shared" ca="1" si="89"/>
        <v/>
      </c>
      <c r="EJ124" s="74" t="str">
        <f t="shared" ca="1" si="89"/>
        <v/>
      </c>
      <c r="EK124" s="75" t="str">
        <f t="shared" ca="1" si="89"/>
        <v/>
      </c>
      <c r="EL124" s="75" t="str">
        <f t="shared" ca="1" si="89"/>
        <v/>
      </c>
      <c r="EM124" s="75" t="str">
        <f t="shared" ca="1" si="89"/>
        <v/>
      </c>
      <c r="EN124" s="75" t="str">
        <f t="shared" ca="1" si="89"/>
        <v/>
      </c>
      <c r="EO124" s="75" t="str">
        <f t="shared" ca="1" si="89"/>
        <v/>
      </c>
      <c r="EP124" s="75" t="str">
        <f t="shared" ca="1" si="89"/>
        <v/>
      </c>
      <c r="EQ124" s="75" t="str">
        <f t="shared" ca="1" si="93"/>
        <v/>
      </c>
      <c r="ER124" s="75" t="str">
        <f t="shared" ca="1" si="93"/>
        <v/>
      </c>
      <c r="ES124" s="75" t="str">
        <f t="shared" ca="1" si="93"/>
        <v/>
      </c>
      <c r="ET124" s="75" t="str">
        <f t="shared" ca="1" si="93"/>
        <v/>
      </c>
      <c r="EU124" s="75" t="str">
        <f t="shared" ca="1" si="93"/>
        <v/>
      </c>
      <c r="EV124" s="75" t="str">
        <f t="shared" ca="1" si="93"/>
        <v/>
      </c>
      <c r="EW124" s="75" t="str">
        <f t="shared" ca="1" si="93"/>
        <v/>
      </c>
      <c r="EX124" s="75" t="str">
        <f t="shared" ca="1" si="93"/>
        <v/>
      </c>
      <c r="EY124" s="75" t="str">
        <f t="shared" ca="1" si="93"/>
        <v/>
      </c>
      <c r="EZ124" s="75" t="str">
        <f t="shared" ca="1" si="93"/>
        <v/>
      </c>
      <c r="FA124" s="75" t="str">
        <f t="shared" ca="1" si="93"/>
        <v/>
      </c>
      <c r="FB124" s="75" t="str">
        <f t="shared" ca="1" si="93"/>
        <v/>
      </c>
      <c r="FC124" s="76" t="str">
        <f t="shared" ca="1" si="93"/>
        <v/>
      </c>
      <c r="FD124" s="74" t="str">
        <f t="shared" ca="1" si="93"/>
        <v/>
      </c>
      <c r="FE124" s="74" t="str">
        <f t="shared" ca="1" si="93"/>
        <v/>
      </c>
      <c r="FF124" s="74" t="str">
        <f t="shared" ca="1" si="93"/>
        <v/>
      </c>
      <c r="FG124" s="74" t="str">
        <f t="shared" ca="1" si="101"/>
        <v/>
      </c>
      <c r="FH124" s="74" t="str">
        <f t="shared" ca="1" si="101"/>
        <v/>
      </c>
      <c r="FI124" s="74" t="str">
        <f t="shared" ca="1" si="101"/>
        <v/>
      </c>
      <c r="FJ124" s="74" t="str">
        <f t="shared" ca="1" si="101"/>
        <v/>
      </c>
      <c r="FK124" s="74" t="str">
        <f t="shared" ca="1" si="101"/>
        <v/>
      </c>
      <c r="FL124" s="74" t="str">
        <f t="shared" ca="1" si="101"/>
        <v/>
      </c>
      <c r="FM124" s="74" t="str">
        <f t="shared" ca="1" si="101"/>
        <v/>
      </c>
      <c r="FN124" s="74" t="str">
        <f t="shared" ca="1" si="101"/>
        <v/>
      </c>
      <c r="FO124" s="74" t="str">
        <f t="shared" ca="1" si="101"/>
        <v/>
      </c>
      <c r="FP124" s="74" t="str">
        <f t="shared" ca="1" si="101"/>
        <v/>
      </c>
      <c r="FQ124" s="74" t="str">
        <f t="shared" ca="1" si="101"/>
        <v/>
      </c>
      <c r="FR124" s="74" t="str">
        <f t="shared" ca="1" si="101"/>
        <v/>
      </c>
      <c r="FS124" s="74" t="str">
        <f t="shared" ca="1" si="101"/>
        <v/>
      </c>
      <c r="FT124" s="74" t="str">
        <f t="shared" ca="1" si="101"/>
        <v/>
      </c>
    </row>
    <row r="125" spans="1:176" x14ac:dyDescent="0.35">
      <c r="A125" s="74"/>
      <c r="B125" s="74" t="str">
        <f t="shared" ca="1" si="95"/>
        <v/>
      </c>
      <c r="C125" s="74" t="str">
        <f t="shared" ca="1" si="95"/>
        <v/>
      </c>
      <c r="D125" s="74" t="str">
        <f t="shared" ca="1" si="95"/>
        <v/>
      </c>
      <c r="E125" s="74" t="str">
        <f t="shared" ca="1" si="95"/>
        <v/>
      </c>
      <c r="F125" t="str">
        <f t="shared" ca="1" si="96"/>
        <v/>
      </c>
      <c r="G125" t="str">
        <f t="shared" ca="1" si="96"/>
        <v/>
      </c>
      <c r="H125" t="str">
        <f t="shared" ca="1" si="96"/>
        <v/>
      </c>
      <c r="I125" s="74" t="str">
        <f t="shared" ca="1" si="95"/>
        <v/>
      </c>
      <c r="J125" s="74" t="str">
        <f t="shared" ca="1" si="95"/>
        <v/>
      </c>
      <c r="K125" s="74" t="str">
        <f t="shared" ca="1" si="95"/>
        <v/>
      </c>
      <c r="L125" s="74" t="str">
        <f t="shared" ca="1" si="95"/>
        <v/>
      </c>
      <c r="M125" s="74" t="str">
        <f t="shared" ca="1" si="95"/>
        <v/>
      </c>
      <c r="N125" s="74" t="str">
        <f t="shared" ca="1" si="95"/>
        <v/>
      </c>
      <c r="O125" s="74" t="str">
        <f t="shared" ca="1" si="95"/>
        <v/>
      </c>
      <c r="P125" s="74" t="str">
        <f t="shared" ca="1" si="95"/>
        <v/>
      </c>
      <c r="Q125" s="74" t="str">
        <f t="shared" ca="1" si="95"/>
        <v/>
      </c>
      <c r="R125" s="74" t="str">
        <f t="shared" ca="1" si="97"/>
        <v/>
      </c>
      <c r="S125" s="74" t="str">
        <f t="shared" ca="1" si="97"/>
        <v/>
      </c>
      <c r="T125" s="74" t="str">
        <f t="shared" ca="1" si="99"/>
        <v/>
      </c>
      <c r="U125" s="74" t="str">
        <f t="shared" ca="1" si="99"/>
        <v/>
      </c>
      <c r="V125" s="74" t="str">
        <f t="shared" ca="1" si="99"/>
        <v/>
      </c>
      <c r="W125" s="74" t="str">
        <f t="shared" ca="1" si="99"/>
        <v/>
      </c>
      <c r="X125" s="74" t="str">
        <f t="shared" ca="1" si="99"/>
        <v/>
      </c>
      <c r="Y125" s="74" t="str">
        <f t="shared" ca="1" si="99"/>
        <v/>
      </c>
      <c r="Z125" s="74" t="str">
        <f t="shared" ca="1" si="99"/>
        <v/>
      </c>
      <c r="AA125" s="74" t="str">
        <f t="shared" ca="1" si="99"/>
        <v/>
      </c>
      <c r="AB125" s="75" t="str">
        <f t="shared" ca="1" si="99"/>
        <v/>
      </c>
      <c r="AC125" s="75" t="str">
        <f t="shared" ca="1" si="99"/>
        <v/>
      </c>
      <c r="AD125" s="75" t="str">
        <f t="shared" ca="1" si="99"/>
        <v/>
      </c>
      <c r="AE125" s="75" t="str">
        <f t="shared" ca="1" si="99"/>
        <v/>
      </c>
      <c r="AF125" s="75" t="str">
        <f t="shared" ca="1" si="99"/>
        <v/>
      </c>
      <c r="AG125" s="75" t="str">
        <f t="shared" ca="1" si="99"/>
        <v/>
      </c>
      <c r="AH125" s="75" t="str">
        <f t="shared" ca="1" si="99"/>
        <v/>
      </c>
      <c r="AI125" s="75" t="str">
        <f t="shared" ca="1" si="100"/>
        <v/>
      </c>
      <c r="AJ125" s="75" t="str">
        <f t="shared" ca="1" si="100"/>
        <v/>
      </c>
      <c r="AK125" s="75" t="str">
        <f t="shared" ca="1" si="100"/>
        <v/>
      </c>
      <c r="AL125" s="75" t="str">
        <f t="shared" ca="1" si="100"/>
        <v/>
      </c>
      <c r="AM125" s="75" t="str">
        <f t="shared" ca="1" si="100"/>
        <v/>
      </c>
      <c r="AN125" s="75" t="str">
        <f t="shared" ca="1" si="100"/>
        <v/>
      </c>
      <c r="AO125" s="75" t="str">
        <f t="shared" ca="1" si="100"/>
        <v/>
      </c>
      <c r="AP125" s="75" t="str">
        <f t="shared" ca="1" si="100"/>
        <v/>
      </c>
      <c r="AQ125" s="75" t="str">
        <f t="shared" ca="1" si="100"/>
        <v/>
      </c>
      <c r="AR125" s="75" t="str">
        <f t="shared" ca="1" si="100"/>
        <v/>
      </c>
      <c r="AS125" s="75" t="str">
        <f t="shared" ca="1" si="100"/>
        <v/>
      </c>
      <c r="AT125" s="75" t="str">
        <f t="shared" ca="1" si="100"/>
        <v/>
      </c>
      <c r="AU125" s="74" t="str">
        <f t="shared" ca="1" si="100"/>
        <v/>
      </c>
      <c r="AV125" s="74" t="str">
        <f t="shared" ca="1" si="100"/>
        <v/>
      </c>
      <c r="AW125" s="74" t="str">
        <f t="shared" ca="1" si="98"/>
        <v/>
      </c>
      <c r="AX125" s="74" t="str">
        <f t="shared" ca="1" si="98"/>
        <v/>
      </c>
      <c r="AY125" s="74" t="str">
        <f t="shared" ca="1" si="90"/>
        <v/>
      </c>
      <c r="AZ125" s="74" t="str">
        <f t="shared" ca="1" si="90"/>
        <v/>
      </c>
      <c r="BA125" s="74" t="str">
        <f t="shared" ca="1" si="90"/>
        <v/>
      </c>
      <c r="BB125" s="74" t="str">
        <f t="shared" ca="1" si="90"/>
        <v/>
      </c>
      <c r="BC125" s="74" t="str">
        <f t="shared" ca="1" si="90"/>
        <v/>
      </c>
      <c r="BD125" s="74" t="str">
        <f t="shared" ca="1" si="90"/>
        <v/>
      </c>
      <c r="BE125" s="74" t="str">
        <f t="shared" ca="1" si="90"/>
        <v/>
      </c>
      <c r="BF125" s="74" t="str">
        <f t="shared" ca="1" si="90"/>
        <v/>
      </c>
      <c r="BG125" s="74" t="str">
        <f t="shared" ca="1" si="90"/>
        <v/>
      </c>
      <c r="BH125" s="74" t="str">
        <f t="shared" ca="1" si="90"/>
        <v/>
      </c>
      <c r="BI125" s="74" t="str">
        <f t="shared" ca="1" si="90"/>
        <v/>
      </c>
      <c r="BJ125" s="74" t="str">
        <f t="shared" ca="1" si="90"/>
        <v/>
      </c>
      <c r="BK125" s="74" t="str">
        <f t="shared" ca="1" si="90"/>
        <v/>
      </c>
      <c r="BL125" s="74" t="str">
        <f t="shared" ca="1" si="90"/>
        <v/>
      </c>
      <c r="BM125" s="74" t="str">
        <f t="shared" ca="1" si="90"/>
        <v/>
      </c>
      <c r="BN125" s="75" t="str">
        <f t="shared" ca="1" si="90"/>
        <v/>
      </c>
      <c r="BO125" s="75" t="str">
        <f t="shared" ca="1" si="87"/>
        <v/>
      </c>
      <c r="BP125" s="75" t="str">
        <f t="shared" ca="1" si="87"/>
        <v/>
      </c>
      <c r="BQ125" s="75" t="str">
        <f t="shared" ca="1" si="87"/>
        <v/>
      </c>
      <c r="BR125" s="75" t="str">
        <f t="shared" ca="1" si="87"/>
        <v/>
      </c>
      <c r="BS125" s="75" t="str">
        <f t="shared" ca="1" si="87"/>
        <v/>
      </c>
      <c r="BT125" s="75" t="str">
        <f t="shared" ca="1" si="87"/>
        <v/>
      </c>
      <c r="BU125" s="75" t="str">
        <f t="shared" ca="1" si="87"/>
        <v/>
      </c>
      <c r="BV125" s="75" t="str">
        <f t="shared" ca="1" si="87"/>
        <v/>
      </c>
      <c r="BW125" s="75" t="str">
        <f t="shared" ca="1" si="87"/>
        <v/>
      </c>
      <c r="BX125" s="75" t="str">
        <f t="shared" ca="1" si="87"/>
        <v/>
      </c>
      <c r="BY125" s="75" t="str">
        <f t="shared" ca="1" si="87"/>
        <v/>
      </c>
      <c r="BZ125" s="75" t="str">
        <f t="shared" ca="1" si="87"/>
        <v/>
      </c>
      <c r="CA125" s="75" t="str">
        <f t="shared" ca="1" si="87"/>
        <v/>
      </c>
      <c r="CB125" s="75" t="str">
        <f t="shared" ca="1" si="87"/>
        <v/>
      </c>
      <c r="CC125" s="75" t="str">
        <f t="shared" ca="1" si="87"/>
        <v/>
      </c>
      <c r="CD125" s="75" t="str">
        <f t="shared" ref="BO125:CD132" ca="1" si="102">IF($A125="", "", IF(INDIRECT($A125&amp; "!"&amp; CD$2)="", "", INDIRECT($A125&amp; "!"&amp; CD$2)))</f>
        <v/>
      </c>
      <c r="CE125" s="75" t="str">
        <f t="shared" ca="1" si="91"/>
        <v/>
      </c>
      <c r="CF125" s="75" t="str">
        <f t="shared" ca="1" si="91"/>
        <v/>
      </c>
      <c r="CG125" s="74" t="str">
        <f t="shared" ca="1" si="91"/>
        <v/>
      </c>
      <c r="CH125" s="74" t="str">
        <f t="shared" ca="1" si="91"/>
        <v/>
      </c>
      <c r="CI125" s="74" t="str">
        <f t="shared" ca="1" si="91"/>
        <v/>
      </c>
      <c r="CJ125" s="74" t="str">
        <f t="shared" ca="1" si="91"/>
        <v/>
      </c>
      <c r="CK125" s="74" t="str">
        <f t="shared" ca="1" si="91"/>
        <v/>
      </c>
      <c r="CL125" s="74" t="str">
        <f t="shared" ca="1" si="91"/>
        <v/>
      </c>
      <c r="CM125" s="74" t="str">
        <f t="shared" ca="1" si="91"/>
        <v/>
      </c>
      <c r="CN125" s="74" t="str">
        <f t="shared" ca="1" si="91"/>
        <v/>
      </c>
      <c r="CO125" s="74" t="str">
        <f t="shared" ca="1" si="91"/>
        <v/>
      </c>
      <c r="CP125" s="74" t="str">
        <f t="shared" ca="1" si="91"/>
        <v/>
      </c>
      <c r="CQ125" s="74" t="str">
        <f t="shared" ca="1" si="91"/>
        <v/>
      </c>
      <c r="CR125" s="74" t="str">
        <f t="shared" ca="1" si="91"/>
        <v/>
      </c>
      <c r="CS125" s="74" t="str">
        <f t="shared" ca="1" si="91"/>
        <v/>
      </c>
      <c r="CT125" s="74" t="str">
        <f t="shared" ca="1" si="91"/>
        <v/>
      </c>
      <c r="CU125" s="74" t="str">
        <f t="shared" ca="1" si="88"/>
        <v/>
      </c>
      <c r="CV125" s="74" t="str">
        <f t="shared" ca="1" si="88"/>
        <v/>
      </c>
      <c r="CW125" s="74" t="str">
        <f t="shared" ca="1" si="88"/>
        <v/>
      </c>
      <c r="CX125" s="74" t="str">
        <f t="shared" ca="1" si="88"/>
        <v/>
      </c>
      <c r="CY125" s="74" t="str">
        <f t="shared" ca="1" si="88"/>
        <v/>
      </c>
      <c r="CZ125" s="75" t="str">
        <f t="shared" ca="1" si="88"/>
        <v/>
      </c>
      <c r="DA125" s="75" t="str">
        <f t="shared" ca="1" si="88"/>
        <v/>
      </c>
      <c r="DB125" s="75" t="str">
        <f t="shared" ca="1" si="88"/>
        <v/>
      </c>
      <c r="DC125" s="75" t="str">
        <f t="shared" ca="1" si="88"/>
        <v/>
      </c>
      <c r="DD125" s="75" t="str">
        <f t="shared" ca="1" si="88"/>
        <v/>
      </c>
      <c r="DE125" s="75" t="str">
        <f t="shared" ca="1" si="88"/>
        <v/>
      </c>
      <c r="DF125" s="75" t="str">
        <f t="shared" ca="1" si="88"/>
        <v/>
      </c>
      <c r="DG125" s="75" t="str">
        <f t="shared" ca="1" si="88"/>
        <v/>
      </c>
      <c r="DH125" s="75" t="str">
        <f t="shared" ca="1" si="88"/>
        <v/>
      </c>
      <c r="DI125" s="75" t="str">
        <f t="shared" ca="1" si="88"/>
        <v/>
      </c>
      <c r="DJ125" s="75" t="str">
        <f t="shared" ref="CU125:DJ132" ca="1" si="103">IF($A125="", "", IF(INDIRECT($A125&amp; "!"&amp; DJ$2)="", "", INDIRECT($A125&amp; "!"&amp; DJ$2)))</f>
        <v/>
      </c>
      <c r="DK125" s="75" t="str">
        <f t="shared" ca="1" si="92"/>
        <v/>
      </c>
      <c r="DL125" s="75" t="str">
        <f t="shared" ca="1" si="92"/>
        <v/>
      </c>
      <c r="DM125" s="75" t="str">
        <f t="shared" ca="1" si="92"/>
        <v/>
      </c>
      <c r="DN125" s="75" t="str">
        <f t="shared" ca="1" si="92"/>
        <v/>
      </c>
      <c r="DO125" s="75" t="str">
        <f t="shared" ca="1" si="92"/>
        <v/>
      </c>
      <c r="DP125" s="75" t="str">
        <f t="shared" ca="1" si="92"/>
        <v/>
      </c>
      <c r="DQ125" s="75" t="str">
        <f t="shared" ca="1" si="92"/>
        <v/>
      </c>
      <c r="DR125" s="75" t="str">
        <f t="shared" ca="1" si="92"/>
        <v/>
      </c>
      <c r="DS125" s="74" t="str">
        <f t="shared" ca="1" si="92"/>
        <v/>
      </c>
      <c r="DT125" s="74" t="str">
        <f t="shared" ca="1" si="92"/>
        <v/>
      </c>
      <c r="DU125" s="74" t="str">
        <f t="shared" ca="1" si="92"/>
        <v/>
      </c>
      <c r="DV125" s="74" t="str">
        <f t="shared" ca="1" si="92"/>
        <v/>
      </c>
      <c r="DW125" s="74" t="str">
        <f t="shared" ca="1" si="92"/>
        <v/>
      </c>
      <c r="DX125" s="74" t="str">
        <f t="shared" ca="1" si="92"/>
        <v/>
      </c>
      <c r="DY125" s="74" t="str">
        <f t="shared" ca="1" si="92"/>
        <v/>
      </c>
      <c r="DZ125" s="74" t="str">
        <f t="shared" ca="1" si="92"/>
        <v/>
      </c>
      <c r="EA125" s="74" t="str">
        <f t="shared" ca="1" si="89"/>
        <v/>
      </c>
      <c r="EB125" s="74" t="str">
        <f t="shared" ca="1" si="89"/>
        <v/>
      </c>
      <c r="EC125" s="74" t="str">
        <f t="shared" ca="1" si="89"/>
        <v/>
      </c>
      <c r="ED125" s="74" t="str">
        <f t="shared" ca="1" si="89"/>
        <v/>
      </c>
      <c r="EE125" s="74" t="str">
        <f t="shared" ca="1" si="89"/>
        <v/>
      </c>
      <c r="EF125" s="74" t="str">
        <f t="shared" ca="1" si="89"/>
        <v/>
      </c>
      <c r="EG125" s="74" t="str">
        <f t="shared" ca="1" si="89"/>
        <v/>
      </c>
      <c r="EH125" s="74" t="str">
        <f t="shared" ca="1" si="89"/>
        <v/>
      </c>
      <c r="EI125" s="74" t="str">
        <f t="shared" ca="1" si="89"/>
        <v/>
      </c>
      <c r="EJ125" s="74" t="str">
        <f t="shared" ca="1" si="89"/>
        <v/>
      </c>
      <c r="EK125" s="75" t="str">
        <f t="shared" ca="1" si="89"/>
        <v/>
      </c>
      <c r="EL125" s="75" t="str">
        <f t="shared" ca="1" si="89"/>
        <v/>
      </c>
      <c r="EM125" s="75" t="str">
        <f t="shared" ca="1" si="89"/>
        <v/>
      </c>
      <c r="EN125" s="75" t="str">
        <f t="shared" ca="1" si="89"/>
        <v/>
      </c>
      <c r="EO125" s="75" t="str">
        <f t="shared" ca="1" si="89"/>
        <v/>
      </c>
      <c r="EP125" s="75" t="str">
        <f t="shared" ref="EA125:EP132" ca="1" si="104">IF($A125="", "", IF(INDIRECT($A125&amp; "!"&amp; EP$2)="", "", INDIRECT($A125&amp; "!"&amp; EP$2)))</f>
        <v/>
      </c>
      <c r="EQ125" s="75" t="str">
        <f t="shared" ca="1" si="93"/>
        <v/>
      </c>
      <c r="ER125" s="75" t="str">
        <f t="shared" ca="1" si="93"/>
        <v/>
      </c>
      <c r="ES125" s="75" t="str">
        <f t="shared" ca="1" si="93"/>
        <v/>
      </c>
      <c r="ET125" s="75" t="str">
        <f t="shared" ca="1" si="93"/>
        <v/>
      </c>
      <c r="EU125" s="75" t="str">
        <f t="shared" ca="1" si="93"/>
        <v/>
      </c>
      <c r="EV125" s="75" t="str">
        <f t="shared" ca="1" si="93"/>
        <v/>
      </c>
      <c r="EW125" s="75" t="str">
        <f t="shared" ca="1" si="93"/>
        <v/>
      </c>
      <c r="EX125" s="75" t="str">
        <f t="shared" ca="1" si="93"/>
        <v/>
      </c>
      <c r="EY125" s="75" t="str">
        <f t="shared" ca="1" si="93"/>
        <v/>
      </c>
      <c r="EZ125" s="75" t="str">
        <f t="shared" ca="1" si="93"/>
        <v/>
      </c>
      <c r="FA125" s="75" t="str">
        <f t="shared" ca="1" si="93"/>
        <v/>
      </c>
      <c r="FB125" s="75" t="str">
        <f t="shared" ca="1" si="93"/>
        <v/>
      </c>
      <c r="FC125" s="76" t="str">
        <f t="shared" ca="1" si="93"/>
        <v/>
      </c>
      <c r="FD125" s="74" t="str">
        <f t="shared" ca="1" si="93"/>
        <v/>
      </c>
      <c r="FE125" s="74" t="str">
        <f t="shared" ca="1" si="93"/>
        <v/>
      </c>
      <c r="FF125" s="74" t="str">
        <f t="shared" ca="1" si="93"/>
        <v/>
      </c>
      <c r="FG125" s="74" t="str">
        <f t="shared" ca="1" si="101"/>
        <v/>
      </c>
      <c r="FH125" s="74" t="str">
        <f t="shared" ca="1" si="101"/>
        <v/>
      </c>
      <c r="FI125" s="74" t="str">
        <f t="shared" ca="1" si="101"/>
        <v/>
      </c>
      <c r="FJ125" s="74" t="str">
        <f t="shared" ca="1" si="101"/>
        <v/>
      </c>
      <c r="FK125" s="74" t="str">
        <f t="shared" ca="1" si="101"/>
        <v/>
      </c>
      <c r="FL125" s="74" t="str">
        <f t="shared" ca="1" si="101"/>
        <v/>
      </c>
      <c r="FM125" s="74" t="str">
        <f t="shared" ca="1" si="101"/>
        <v/>
      </c>
      <c r="FN125" s="74" t="str">
        <f t="shared" ca="1" si="101"/>
        <v/>
      </c>
      <c r="FO125" s="74" t="str">
        <f t="shared" ca="1" si="101"/>
        <v/>
      </c>
      <c r="FP125" s="74" t="str">
        <f t="shared" ca="1" si="101"/>
        <v/>
      </c>
      <c r="FQ125" s="74" t="str">
        <f t="shared" ca="1" si="101"/>
        <v/>
      </c>
      <c r="FR125" s="74" t="str">
        <f t="shared" ca="1" si="101"/>
        <v/>
      </c>
      <c r="FS125" s="74" t="str">
        <f t="shared" ca="1" si="101"/>
        <v/>
      </c>
      <c r="FT125" s="74" t="str">
        <f t="shared" ca="1" si="101"/>
        <v/>
      </c>
    </row>
    <row r="126" spans="1:176" x14ac:dyDescent="0.35">
      <c r="A126" s="74"/>
      <c r="B126" s="74" t="str">
        <f t="shared" ca="1" si="95"/>
        <v/>
      </c>
      <c r="C126" s="74" t="str">
        <f t="shared" ca="1" si="95"/>
        <v/>
      </c>
      <c r="D126" s="74" t="str">
        <f t="shared" ca="1" si="95"/>
        <v/>
      </c>
      <c r="E126" s="74" t="str">
        <f t="shared" ca="1" si="95"/>
        <v/>
      </c>
      <c r="F126" t="str">
        <f t="shared" ca="1" si="96"/>
        <v/>
      </c>
      <c r="G126" t="str">
        <f t="shared" ca="1" si="96"/>
        <v/>
      </c>
      <c r="H126" t="str">
        <f t="shared" ca="1" si="96"/>
        <v/>
      </c>
      <c r="I126" s="74" t="str">
        <f t="shared" ca="1" si="95"/>
        <v/>
      </c>
      <c r="J126" s="74" t="str">
        <f t="shared" ca="1" si="95"/>
        <v/>
      </c>
      <c r="K126" s="74" t="str">
        <f t="shared" ca="1" si="95"/>
        <v/>
      </c>
      <c r="L126" s="74" t="str">
        <f t="shared" ca="1" si="95"/>
        <v/>
      </c>
      <c r="M126" s="74" t="str">
        <f t="shared" ca="1" si="95"/>
        <v/>
      </c>
      <c r="N126" s="74" t="str">
        <f t="shared" ca="1" si="95"/>
        <v/>
      </c>
      <c r="O126" s="74" t="str">
        <f t="shared" ca="1" si="95"/>
        <v/>
      </c>
      <c r="P126" s="74" t="str">
        <f t="shared" ca="1" si="95"/>
        <v/>
      </c>
      <c r="Q126" s="74" t="str">
        <f t="shared" ca="1" si="95"/>
        <v/>
      </c>
      <c r="R126" s="74" t="str">
        <f t="shared" ca="1" si="97"/>
        <v/>
      </c>
      <c r="S126" s="74" t="str">
        <f t="shared" ca="1" si="97"/>
        <v/>
      </c>
      <c r="T126" s="74" t="str">
        <f t="shared" ca="1" si="99"/>
        <v/>
      </c>
      <c r="U126" s="74" t="str">
        <f t="shared" ca="1" si="99"/>
        <v/>
      </c>
      <c r="V126" s="74" t="str">
        <f t="shared" ca="1" si="99"/>
        <v/>
      </c>
      <c r="W126" s="74" t="str">
        <f t="shared" ca="1" si="99"/>
        <v/>
      </c>
      <c r="X126" s="74" t="str">
        <f t="shared" ca="1" si="99"/>
        <v/>
      </c>
      <c r="Y126" s="74" t="str">
        <f t="shared" ca="1" si="99"/>
        <v/>
      </c>
      <c r="Z126" s="74" t="str">
        <f t="shared" ca="1" si="99"/>
        <v/>
      </c>
      <c r="AA126" s="74" t="str">
        <f t="shared" ca="1" si="99"/>
        <v/>
      </c>
      <c r="AB126" s="75" t="str">
        <f t="shared" ca="1" si="99"/>
        <v/>
      </c>
      <c r="AC126" s="75" t="str">
        <f t="shared" ca="1" si="99"/>
        <v/>
      </c>
      <c r="AD126" s="75" t="str">
        <f t="shared" ca="1" si="99"/>
        <v/>
      </c>
      <c r="AE126" s="75" t="str">
        <f t="shared" ca="1" si="99"/>
        <v/>
      </c>
      <c r="AF126" s="75" t="str">
        <f t="shared" ca="1" si="99"/>
        <v/>
      </c>
      <c r="AG126" s="75" t="str">
        <f t="shared" ca="1" si="99"/>
        <v/>
      </c>
      <c r="AH126" s="75" t="str">
        <f t="shared" ca="1" si="99"/>
        <v/>
      </c>
      <c r="AI126" s="75" t="str">
        <f t="shared" ca="1" si="100"/>
        <v/>
      </c>
      <c r="AJ126" s="75" t="str">
        <f t="shared" ca="1" si="100"/>
        <v/>
      </c>
      <c r="AK126" s="75" t="str">
        <f t="shared" ca="1" si="100"/>
        <v/>
      </c>
      <c r="AL126" s="75" t="str">
        <f t="shared" ca="1" si="100"/>
        <v/>
      </c>
      <c r="AM126" s="75" t="str">
        <f t="shared" ca="1" si="100"/>
        <v/>
      </c>
      <c r="AN126" s="75" t="str">
        <f t="shared" ca="1" si="100"/>
        <v/>
      </c>
      <c r="AO126" s="75" t="str">
        <f t="shared" ca="1" si="100"/>
        <v/>
      </c>
      <c r="AP126" s="75" t="str">
        <f t="shared" ca="1" si="100"/>
        <v/>
      </c>
      <c r="AQ126" s="75" t="str">
        <f t="shared" ca="1" si="100"/>
        <v/>
      </c>
      <c r="AR126" s="75" t="str">
        <f t="shared" ca="1" si="100"/>
        <v/>
      </c>
      <c r="AS126" s="75" t="str">
        <f t="shared" ca="1" si="100"/>
        <v/>
      </c>
      <c r="AT126" s="75" t="str">
        <f t="shared" ca="1" si="100"/>
        <v/>
      </c>
      <c r="AU126" s="74" t="str">
        <f t="shared" ca="1" si="100"/>
        <v/>
      </c>
      <c r="AV126" s="74" t="str">
        <f t="shared" ca="1" si="100"/>
        <v/>
      </c>
      <c r="AW126" s="74" t="str">
        <f t="shared" ca="1" si="98"/>
        <v/>
      </c>
      <c r="AX126" s="74" t="str">
        <f t="shared" ca="1" si="98"/>
        <v/>
      </c>
      <c r="AY126" s="74" t="str">
        <f t="shared" ca="1" si="90"/>
        <v/>
      </c>
      <c r="AZ126" s="74" t="str">
        <f t="shared" ca="1" si="90"/>
        <v/>
      </c>
      <c r="BA126" s="74" t="str">
        <f t="shared" ca="1" si="90"/>
        <v/>
      </c>
      <c r="BB126" s="74" t="str">
        <f t="shared" ca="1" si="90"/>
        <v/>
      </c>
      <c r="BC126" s="74" t="str">
        <f t="shared" ca="1" si="90"/>
        <v/>
      </c>
      <c r="BD126" s="74" t="str">
        <f t="shared" ca="1" si="90"/>
        <v/>
      </c>
      <c r="BE126" s="74" t="str">
        <f t="shared" ca="1" si="90"/>
        <v/>
      </c>
      <c r="BF126" s="74" t="str">
        <f t="shared" ca="1" si="90"/>
        <v/>
      </c>
      <c r="BG126" s="74" t="str">
        <f t="shared" ca="1" si="90"/>
        <v/>
      </c>
      <c r="BH126" s="74" t="str">
        <f t="shared" ca="1" si="90"/>
        <v/>
      </c>
      <c r="BI126" s="74" t="str">
        <f t="shared" ca="1" si="90"/>
        <v/>
      </c>
      <c r="BJ126" s="74" t="str">
        <f t="shared" ca="1" si="90"/>
        <v/>
      </c>
      <c r="BK126" s="74" t="str">
        <f t="shared" ca="1" si="90"/>
        <v/>
      </c>
      <c r="BL126" s="74" t="str">
        <f t="shared" ca="1" si="90"/>
        <v/>
      </c>
      <c r="BM126" s="74" t="str">
        <f t="shared" ca="1" si="90"/>
        <v/>
      </c>
      <c r="BN126" s="75" t="str">
        <f t="shared" ca="1" si="90"/>
        <v/>
      </c>
      <c r="BO126" s="75" t="str">
        <f t="shared" ca="1" si="102"/>
        <v/>
      </c>
      <c r="BP126" s="75" t="str">
        <f t="shared" ca="1" si="102"/>
        <v/>
      </c>
      <c r="BQ126" s="75" t="str">
        <f t="shared" ca="1" si="102"/>
        <v/>
      </c>
      <c r="BR126" s="75" t="str">
        <f t="shared" ca="1" si="102"/>
        <v/>
      </c>
      <c r="BS126" s="75" t="str">
        <f t="shared" ca="1" si="102"/>
        <v/>
      </c>
      <c r="BT126" s="75" t="str">
        <f t="shared" ca="1" si="102"/>
        <v/>
      </c>
      <c r="BU126" s="75" t="str">
        <f t="shared" ca="1" si="102"/>
        <v/>
      </c>
      <c r="BV126" s="75" t="str">
        <f t="shared" ca="1" si="102"/>
        <v/>
      </c>
      <c r="BW126" s="75" t="str">
        <f t="shared" ca="1" si="102"/>
        <v/>
      </c>
      <c r="BX126" s="75" t="str">
        <f t="shared" ca="1" si="102"/>
        <v/>
      </c>
      <c r="BY126" s="75" t="str">
        <f t="shared" ca="1" si="102"/>
        <v/>
      </c>
      <c r="BZ126" s="75" t="str">
        <f t="shared" ca="1" si="102"/>
        <v/>
      </c>
      <c r="CA126" s="75" t="str">
        <f t="shared" ca="1" si="102"/>
        <v/>
      </c>
      <c r="CB126" s="75" t="str">
        <f t="shared" ca="1" si="102"/>
        <v/>
      </c>
      <c r="CC126" s="75" t="str">
        <f t="shared" ca="1" si="102"/>
        <v/>
      </c>
      <c r="CD126" s="75" t="str">
        <f t="shared" ca="1" si="102"/>
        <v/>
      </c>
      <c r="CE126" s="75" t="str">
        <f t="shared" ca="1" si="91"/>
        <v/>
      </c>
      <c r="CF126" s="75" t="str">
        <f t="shared" ca="1" si="91"/>
        <v/>
      </c>
      <c r="CG126" s="74" t="str">
        <f t="shared" ca="1" si="91"/>
        <v/>
      </c>
      <c r="CH126" s="74" t="str">
        <f t="shared" ca="1" si="91"/>
        <v/>
      </c>
      <c r="CI126" s="74" t="str">
        <f t="shared" ca="1" si="91"/>
        <v/>
      </c>
      <c r="CJ126" s="74" t="str">
        <f t="shared" ca="1" si="91"/>
        <v/>
      </c>
      <c r="CK126" s="74" t="str">
        <f t="shared" ca="1" si="91"/>
        <v/>
      </c>
      <c r="CL126" s="74" t="str">
        <f t="shared" ca="1" si="91"/>
        <v/>
      </c>
      <c r="CM126" s="74" t="str">
        <f t="shared" ca="1" si="91"/>
        <v/>
      </c>
      <c r="CN126" s="74" t="str">
        <f t="shared" ca="1" si="91"/>
        <v/>
      </c>
      <c r="CO126" s="74" t="str">
        <f t="shared" ca="1" si="91"/>
        <v/>
      </c>
      <c r="CP126" s="74" t="str">
        <f t="shared" ca="1" si="91"/>
        <v/>
      </c>
      <c r="CQ126" s="74" t="str">
        <f t="shared" ca="1" si="91"/>
        <v/>
      </c>
      <c r="CR126" s="74" t="str">
        <f t="shared" ca="1" si="91"/>
        <v/>
      </c>
      <c r="CS126" s="74" t="str">
        <f t="shared" ca="1" si="91"/>
        <v/>
      </c>
      <c r="CT126" s="74" t="str">
        <f t="shared" ca="1" si="91"/>
        <v/>
      </c>
      <c r="CU126" s="74" t="str">
        <f t="shared" ca="1" si="103"/>
        <v/>
      </c>
      <c r="CV126" s="74" t="str">
        <f t="shared" ca="1" si="103"/>
        <v/>
      </c>
      <c r="CW126" s="74" t="str">
        <f t="shared" ca="1" si="103"/>
        <v/>
      </c>
      <c r="CX126" s="74" t="str">
        <f t="shared" ca="1" si="103"/>
        <v/>
      </c>
      <c r="CY126" s="74" t="str">
        <f t="shared" ca="1" si="103"/>
        <v/>
      </c>
      <c r="CZ126" s="75" t="str">
        <f t="shared" ca="1" si="103"/>
        <v/>
      </c>
      <c r="DA126" s="75" t="str">
        <f t="shared" ca="1" si="103"/>
        <v/>
      </c>
      <c r="DB126" s="75" t="str">
        <f t="shared" ca="1" si="103"/>
        <v/>
      </c>
      <c r="DC126" s="75" t="str">
        <f t="shared" ca="1" si="103"/>
        <v/>
      </c>
      <c r="DD126" s="75" t="str">
        <f t="shared" ca="1" si="103"/>
        <v/>
      </c>
      <c r="DE126" s="75" t="str">
        <f t="shared" ca="1" si="103"/>
        <v/>
      </c>
      <c r="DF126" s="75" t="str">
        <f t="shared" ca="1" si="103"/>
        <v/>
      </c>
      <c r="DG126" s="75" t="str">
        <f t="shared" ca="1" si="103"/>
        <v/>
      </c>
      <c r="DH126" s="75" t="str">
        <f t="shared" ca="1" si="103"/>
        <v/>
      </c>
      <c r="DI126" s="75" t="str">
        <f t="shared" ca="1" si="103"/>
        <v/>
      </c>
      <c r="DJ126" s="75" t="str">
        <f t="shared" ca="1" si="103"/>
        <v/>
      </c>
      <c r="DK126" s="75" t="str">
        <f t="shared" ca="1" si="92"/>
        <v/>
      </c>
      <c r="DL126" s="75" t="str">
        <f t="shared" ca="1" si="92"/>
        <v/>
      </c>
      <c r="DM126" s="75" t="str">
        <f t="shared" ca="1" si="92"/>
        <v/>
      </c>
      <c r="DN126" s="75" t="str">
        <f t="shared" ca="1" si="92"/>
        <v/>
      </c>
      <c r="DO126" s="75" t="str">
        <f t="shared" ca="1" si="92"/>
        <v/>
      </c>
      <c r="DP126" s="75" t="str">
        <f t="shared" ca="1" si="92"/>
        <v/>
      </c>
      <c r="DQ126" s="75" t="str">
        <f t="shared" ca="1" si="92"/>
        <v/>
      </c>
      <c r="DR126" s="75" t="str">
        <f t="shared" ca="1" si="92"/>
        <v/>
      </c>
      <c r="DS126" s="74" t="str">
        <f t="shared" ca="1" si="92"/>
        <v/>
      </c>
      <c r="DT126" s="74" t="str">
        <f t="shared" ca="1" si="92"/>
        <v/>
      </c>
      <c r="DU126" s="74" t="str">
        <f t="shared" ca="1" si="92"/>
        <v/>
      </c>
      <c r="DV126" s="74" t="str">
        <f t="shared" ca="1" si="92"/>
        <v/>
      </c>
      <c r="DW126" s="74" t="str">
        <f t="shared" ca="1" si="92"/>
        <v/>
      </c>
      <c r="DX126" s="74" t="str">
        <f t="shared" ca="1" si="92"/>
        <v/>
      </c>
      <c r="DY126" s="74" t="str">
        <f t="shared" ca="1" si="92"/>
        <v/>
      </c>
      <c r="DZ126" s="74" t="str">
        <f t="shared" ca="1" si="92"/>
        <v/>
      </c>
      <c r="EA126" s="74" t="str">
        <f t="shared" ca="1" si="104"/>
        <v/>
      </c>
      <c r="EB126" s="74" t="str">
        <f t="shared" ca="1" si="104"/>
        <v/>
      </c>
      <c r="EC126" s="74" t="str">
        <f t="shared" ca="1" si="104"/>
        <v/>
      </c>
      <c r="ED126" s="74" t="str">
        <f t="shared" ca="1" si="104"/>
        <v/>
      </c>
      <c r="EE126" s="74" t="str">
        <f t="shared" ca="1" si="104"/>
        <v/>
      </c>
      <c r="EF126" s="74" t="str">
        <f t="shared" ca="1" si="104"/>
        <v/>
      </c>
      <c r="EG126" s="74" t="str">
        <f t="shared" ca="1" si="104"/>
        <v/>
      </c>
      <c r="EH126" s="74" t="str">
        <f t="shared" ca="1" si="104"/>
        <v/>
      </c>
      <c r="EI126" s="74" t="str">
        <f t="shared" ca="1" si="104"/>
        <v/>
      </c>
      <c r="EJ126" s="74" t="str">
        <f t="shared" ca="1" si="104"/>
        <v/>
      </c>
      <c r="EK126" s="75" t="str">
        <f t="shared" ca="1" si="104"/>
        <v/>
      </c>
      <c r="EL126" s="75" t="str">
        <f t="shared" ca="1" si="104"/>
        <v/>
      </c>
      <c r="EM126" s="75" t="str">
        <f t="shared" ca="1" si="104"/>
        <v/>
      </c>
      <c r="EN126" s="75" t="str">
        <f t="shared" ca="1" si="104"/>
        <v/>
      </c>
      <c r="EO126" s="75" t="str">
        <f t="shared" ca="1" si="104"/>
        <v/>
      </c>
      <c r="EP126" s="75" t="str">
        <f t="shared" ca="1" si="104"/>
        <v/>
      </c>
      <c r="EQ126" s="75" t="str">
        <f t="shared" ca="1" si="93"/>
        <v/>
      </c>
      <c r="ER126" s="75" t="str">
        <f t="shared" ca="1" si="93"/>
        <v/>
      </c>
      <c r="ES126" s="75" t="str">
        <f t="shared" ca="1" si="93"/>
        <v/>
      </c>
      <c r="ET126" s="75" t="str">
        <f t="shared" ca="1" si="93"/>
        <v/>
      </c>
      <c r="EU126" s="75" t="str">
        <f t="shared" ca="1" si="93"/>
        <v/>
      </c>
      <c r="EV126" s="75" t="str">
        <f t="shared" ca="1" si="93"/>
        <v/>
      </c>
      <c r="EW126" s="75" t="str">
        <f t="shared" ca="1" si="93"/>
        <v/>
      </c>
      <c r="EX126" s="75" t="str">
        <f t="shared" ca="1" si="93"/>
        <v/>
      </c>
      <c r="EY126" s="75" t="str">
        <f t="shared" ca="1" si="93"/>
        <v/>
      </c>
      <c r="EZ126" s="75" t="str">
        <f t="shared" ca="1" si="93"/>
        <v/>
      </c>
      <c r="FA126" s="75" t="str">
        <f t="shared" ca="1" si="93"/>
        <v/>
      </c>
      <c r="FB126" s="75" t="str">
        <f t="shared" ca="1" si="93"/>
        <v/>
      </c>
      <c r="FC126" s="76" t="str">
        <f t="shared" ca="1" si="93"/>
        <v/>
      </c>
      <c r="FD126" s="74" t="str">
        <f t="shared" ca="1" si="93"/>
        <v/>
      </c>
      <c r="FE126" s="74" t="str">
        <f t="shared" ca="1" si="93"/>
        <v/>
      </c>
      <c r="FF126" s="74" t="str">
        <f t="shared" ca="1" si="93"/>
        <v/>
      </c>
      <c r="FG126" s="74" t="str">
        <f t="shared" ca="1" si="101"/>
        <v/>
      </c>
      <c r="FH126" s="74" t="str">
        <f t="shared" ca="1" si="101"/>
        <v/>
      </c>
      <c r="FI126" s="74" t="str">
        <f t="shared" ca="1" si="101"/>
        <v/>
      </c>
      <c r="FJ126" s="74" t="str">
        <f t="shared" ca="1" si="101"/>
        <v/>
      </c>
      <c r="FK126" s="74" t="str">
        <f t="shared" ca="1" si="101"/>
        <v/>
      </c>
      <c r="FL126" s="74" t="str">
        <f t="shared" ca="1" si="101"/>
        <v/>
      </c>
      <c r="FM126" s="74" t="str">
        <f t="shared" ca="1" si="101"/>
        <v/>
      </c>
      <c r="FN126" s="74" t="str">
        <f t="shared" ca="1" si="101"/>
        <v/>
      </c>
      <c r="FO126" s="74" t="str">
        <f t="shared" ca="1" si="101"/>
        <v/>
      </c>
      <c r="FP126" s="74" t="str">
        <f t="shared" ca="1" si="101"/>
        <v/>
      </c>
      <c r="FQ126" s="74" t="str">
        <f t="shared" ca="1" si="101"/>
        <v/>
      </c>
      <c r="FR126" s="74" t="str">
        <f t="shared" ca="1" si="101"/>
        <v/>
      </c>
      <c r="FS126" s="74" t="str">
        <f t="shared" ca="1" si="101"/>
        <v/>
      </c>
      <c r="FT126" s="74" t="str">
        <f t="shared" ca="1" si="101"/>
        <v/>
      </c>
    </row>
    <row r="127" spans="1:176" x14ac:dyDescent="0.35">
      <c r="A127" s="74"/>
      <c r="B127" s="74" t="str">
        <f t="shared" ca="1" si="95"/>
        <v/>
      </c>
      <c r="C127" s="74" t="str">
        <f t="shared" ca="1" si="95"/>
        <v/>
      </c>
      <c r="D127" s="74" t="str">
        <f t="shared" ca="1" si="95"/>
        <v/>
      </c>
      <c r="E127" s="74" t="str">
        <f t="shared" ca="1" si="95"/>
        <v/>
      </c>
      <c r="F127" t="str">
        <f t="shared" ca="1" si="96"/>
        <v/>
      </c>
      <c r="G127" t="str">
        <f t="shared" ca="1" si="96"/>
        <v/>
      </c>
      <c r="H127" t="str">
        <f t="shared" ca="1" si="96"/>
        <v/>
      </c>
      <c r="I127" s="74" t="str">
        <f t="shared" ca="1" si="95"/>
        <v/>
      </c>
      <c r="J127" s="74" t="str">
        <f t="shared" ca="1" si="95"/>
        <v/>
      </c>
      <c r="K127" s="74" t="str">
        <f t="shared" ca="1" si="95"/>
        <v/>
      </c>
      <c r="L127" s="74" t="str">
        <f t="shared" ca="1" si="95"/>
        <v/>
      </c>
      <c r="M127" s="74" t="str">
        <f t="shared" ca="1" si="95"/>
        <v/>
      </c>
      <c r="N127" s="74" t="str">
        <f t="shared" ca="1" si="95"/>
        <v/>
      </c>
      <c r="O127" s="74" t="str">
        <f t="shared" ca="1" si="95"/>
        <v/>
      </c>
      <c r="P127" s="74" t="str">
        <f t="shared" ca="1" si="95"/>
        <v/>
      </c>
      <c r="Q127" s="74" t="str">
        <f t="shared" ca="1" si="95"/>
        <v/>
      </c>
      <c r="R127" s="74" t="str">
        <f t="shared" ca="1" si="97"/>
        <v/>
      </c>
      <c r="S127" s="74" t="str">
        <f t="shared" ca="1" si="97"/>
        <v/>
      </c>
      <c r="T127" s="74" t="str">
        <f t="shared" ca="1" si="99"/>
        <v/>
      </c>
      <c r="U127" s="74" t="str">
        <f t="shared" ca="1" si="99"/>
        <v/>
      </c>
      <c r="V127" s="74" t="str">
        <f t="shared" ca="1" si="99"/>
        <v/>
      </c>
      <c r="W127" s="74" t="str">
        <f t="shared" ca="1" si="99"/>
        <v/>
      </c>
      <c r="X127" s="74" t="str">
        <f t="shared" ca="1" si="99"/>
        <v/>
      </c>
      <c r="Y127" s="74" t="str">
        <f t="shared" ca="1" si="99"/>
        <v/>
      </c>
      <c r="Z127" s="74" t="str">
        <f t="shared" ca="1" si="99"/>
        <v/>
      </c>
      <c r="AA127" s="74" t="str">
        <f t="shared" ca="1" si="99"/>
        <v/>
      </c>
      <c r="AB127" s="75" t="str">
        <f t="shared" ca="1" si="99"/>
        <v/>
      </c>
      <c r="AC127" s="75" t="str">
        <f t="shared" ca="1" si="99"/>
        <v/>
      </c>
      <c r="AD127" s="75" t="str">
        <f t="shared" ca="1" si="99"/>
        <v/>
      </c>
      <c r="AE127" s="75" t="str">
        <f t="shared" ca="1" si="99"/>
        <v/>
      </c>
      <c r="AF127" s="75" t="str">
        <f t="shared" ca="1" si="99"/>
        <v/>
      </c>
      <c r="AG127" s="75" t="str">
        <f t="shared" ca="1" si="99"/>
        <v/>
      </c>
      <c r="AH127" s="75" t="str">
        <f t="shared" ca="1" si="99"/>
        <v/>
      </c>
      <c r="AI127" s="75" t="str">
        <f t="shared" ca="1" si="100"/>
        <v/>
      </c>
      <c r="AJ127" s="75" t="str">
        <f t="shared" ca="1" si="100"/>
        <v/>
      </c>
      <c r="AK127" s="75" t="str">
        <f t="shared" ca="1" si="100"/>
        <v/>
      </c>
      <c r="AL127" s="75" t="str">
        <f t="shared" ca="1" si="100"/>
        <v/>
      </c>
      <c r="AM127" s="75" t="str">
        <f t="shared" ca="1" si="100"/>
        <v/>
      </c>
      <c r="AN127" s="75" t="str">
        <f t="shared" ca="1" si="100"/>
        <v/>
      </c>
      <c r="AO127" s="75" t="str">
        <f t="shared" ca="1" si="100"/>
        <v/>
      </c>
      <c r="AP127" s="75" t="str">
        <f t="shared" ca="1" si="100"/>
        <v/>
      </c>
      <c r="AQ127" s="75" t="str">
        <f t="shared" ca="1" si="100"/>
        <v/>
      </c>
      <c r="AR127" s="75" t="str">
        <f t="shared" ca="1" si="100"/>
        <v/>
      </c>
      <c r="AS127" s="75" t="str">
        <f t="shared" ca="1" si="100"/>
        <v/>
      </c>
      <c r="AT127" s="75" t="str">
        <f t="shared" ca="1" si="100"/>
        <v/>
      </c>
      <c r="AU127" s="74" t="str">
        <f t="shared" ca="1" si="100"/>
        <v/>
      </c>
      <c r="AV127" s="74" t="str">
        <f t="shared" ca="1" si="100"/>
        <v/>
      </c>
      <c r="AW127" s="74" t="str">
        <f t="shared" ca="1" si="98"/>
        <v/>
      </c>
      <c r="AX127" s="74" t="str">
        <f t="shared" ca="1" si="98"/>
        <v/>
      </c>
      <c r="AY127" s="74" t="str">
        <f t="shared" ca="1" si="90"/>
        <v/>
      </c>
      <c r="AZ127" s="74" t="str">
        <f t="shared" ca="1" si="90"/>
        <v/>
      </c>
      <c r="BA127" s="74" t="str">
        <f t="shared" ca="1" si="90"/>
        <v/>
      </c>
      <c r="BB127" s="74" t="str">
        <f t="shared" ca="1" si="90"/>
        <v/>
      </c>
      <c r="BC127" s="74" t="str">
        <f t="shared" ca="1" si="90"/>
        <v/>
      </c>
      <c r="BD127" s="74" t="str">
        <f t="shared" ca="1" si="90"/>
        <v/>
      </c>
      <c r="BE127" s="74" t="str">
        <f t="shared" ca="1" si="90"/>
        <v/>
      </c>
      <c r="BF127" s="74" t="str">
        <f t="shared" ca="1" si="90"/>
        <v/>
      </c>
      <c r="BG127" s="74" t="str">
        <f t="shared" ca="1" si="90"/>
        <v/>
      </c>
      <c r="BH127" s="74" t="str">
        <f t="shared" ca="1" si="90"/>
        <v/>
      </c>
      <c r="BI127" s="74" t="str">
        <f t="shared" ca="1" si="90"/>
        <v/>
      </c>
      <c r="BJ127" s="74" t="str">
        <f t="shared" ca="1" si="90"/>
        <v/>
      </c>
      <c r="BK127" s="74" t="str">
        <f t="shared" ca="1" si="90"/>
        <v/>
      </c>
      <c r="BL127" s="74" t="str">
        <f t="shared" ca="1" si="90"/>
        <v/>
      </c>
      <c r="BM127" s="74" t="str">
        <f t="shared" ref="AY127:BN132" ca="1" si="105">IF($A127="", "", IF(INDIRECT($A127&amp; "!"&amp; BM$2)="", "", INDIRECT($A127&amp; "!"&amp; BM$2)))</f>
        <v/>
      </c>
      <c r="BN127" s="75" t="str">
        <f t="shared" ca="1" si="105"/>
        <v/>
      </c>
      <c r="BO127" s="75" t="str">
        <f t="shared" ca="1" si="102"/>
        <v/>
      </c>
      <c r="BP127" s="75" t="str">
        <f t="shared" ca="1" si="102"/>
        <v/>
      </c>
      <c r="BQ127" s="75" t="str">
        <f t="shared" ca="1" si="102"/>
        <v/>
      </c>
      <c r="BR127" s="75" t="str">
        <f t="shared" ca="1" si="102"/>
        <v/>
      </c>
      <c r="BS127" s="75" t="str">
        <f t="shared" ca="1" si="102"/>
        <v/>
      </c>
      <c r="BT127" s="75" t="str">
        <f t="shared" ca="1" si="102"/>
        <v/>
      </c>
      <c r="BU127" s="75" t="str">
        <f t="shared" ca="1" si="102"/>
        <v/>
      </c>
      <c r="BV127" s="75" t="str">
        <f t="shared" ca="1" si="102"/>
        <v/>
      </c>
      <c r="BW127" s="75" t="str">
        <f t="shared" ca="1" si="102"/>
        <v/>
      </c>
      <c r="BX127" s="75" t="str">
        <f t="shared" ca="1" si="102"/>
        <v/>
      </c>
      <c r="BY127" s="75" t="str">
        <f t="shared" ca="1" si="102"/>
        <v/>
      </c>
      <c r="BZ127" s="75" t="str">
        <f t="shared" ca="1" si="102"/>
        <v/>
      </c>
      <c r="CA127" s="75" t="str">
        <f t="shared" ca="1" si="102"/>
        <v/>
      </c>
      <c r="CB127" s="75" t="str">
        <f t="shared" ca="1" si="102"/>
        <v/>
      </c>
      <c r="CC127" s="75" t="str">
        <f t="shared" ca="1" si="102"/>
        <v/>
      </c>
      <c r="CD127" s="75" t="str">
        <f t="shared" ca="1" si="102"/>
        <v/>
      </c>
      <c r="CE127" s="75" t="str">
        <f t="shared" ca="1" si="91"/>
        <v/>
      </c>
      <c r="CF127" s="75" t="str">
        <f t="shared" ca="1" si="91"/>
        <v/>
      </c>
      <c r="CG127" s="74" t="str">
        <f t="shared" ca="1" si="91"/>
        <v/>
      </c>
      <c r="CH127" s="74" t="str">
        <f t="shared" ca="1" si="91"/>
        <v/>
      </c>
      <c r="CI127" s="74" t="str">
        <f t="shared" ca="1" si="91"/>
        <v/>
      </c>
      <c r="CJ127" s="74" t="str">
        <f t="shared" ca="1" si="91"/>
        <v/>
      </c>
      <c r="CK127" s="74" t="str">
        <f t="shared" ca="1" si="91"/>
        <v/>
      </c>
      <c r="CL127" s="74" t="str">
        <f t="shared" ca="1" si="91"/>
        <v/>
      </c>
      <c r="CM127" s="74" t="str">
        <f t="shared" ca="1" si="91"/>
        <v/>
      </c>
      <c r="CN127" s="74" t="str">
        <f t="shared" ca="1" si="91"/>
        <v/>
      </c>
      <c r="CO127" s="74" t="str">
        <f t="shared" ca="1" si="91"/>
        <v/>
      </c>
      <c r="CP127" s="74" t="str">
        <f t="shared" ca="1" si="91"/>
        <v/>
      </c>
      <c r="CQ127" s="74" t="str">
        <f t="shared" ca="1" si="91"/>
        <v/>
      </c>
      <c r="CR127" s="74" t="str">
        <f t="shared" ca="1" si="91"/>
        <v/>
      </c>
      <c r="CS127" s="74" t="str">
        <f t="shared" ref="CE127:CT132" ca="1" si="106">IF($A127="", "", IF(INDIRECT($A127&amp; "!"&amp; CS$2)="", "", INDIRECT($A127&amp; "!"&amp; CS$2)))</f>
        <v/>
      </c>
      <c r="CT127" s="74" t="str">
        <f t="shared" ca="1" si="106"/>
        <v/>
      </c>
      <c r="CU127" s="74" t="str">
        <f t="shared" ca="1" si="103"/>
        <v/>
      </c>
      <c r="CV127" s="74" t="str">
        <f t="shared" ca="1" si="103"/>
        <v/>
      </c>
      <c r="CW127" s="74" t="str">
        <f t="shared" ca="1" si="103"/>
        <v/>
      </c>
      <c r="CX127" s="74" t="str">
        <f t="shared" ca="1" si="103"/>
        <v/>
      </c>
      <c r="CY127" s="74" t="str">
        <f t="shared" ca="1" si="103"/>
        <v/>
      </c>
      <c r="CZ127" s="75" t="str">
        <f t="shared" ca="1" si="103"/>
        <v/>
      </c>
      <c r="DA127" s="75" t="str">
        <f t="shared" ca="1" si="103"/>
        <v/>
      </c>
      <c r="DB127" s="75" t="str">
        <f t="shared" ca="1" si="103"/>
        <v/>
      </c>
      <c r="DC127" s="75" t="str">
        <f t="shared" ca="1" si="103"/>
        <v/>
      </c>
      <c r="DD127" s="75" t="str">
        <f t="shared" ca="1" si="103"/>
        <v/>
      </c>
      <c r="DE127" s="75" t="str">
        <f t="shared" ca="1" si="103"/>
        <v/>
      </c>
      <c r="DF127" s="75" t="str">
        <f t="shared" ca="1" si="103"/>
        <v/>
      </c>
      <c r="DG127" s="75" t="str">
        <f t="shared" ca="1" si="103"/>
        <v/>
      </c>
      <c r="DH127" s="75" t="str">
        <f t="shared" ca="1" si="103"/>
        <v/>
      </c>
      <c r="DI127" s="75" t="str">
        <f t="shared" ca="1" si="103"/>
        <v/>
      </c>
      <c r="DJ127" s="75" t="str">
        <f t="shared" ca="1" si="103"/>
        <v/>
      </c>
      <c r="DK127" s="75" t="str">
        <f t="shared" ca="1" si="92"/>
        <v/>
      </c>
      <c r="DL127" s="75" t="str">
        <f t="shared" ca="1" si="92"/>
        <v/>
      </c>
      <c r="DM127" s="75" t="str">
        <f t="shared" ca="1" si="92"/>
        <v/>
      </c>
      <c r="DN127" s="75" t="str">
        <f t="shared" ca="1" si="92"/>
        <v/>
      </c>
      <c r="DO127" s="75" t="str">
        <f t="shared" ca="1" si="92"/>
        <v/>
      </c>
      <c r="DP127" s="75" t="str">
        <f t="shared" ca="1" si="92"/>
        <v/>
      </c>
      <c r="DQ127" s="75" t="str">
        <f t="shared" ca="1" si="92"/>
        <v/>
      </c>
      <c r="DR127" s="75" t="str">
        <f t="shared" ca="1" si="92"/>
        <v/>
      </c>
      <c r="DS127" s="74" t="str">
        <f t="shared" ca="1" si="92"/>
        <v/>
      </c>
      <c r="DT127" s="74" t="str">
        <f t="shared" ca="1" si="92"/>
        <v/>
      </c>
      <c r="DU127" s="74" t="str">
        <f t="shared" ca="1" si="92"/>
        <v/>
      </c>
      <c r="DV127" s="74" t="str">
        <f t="shared" ca="1" si="92"/>
        <v/>
      </c>
      <c r="DW127" s="74" t="str">
        <f t="shared" ca="1" si="92"/>
        <v/>
      </c>
      <c r="DX127" s="74" t="str">
        <f t="shared" ca="1" si="92"/>
        <v/>
      </c>
      <c r="DY127" s="74" t="str">
        <f t="shared" ref="DK127:DZ132" ca="1" si="107">IF($A127="", "", IF(INDIRECT($A127&amp; "!"&amp; DY$2)="", "", INDIRECT($A127&amp; "!"&amp; DY$2)))</f>
        <v/>
      </c>
      <c r="DZ127" s="74" t="str">
        <f t="shared" ca="1" si="107"/>
        <v/>
      </c>
      <c r="EA127" s="74" t="str">
        <f t="shared" ca="1" si="104"/>
        <v/>
      </c>
      <c r="EB127" s="74" t="str">
        <f t="shared" ca="1" si="104"/>
        <v/>
      </c>
      <c r="EC127" s="74" t="str">
        <f t="shared" ca="1" si="104"/>
        <v/>
      </c>
      <c r="ED127" s="74" t="str">
        <f t="shared" ca="1" si="104"/>
        <v/>
      </c>
      <c r="EE127" s="74" t="str">
        <f t="shared" ca="1" si="104"/>
        <v/>
      </c>
      <c r="EF127" s="74" t="str">
        <f t="shared" ca="1" si="104"/>
        <v/>
      </c>
      <c r="EG127" s="74" t="str">
        <f t="shared" ca="1" si="104"/>
        <v/>
      </c>
      <c r="EH127" s="74" t="str">
        <f t="shared" ca="1" si="104"/>
        <v/>
      </c>
      <c r="EI127" s="74" t="str">
        <f t="shared" ca="1" si="104"/>
        <v/>
      </c>
      <c r="EJ127" s="74" t="str">
        <f t="shared" ca="1" si="104"/>
        <v/>
      </c>
      <c r="EK127" s="75" t="str">
        <f t="shared" ca="1" si="104"/>
        <v/>
      </c>
      <c r="EL127" s="75" t="str">
        <f t="shared" ca="1" si="104"/>
        <v/>
      </c>
      <c r="EM127" s="75" t="str">
        <f t="shared" ca="1" si="104"/>
        <v/>
      </c>
      <c r="EN127" s="75" t="str">
        <f t="shared" ca="1" si="104"/>
        <v/>
      </c>
      <c r="EO127" s="75" t="str">
        <f t="shared" ca="1" si="104"/>
        <v/>
      </c>
      <c r="EP127" s="75" t="str">
        <f t="shared" ca="1" si="104"/>
        <v/>
      </c>
      <c r="EQ127" s="75" t="str">
        <f t="shared" ca="1" si="93"/>
        <v/>
      </c>
      <c r="ER127" s="75" t="str">
        <f t="shared" ca="1" si="93"/>
        <v/>
      </c>
      <c r="ES127" s="75" t="str">
        <f t="shared" ca="1" si="93"/>
        <v/>
      </c>
      <c r="ET127" s="75" t="str">
        <f t="shared" ca="1" si="93"/>
        <v/>
      </c>
      <c r="EU127" s="75" t="str">
        <f t="shared" ca="1" si="93"/>
        <v/>
      </c>
      <c r="EV127" s="75" t="str">
        <f t="shared" ca="1" si="93"/>
        <v/>
      </c>
      <c r="EW127" s="75" t="str">
        <f t="shared" ca="1" si="93"/>
        <v/>
      </c>
      <c r="EX127" s="75" t="str">
        <f t="shared" ca="1" si="93"/>
        <v/>
      </c>
      <c r="EY127" s="75" t="str">
        <f t="shared" ca="1" si="93"/>
        <v/>
      </c>
      <c r="EZ127" s="75" t="str">
        <f t="shared" ca="1" si="93"/>
        <v/>
      </c>
      <c r="FA127" s="75" t="str">
        <f t="shared" ca="1" si="93"/>
        <v/>
      </c>
      <c r="FB127" s="75" t="str">
        <f t="shared" ca="1" si="93"/>
        <v/>
      </c>
      <c r="FC127" s="76" t="str">
        <f t="shared" ca="1" si="93"/>
        <v/>
      </c>
      <c r="FD127" s="74" t="str">
        <f t="shared" ca="1" si="93"/>
        <v/>
      </c>
      <c r="FE127" s="74" t="str">
        <f t="shared" ca="1" si="93"/>
        <v/>
      </c>
      <c r="FF127" s="74" t="str">
        <f t="shared" ref="EQ127:FF132" ca="1" si="108">IF($A127="", "", IF(INDIRECT($A127&amp; "!"&amp; FF$2)="", "", INDIRECT($A127&amp; "!"&amp; FF$2)))</f>
        <v/>
      </c>
      <c r="FG127" s="74" t="str">
        <f t="shared" ca="1" si="101"/>
        <v/>
      </c>
      <c r="FH127" s="74" t="str">
        <f t="shared" ca="1" si="101"/>
        <v/>
      </c>
      <c r="FI127" s="74" t="str">
        <f t="shared" ca="1" si="101"/>
        <v/>
      </c>
      <c r="FJ127" s="74" t="str">
        <f t="shared" ca="1" si="101"/>
        <v/>
      </c>
      <c r="FK127" s="74" t="str">
        <f t="shared" ca="1" si="101"/>
        <v/>
      </c>
      <c r="FL127" s="74" t="str">
        <f t="shared" ca="1" si="101"/>
        <v/>
      </c>
      <c r="FM127" s="74" t="str">
        <f t="shared" ca="1" si="101"/>
        <v/>
      </c>
      <c r="FN127" s="74" t="str">
        <f t="shared" ca="1" si="101"/>
        <v/>
      </c>
      <c r="FO127" s="74" t="str">
        <f t="shared" ca="1" si="101"/>
        <v/>
      </c>
      <c r="FP127" s="74" t="str">
        <f t="shared" ca="1" si="101"/>
        <v/>
      </c>
      <c r="FQ127" s="74" t="str">
        <f t="shared" ca="1" si="101"/>
        <v/>
      </c>
      <c r="FR127" s="74" t="str">
        <f t="shared" ca="1" si="101"/>
        <v/>
      </c>
      <c r="FS127" s="74" t="str">
        <f t="shared" ca="1" si="101"/>
        <v/>
      </c>
      <c r="FT127" s="74" t="str">
        <f t="shared" ca="1" si="101"/>
        <v/>
      </c>
    </row>
    <row r="128" spans="1:176" x14ac:dyDescent="0.35">
      <c r="A128" s="74"/>
      <c r="B128" s="74" t="str">
        <f t="shared" ca="1" si="95"/>
        <v/>
      </c>
      <c r="C128" s="74" t="str">
        <f t="shared" ca="1" si="95"/>
        <v/>
      </c>
      <c r="D128" s="74" t="str">
        <f t="shared" ca="1" si="95"/>
        <v/>
      </c>
      <c r="E128" s="74" t="str">
        <f t="shared" ca="1" si="95"/>
        <v/>
      </c>
      <c r="F128" t="str">
        <f t="shared" ca="1" si="96"/>
        <v/>
      </c>
      <c r="G128" t="str">
        <f t="shared" ca="1" si="96"/>
        <v/>
      </c>
      <c r="H128" t="str">
        <f t="shared" ca="1" si="96"/>
        <v/>
      </c>
      <c r="I128" s="74" t="str">
        <f t="shared" ca="1" si="95"/>
        <v/>
      </c>
      <c r="J128" s="74" t="str">
        <f t="shared" ca="1" si="95"/>
        <v/>
      </c>
      <c r="K128" s="74" t="str">
        <f t="shared" ca="1" si="95"/>
        <v/>
      </c>
      <c r="L128" s="74" t="str">
        <f t="shared" ca="1" si="95"/>
        <v/>
      </c>
      <c r="M128" s="74" t="str">
        <f t="shared" ca="1" si="95"/>
        <v/>
      </c>
      <c r="N128" s="74" t="str">
        <f t="shared" ca="1" si="95"/>
        <v/>
      </c>
      <c r="O128" s="74" t="str">
        <f t="shared" ca="1" si="95"/>
        <v/>
      </c>
      <c r="P128" s="74" t="str">
        <f t="shared" ca="1" si="95"/>
        <v/>
      </c>
      <c r="Q128" s="74" t="str">
        <f t="shared" ca="1" si="95"/>
        <v/>
      </c>
      <c r="R128" s="74" t="str">
        <f t="shared" ca="1" si="97"/>
        <v/>
      </c>
      <c r="S128" s="74" t="str">
        <f t="shared" ca="1" si="97"/>
        <v/>
      </c>
      <c r="T128" s="74" t="str">
        <f t="shared" ca="1" si="99"/>
        <v/>
      </c>
      <c r="U128" s="74" t="str">
        <f t="shared" ca="1" si="99"/>
        <v/>
      </c>
      <c r="V128" s="74" t="str">
        <f t="shared" ca="1" si="99"/>
        <v/>
      </c>
      <c r="W128" s="74" t="str">
        <f t="shared" ca="1" si="99"/>
        <v/>
      </c>
      <c r="X128" s="74" t="str">
        <f t="shared" ca="1" si="99"/>
        <v/>
      </c>
      <c r="Y128" s="74" t="str">
        <f t="shared" ca="1" si="99"/>
        <v/>
      </c>
      <c r="Z128" s="74" t="str">
        <f t="shared" ca="1" si="99"/>
        <v/>
      </c>
      <c r="AA128" s="74" t="str">
        <f t="shared" ca="1" si="99"/>
        <v/>
      </c>
      <c r="AB128" s="75" t="str">
        <f t="shared" ca="1" si="99"/>
        <v/>
      </c>
      <c r="AC128" s="75" t="str">
        <f t="shared" ca="1" si="99"/>
        <v/>
      </c>
      <c r="AD128" s="75" t="str">
        <f t="shared" ca="1" si="99"/>
        <v/>
      </c>
      <c r="AE128" s="75" t="str">
        <f t="shared" ca="1" si="99"/>
        <v/>
      </c>
      <c r="AF128" s="75" t="str">
        <f t="shared" ca="1" si="99"/>
        <v/>
      </c>
      <c r="AG128" s="75" t="str">
        <f t="shared" ca="1" si="99"/>
        <v/>
      </c>
      <c r="AH128" s="75" t="str">
        <f t="shared" ca="1" si="99"/>
        <v/>
      </c>
      <c r="AI128" s="75" t="str">
        <f t="shared" ca="1" si="100"/>
        <v/>
      </c>
      <c r="AJ128" s="75" t="str">
        <f t="shared" ca="1" si="100"/>
        <v/>
      </c>
      <c r="AK128" s="75" t="str">
        <f t="shared" ca="1" si="100"/>
        <v/>
      </c>
      <c r="AL128" s="75" t="str">
        <f t="shared" ca="1" si="100"/>
        <v/>
      </c>
      <c r="AM128" s="75" t="str">
        <f t="shared" ca="1" si="100"/>
        <v/>
      </c>
      <c r="AN128" s="75" t="str">
        <f t="shared" ca="1" si="100"/>
        <v/>
      </c>
      <c r="AO128" s="75" t="str">
        <f t="shared" ca="1" si="100"/>
        <v/>
      </c>
      <c r="AP128" s="75" t="str">
        <f t="shared" ca="1" si="100"/>
        <v/>
      </c>
      <c r="AQ128" s="75" t="str">
        <f t="shared" ca="1" si="100"/>
        <v/>
      </c>
      <c r="AR128" s="75" t="str">
        <f t="shared" ca="1" si="100"/>
        <v/>
      </c>
      <c r="AS128" s="75" t="str">
        <f t="shared" ca="1" si="100"/>
        <v/>
      </c>
      <c r="AT128" s="75" t="str">
        <f t="shared" ca="1" si="100"/>
        <v/>
      </c>
      <c r="AU128" s="74" t="str">
        <f t="shared" ca="1" si="100"/>
        <v/>
      </c>
      <c r="AV128" s="74" t="str">
        <f t="shared" ca="1" si="100"/>
        <v/>
      </c>
      <c r="AW128" s="74" t="str">
        <f t="shared" ca="1" si="98"/>
        <v/>
      </c>
      <c r="AX128" s="74" t="str">
        <f t="shared" ca="1" si="98"/>
        <v/>
      </c>
      <c r="AY128" s="74" t="str">
        <f t="shared" ca="1" si="105"/>
        <v/>
      </c>
      <c r="AZ128" s="74" t="str">
        <f t="shared" ca="1" si="105"/>
        <v/>
      </c>
      <c r="BA128" s="74" t="str">
        <f t="shared" ca="1" si="105"/>
        <v/>
      </c>
      <c r="BB128" s="74" t="str">
        <f t="shared" ca="1" si="105"/>
        <v/>
      </c>
      <c r="BC128" s="74" t="str">
        <f t="shared" ca="1" si="105"/>
        <v/>
      </c>
      <c r="BD128" s="74" t="str">
        <f t="shared" ca="1" si="105"/>
        <v/>
      </c>
      <c r="BE128" s="74" t="str">
        <f t="shared" ca="1" si="105"/>
        <v/>
      </c>
      <c r="BF128" s="74" t="str">
        <f t="shared" ca="1" si="105"/>
        <v/>
      </c>
      <c r="BG128" s="74" t="str">
        <f t="shared" ca="1" si="105"/>
        <v/>
      </c>
      <c r="BH128" s="74" t="str">
        <f t="shared" ca="1" si="105"/>
        <v/>
      </c>
      <c r="BI128" s="74" t="str">
        <f t="shared" ca="1" si="105"/>
        <v/>
      </c>
      <c r="BJ128" s="74" t="str">
        <f t="shared" ca="1" si="105"/>
        <v/>
      </c>
      <c r="BK128" s="74" t="str">
        <f t="shared" ca="1" si="105"/>
        <v/>
      </c>
      <c r="BL128" s="74" t="str">
        <f t="shared" ca="1" si="105"/>
        <v/>
      </c>
      <c r="BM128" s="74" t="str">
        <f t="shared" ca="1" si="105"/>
        <v/>
      </c>
      <c r="BN128" s="75" t="str">
        <f t="shared" ca="1" si="105"/>
        <v/>
      </c>
      <c r="BO128" s="75" t="str">
        <f t="shared" ca="1" si="102"/>
        <v/>
      </c>
      <c r="BP128" s="75" t="str">
        <f t="shared" ca="1" si="102"/>
        <v/>
      </c>
      <c r="BQ128" s="75" t="str">
        <f t="shared" ca="1" si="102"/>
        <v/>
      </c>
      <c r="BR128" s="75" t="str">
        <f t="shared" ca="1" si="102"/>
        <v/>
      </c>
      <c r="BS128" s="75" t="str">
        <f t="shared" ca="1" si="102"/>
        <v/>
      </c>
      <c r="BT128" s="75" t="str">
        <f t="shared" ca="1" si="102"/>
        <v/>
      </c>
      <c r="BU128" s="75" t="str">
        <f t="shared" ca="1" si="102"/>
        <v/>
      </c>
      <c r="BV128" s="75" t="str">
        <f t="shared" ca="1" si="102"/>
        <v/>
      </c>
      <c r="BW128" s="75" t="str">
        <f t="shared" ca="1" si="102"/>
        <v/>
      </c>
      <c r="BX128" s="75" t="str">
        <f t="shared" ca="1" si="102"/>
        <v/>
      </c>
      <c r="BY128" s="75" t="str">
        <f t="shared" ca="1" si="102"/>
        <v/>
      </c>
      <c r="BZ128" s="75" t="str">
        <f t="shared" ca="1" si="102"/>
        <v/>
      </c>
      <c r="CA128" s="75" t="str">
        <f t="shared" ca="1" si="102"/>
        <v/>
      </c>
      <c r="CB128" s="75" t="str">
        <f t="shared" ca="1" si="102"/>
        <v/>
      </c>
      <c r="CC128" s="75" t="str">
        <f t="shared" ca="1" si="102"/>
        <v/>
      </c>
      <c r="CD128" s="75" t="str">
        <f t="shared" ca="1" si="102"/>
        <v/>
      </c>
      <c r="CE128" s="75" t="str">
        <f t="shared" ca="1" si="106"/>
        <v/>
      </c>
      <c r="CF128" s="75" t="str">
        <f t="shared" ca="1" si="106"/>
        <v/>
      </c>
      <c r="CG128" s="74" t="str">
        <f t="shared" ca="1" si="106"/>
        <v/>
      </c>
      <c r="CH128" s="74" t="str">
        <f t="shared" ca="1" si="106"/>
        <v/>
      </c>
      <c r="CI128" s="74" t="str">
        <f t="shared" ca="1" si="106"/>
        <v/>
      </c>
      <c r="CJ128" s="74" t="str">
        <f t="shared" ca="1" si="106"/>
        <v/>
      </c>
      <c r="CK128" s="74" t="str">
        <f t="shared" ca="1" si="106"/>
        <v/>
      </c>
      <c r="CL128" s="74" t="str">
        <f t="shared" ca="1" si="106"/>
        <v/>
      </c>
      <c r="CM128" s="74" t="str">
        <f t="shared" ca="1" si="106"/>
        <v/>
      </c>
      <c r="CN128" s="74" t="str">
        <f t="shared" ca="1" si="106"/>
        <v/>
      </c>
      <c r="CO128" s="74" t="str">
        <f t="shared" ca="1" si="106"/>
        <v/>
      </c>
      <c r="CP128" s="74" t="str">
        <f t="shared" ca="1" si="106"/>
        <v/>
      </c>
      <c r="CQ128" s="74" t="str">
        <f t="shared" ca="1" si="106"/>
        <v/>
      </c>
      <c r="CR128" s="74" t="str">
        <f t="shared" ca="1" si="106"/>
        <v/>
      </c>
      <c r="CS128" s="74" t="str">
        <f t="shared" ca="1" si="106"/>
        <v/>
      </c>
      <c r="CT128" s="74" t="str">
        <f t="shared" ca="1" si="106"/>
        <v/>
      </c>
      <c r="CU128" s="74" t="str">
        <f t="shared" ca="1" si="103"/>
        <v/>
      </c>
      <c r="CV128" s="74" t="str">
        <f t="shared" ca="1" si="103"/>
        <v/>
      </c>
      <c r="CW128" s="74" t="str">
        <f t="shared" ca="1" si="103"/>
        <v/>
      </c>
      <c r="CX128" s="74" t="str">
        <f t="shared" ca="1" si="103"/>
        <v/>
      </c>
      <c r="CY128" s="74" t="str">
        <f t="shared" ca="1" si="103"/>
        <v/>
      </c>
      <c r="CZ128" s="75" t="str">
        <f t="shared" ca="1" si="103"/>
        <v/>
      </c>
      <c r="DA128" s="75" t="str">
        <f t="shared" ca="1" si="103"/>
        <v/>
      </c>
      <c r="DB128" s="75" t="str">
        <f t="shared" ca="1" si="103"/>
        <v/>
      </c>
      <c r="DC128" s="75" t="str">
        <f t="shared" ca="1" si="103"/>
        <v/>
      </c>
      <c r="DD128" s="75" t="str">
        <f t="shared" ca="1" si="103"/>
        <v/>
      </c>
      <c r="DE128" s="75" t="str">
        <f t="shared" ca="1" si="103"/>
        <v/>
      </c>
      <c r="DF128" s="75" t="str">
        <f t="shared" ca="1" si="103"/>
        <v/>
      </c>
      <c r="DG128" s="75" t="str">
        <f t="shared" ca="1" si="103"/>
        <v/>
      </c>
      <c r="DH128" s="75" t="str">
        <f t="shared" ca="1" si="103"/>
        <v/>
      </c>
      <c r="DI128" s="75" t="str">
        <f t="shared" ca="1" si="103"/>
        <v/>
      </c>
      <c r="DJ128" s="75" t="str">
        <f t="shared" ca="1" si="103"/>
        <v/>
      </c>
      <c r="DK128" s="75" t="str">
        <f t="shared" ca="1" si="107"/>
        <v/>
      </c>
      <c r="DL128" s="75" t="str">
        <f t="shared" ca="1" si="107"/>
        <v/>
      </c>
      <c r="DM128" s="75" t="str">
        <f t="shared" ca="1" si="107"/>
        <v/>
      </c>
      <c r="DN128" s="75" t="str">
        <f t="shared" ca="1" si="107"/>
        <v/>
      </c>
      <c r="DO128" s="75" t="str">
        <f t="shared" ca="1" si="107"/>
        <v/>
      </c>
      <c r="DP128" s="75" t="str">
        <f t="shared" ca="1" si="107"/>
        <v/>
      </c>
      <c r="DQ128" s="75" t="str">
        <f t="shared" ca="1" si="107"/>
        <v/>
      </c>
      <c r="DR128" s="75" t="str">
        <f t="shared" ca="1" si="107"/>
        <v/>
      </c>
      <c r="DS128" s="74" t="str">
        <f t="shared" ca="1" si="107"/>
        <v/>
      </c>
      <c r="DT128" s="74" t="str">
        <f t="shared" ca="1" si="107"/>
        <v/>
      </c>
      <c r="DU128" s="74" t="str">
        <f t="shared" ca="1" si="107"/>
        <v/>
      </c>
      <c r="DV128" s="74" t="str">
        <f t="shared" ca="1" si="107"/>
        <v/>
      </c>
      <c r="DW128" s="74" t="str">
        <f t="shared" ca="1" si="107"/>
        <v/>
      </c>
      <c r="DX128" s="74" t="str">
        <f t="shared" ca="1" si="107"/>
        <v/>
      </c>
      <c r="DY128" s="74" t="str">
        <f t="shared" ca="1" si="107"/>
        <v/>
      </c>
      <c r="DZ128" s="74" t="str">
        <f t="shared" ca="1" si="107"/>
        <v/>
      </c>
      <c r="EA128" s="74" t="str">
        <f t="shared" ca="1" si="104"/>
        <v/>
      </c>
      <c r="EB128" s="74" t="str">
        <f t="shared" ca="1" si="104"/>
        <v/>
      </c>
      <c r="EC128" s="74" t="str">
        <f t="shared" ca="1" si="104"/>
        <v/>
      </c>
      <c r="ED128" s="74" t="str">
        <f t="shared" ca="1" si="104"/>
        <v/>
      </c>
      <c r="EE128" s="74" t="str">
        <f t="shared" ca="1" si="104"/>
        <v/>
      </c>
      <c r="EF128" s="74" t="str">
        <f t="shared" ca="1" si="104"/>
        <v/>
      </c>
      <c r="EG128" s="74" t="str">
        <f t="shared" ca="1" si="104"/>
        <v/>
      </c>
      <c r="EH128" s="74" t="str">
        <f t="shared" ca="1" si="104"/>
        <v/>
      </c>
      <c r="EI128" s="74" t="str">
        <f t="shared" ca="1" si="104"/>
        <v/>
      </c>
      <c r="EJ128" s="74" t="str">
        <f t="shared" ca="1" si="104"/>
        <v/>
      </c>
      <c r="EK128" s="75" t="str">
        <f t="shared" ca="1" si="104"/>
        <v/>
      </c>
      <c r="EL128" s="75" t="str">
        <f t="shared" ca="1" si="104"/>
        <v/>
      </c>
      <c r="EM128" s="75" t="str">
        <f t="shared" ca="1" si="104"/>
        <v/>
      </c>
      <c r="EN128" s="75" t="str">
        <f t="shared" ca="1" si="104"/>
        <v/>
      </c>
      <c r="EO128" s="75" t="str">
        <f t="shared" ca="1" si="104"/>
        <v/>
      </c>
      <c r="EP128" s="75" t="str">
        <f t="shared" ca="1" si="104"/>
        <v/>
      </c>
      <c r="EQ128" s="75" t="str">
        <f t="shared" ca="1" si="108"/>
        <v/>
      </c>
      <c r="ER128" s="75" t="str">
        <f t="shared" ca="1" si="108"/>
        <v/>
      </c>
      <c r="ES128" s="75" t="str">
        <f t="shared" ca="1" si="108"/>
        <v/>
      </c>
      <c r="ET128" s="75" t="str">
        <f t="shared" ca="1" si="108"/>
        <v/>
      </c>
      <c r="EU128" s="75" t="str">
        <f t="shared" ca="1" si="108"/>
        <v/>
      </c>
      <c r="EV128" s="75" t="str">
        <f t="shared" ca="1" si="108"/>
        <v/>
      </c>
      <c r="EW128" s="75" t="str">
        <f t="shared" ca="1" si="108"/>
        <v/>
      </c>
      <c r="EX128" s="75" t="str">
        <f t="shared" ca="1" si="108"/>
        <v/>
      </c>
      <c r="EY128" s="75" t="str">
        <f t="shared" ca="1" si="108"/>
        <v/>
      </c>
      <c r="EZ128" s="75" t="str">
        <f t="shared" ca="1" si="108"/>
        <v/>
      </c>
      <c r="FA128" s="75" t="str">
        <f t="shared" ca="1" si="108"/>
        <v/>
      </c>
      <c r="FB128" s="75" t="str">
        <f t="shared" ca="1" si="108"/>
        <v/>
      </c>
      <c r="FC128" s="76" t="str">
        <f t="shared" ca="1" si="108"/>
        <v/>
      </c>
      <c r="FD128" s="74" t="str">
        <f t="shared" ca="1" si="108"/>
        <v/>
      </c>
      <c r="FE128" s="74" t="str">
        <f t="shared" ca="1" si="108"/>
        <v/>
      </c>
      <c r="FF128" s="74" t="str">
        <f t="shared" ca="1" si="108"/>
        <v/>
      </c>
      <c r="FG128" s="74" t="str">
        <f t="shared" ca="1" si="101"/>
        <v/>
      </c>
      <c r="FH128" s="74" t="str">
        <f t="shared" ca="1" si="101"/>
        <v/>
      </c>
      <c r="FI128" s="74" t="str">
        <f t="shared" ca="1" si="101"/>
        <v/>
      </c>
      <c r="FJ128" s="74" t="str">
        <f t="shared" ca="1" si="101"/>
        <v/>
      </c>
      <c r="FK128" s="74" t="str">
        <f t="shared" ca="1" si="101"/>
        <v/>
      </c>
      <c r="FL128" s="74" t="str">
        <f t="shared" ca="1" si="101"/>
        <v/>
      </c>
      <c r="FM128" s="74" t="str">
        <f t="shared" ca="1" si="101"/>
        <v/>
      </c>
      <c r="FN128" s="74" t="str">
        <f t="shared" ca="1" si="101"/>
        <v/>
      </c>
      <c r="FO128" s="74" t="str">
        <f t="shared" ca="1" si="101"/>
        <v/>
      </c>
      <c r="FP128" s="74" t="str">
        <f t="shared" ca="1" si="101"/>
        <v/>
      </c>
      <c r="FQ128" s="74" t="str">
        <f t="shared" ca="1" si="101"/>
        <v/>
      </c>
      <c r="FR128" s="74" t="str">
        <f t="shared" ca="1" si="101"/>
        <v/>
      </c>
      <c r="FS128" s="74" t="str">
        <f t="shared" ca="1" si="101"/>
        <v/>
      </c>
      <c r="FT128" s="74" t="str">
        <f t="shared" ca="1" si="101"/>
        <v/>
      </c>
    </row>
    <row r="129" spans="1:176" x14ac:dyDescent="0.35">
      <c r="A129" s="74"/>
      <c r="B129" s="74" t="str">
        <f t="shared" ca="1" si="95"/>
        <v/>
      </c>
      <c r="C129" s="74" t="str">
        <f t="shared" ca="1" si="95"/>
        <v/>
      </c>
      <c r="D129" s="74" t="str">
        <f t="shared" ca="1" si="95"/>
        <v/>
      </c>
      <c r="E129" s="74" t="str">
        <f t="shared" ca="1" si="95"/>
        <v/>
      </c>
      <c r="F129" t="str">
        <f t="shared" ca="1" si="96"/>
        <v/>
      </c>
      <c r="G129" t="str">
        <f t="shared" ca="1" si="96"/>
        <v/>
      </c>
      <c r="H129" t="str">
        <f t="shared" ca="1" si="96"/>
        <v/>
      </c>
      <c r="I129" s="74" t="str">
        <f t="shared" ca="1" si="95"/>
        <v/>
      </c>
      <c r="J129" s="74" t="str">
        <f t="shared" ca="1" si="95"/>
        <v/>
      </c>
      <c r="K129" s="74" t="str">
        <f t="shared" ca="1" si="95"/>
        <v/>
      </c>
      <c r="L129" s="74" t="str">
        <f t="shared" ca="1" si="95"/>
        <v/>
      </c>
      <c r="M129" s="74" t="str">
        <f t="shared" ca="1" si="95"/>
        <v/>
      </c>
      <c r="N129" s="74" t="str">
        <f t="shared" ca="1" si="95"/>
        <v/>
      </c>
      <c r="O129" s="74" t="str">
        <f t="shared" ca="1" si="95"/>
        <v/>
      </c>
      <c r="P129" s="74" t="str">
        <f t="shared" ca="1" si="95"/>
        <v/>
      </c>
      <c r="Q129" s="74" t="str">
        <f t="shared" ca="1" si="95"/>
        <v/>
      </c>
      <c r="R129" s="74" t="str">
        <f t="shared" ca="1" si="97"/>
        <v/>
      </c>
      <c r="S129" s="74" t="str">
        <f t="shared" ca="1" si="97"/>
        <v/>
      </c>
      <c r="T129" s="74" t="str">
        <f t="shared" ca="1" si="99"/>
        <v/>
      </c>
      <c r="U129" s="74" t="str">
        <f t="shared" ca="1" si="99"/>
        <v/>
      </c>
      <c r="V129" s="74" t="str">
        <f t="shared" ca="1" si="99"/>
        <v/>
      </c>
      <c r="W129" s="74" t="str">
        <f t="shared" ca="1" si="99"/>
        <v/>
      </c>
      <c r="X129" s="74" t="str">
        <f t="shared" ca="1" si="99"/>
        <v/>
      </c>
      <c r="Y129" s="74" t="str">
        <f t="shared" ca="1" si="99"/>
        <v/>
      </c>
      <c r="Z129" s="74" t="str">
        <f t="shared" ca="1" si="99"/>
        <v/>
      </c>
      <c r="AA129" s="74" t="str">
        <f t="shared" ca="1" si="99"/>
        <v/>
      </c>
      <c r="AB129" s="75" t="str">
        <f t="shared" ca="1" si="99"/>
        <v/>
      </c>
      <c r="AC129" s="75" t="str">
        <f t="shared" ca="1" si="99"/>
        <v/>
      </c>
      <c r="AD129" s="75" t="str">
        <f t="shared" ca="1" si="99"/>
        <v/>
      </c>
      <c r="AE129" s="75" t="str">
        <f t="shared" ca="1" si="99"/>
        <v/>
      </c>
      <c r="AF129" s="75" t="str">
        <f t="shared" ca="1" si="99"/>
        <v/>
      </c>
      <c r="AG129" s="75" t="str">
        <f t="shared" ca="1" si="99"/>
        <v/>
      </c>
      <c r="AH129" s="75" t="str">
        <f t="shared" ca="1" si="99"/>
        <v/>
      </c>
      <c r="AI129" s="75" t="str">
        <f t="shared" ca="1" si="100"/>
        <v/>
      </c>
      <c r="AJ129" s="75" t="str">
        <f t="shared" ca="1" si="100"/>
        <v/>
      </c>
      <c r="AK129" s="75" t="str">
        <f t="shared" ca="1" si="100"/>
        <v/>
      </c>
      <c r="AL129" s="75" t="str">
        <f t="shared" ca="1" si="100"/>
        <v/>
      </c>
      <c r="AM129" s="75" t="str">
        <f t="shared" ca="1" si="100"/>
        <v/>
      </c>
      <c r="AN129" s="75" t="str">
        <f t="shared" ca="1" si="100"/>
        <v/>
      </c>
      <c r="AO129" s="75" t="str">
        <f t="shared" ca="1" si="100"/>
        <v/>
      </c>
      <c r="AP129" s="75" t="str">
        <f t="shared" ca="1" si="100"/>
        <v/>
      </c>
      <c r="AQ129" s="75" t="str">
        <f t="shared" ca="1" si="100"/>
        <v/>
      </c>
      <c r="AR129" s="75" t="str">
        <f t="shared" ca="1" si="100"/>
        <v/>
      </c>
      <c r="AS129" s="75" t="str">
        <f t="shared" ca="1" si="100"/>
        <v/>
      </c>
      <c r="AT129" s="75" t="str">
        <f t="shared" ca="1" si="100"/>
        <v/>
      </c>
      <c r="AU129" s="74" t="str">
        <f t="shared" ca="1" si="100"/>
        <v/>
      </c>
      <c r="AV129" s="74" t="str">
        <f t="shared" ca="1" si="100"/>
        <v/>
      </c>
      <c r="AW129" s="74" t="str">
        <f t="shared" ca="1" si="98"/>
        <v/>
      </c>
      <c r="AX129" s="74" t="str">
        <f t="shared" ca="1" si="98"/>
        <v/>
      </c>
      <c r="AY129" s="74" t="str">
        <f t="shared" ca="1" si="105"/>
        <v/>
      </c>
      <c r="AZ129" s="74" t="str">
        <f t="shared" ca="1" si="105"/>
        <v/>
      </c>
      <c r="BA129" s="74" t="str">
        <f t="shared" ca="1" si="105"/>
        <v/>
      </c>
      <c r="BB129" s="74" t="str">
        <f t="shared" ca="1" si="105"/>
        <v/>
      </c>
      <c r="BC129" s="74" t="str">
        <f t="shared" ca="1" si="105"/>
        <v/>
      </c>
      <c r="BD129" s="74" t="str">
        <f t="shared" ca="1" si="105"/>
        <v/>
      </c>
      <c r="BE129" s="74" t="str">
        <f t="shared" ca="1" si="105"/>
        <v/>
      </c>
      <c r="BF129" s="74" t="str">
        <f t="shared" ca="1" si="105"/>
        <v/>
      </c>
      <c r="BG129" s="74" t="str">
        <f t="shared" ca="1" si="105"/>
        <v/>
      </c>
      <c r="BH129" s="74" t="str">
        <f t="shared" ca="1" si="105"/>
        <v/>
      </c>
      <c r="BI129" s="74" t="str">
        <f t="shared" ca="1" si="105"/>
        <v/>
      </c>
      <c r="BJ129" s="74" t="str">
        <f t="shared" ca="1" si="105"/>
        <v/>
      </c>
      <c r="BK129" s="74" t="str">
        <f t="shared" ca="1" si="105"/>
        <v/>
      </c>
      <c r="BL129" s="74" t="str">
        <f t="shared" ca="1" si="105"/>
        <v/>
      </c>
      <c r="BM129" s="74" t="str">
        <f t="shared" ca="1" si="105"/>
        <v/>
      </c>
      <c r="BN129" s="75" t="str">
        <f t="shared" ca="1" si="105"/>
        <v/>
      </c>
      <c r="BO129" s="75" t="str">
        <f t="shared" ca="1" si="102"/>
        <v/>
      </c>
      <c r="BP129" s="75" t="str">
        <f t="shared" ca="1" si="102"/>
        <v/>
      </c>
      <c r="BQ129" s="75" t="str">
        <f t="shared" ca="1" si="102"/>
        <v/>
      </c>
      <c r="BR129" s="75" t="str">
        <f t="shared" ca="1" si="102"/>
        <v/>
      </c>
      <c r="BS129" s="75" t="str">
        <f t="shared" ca="1" si="102"/>
        <v/>
      </c>
      <c r="BT129" s="75" t="str">
        <f t="shared" ca="1" si="102"/>
        <v/>
      </c>
      <c r="BU129" s="75" t="str">
        <f t="shared" ca="1" si="102"/>
        <v/>
      </c>
      <c r="BV129" s="75" t="str">
        <f t="shared" ca="1" si="102"/>
        <v/>
      </c>
      <c r="BW129" s="75" t="str">
        <f t="shared" ca="1" si="102"/>
        <v/>
      </c>
      <c r="BX129" s="75" t="str">
        <f t="shared" ca="1" si="102"/>
        <v/>
      </c>
      <c r="BY129" s="75" t="str">
        <f t="shared" ca="1" si="102"/>
        <v/>
      </c>
      <c r="BZ129" s="75" t="str">
        <f t="shared" ca="1" si="102"/>
        <v/>
      </c>
      <c r="CA129" s="75" t="str">
        <f t="shared" ca="1" si="102"/>
        <v/>
      </c>
      <c r="CB129" s="75" t="str">
        <f t="shared" ca="1" si="102"/>
        <v/>
      </c>
      <c r="CC129" s="75" t="str">
        <f t="shared" ca="1" si="102"/>
        <v/>
      </c>
      <c r="CD129" s="75" t="str">
        <f t="shared" ca="1" si="102"/>
        <v/>
      </c>
      <c r="CE129" s="75" t="str">
        <f t="shared" ca="1" si="106"/>
        <v/>
      </c>
      <c r="CF129" s="75" t="str">
        <f t="shared" ca="1" si="106"/>
        <v/>
      </c>
      <c r="CG129" s="74" t="str">
        <f t="shared" ca="1" si="106"/>
        <v/>
      </c>
      <c r="CH129" s="74" t="str">
        <f t="shared" ca="1" si="106"/>
        <v/>
      </c>
      <c r="CI129" s="74" t="str">
        <f t="shared" ca="1" si="106"/>
        <v/>
      </c>
      <c r="CJ129" s="74" t="str">
        <f t="shared" ca="1" si="106"/>
        <v/>
      </c>
      <c r="CK129" s="74" t="str">
        <f t="shared" ca="1" si="106"/>
        <v/>
      </c>
      <c r="CL129" s="74" t="str">
        <f t="shared" ca="1" si="106"/>
        <v/>
      </c>
      <c r="CM129" s="74" t="str">
        <f t="shared" ca="1" si="106"/>
        <v/>
      </c>
      <c r="CN129" s="74" t="str">
        <f t="shared" ca="1" si="106"/>
        <v/>
      </c>
      <c r="CO129" s="74" t="str">
        <f t="shared" ca="1" si="106"/>
        <v/>
      </c>
      <c r="CP129" s="74" t="str">
        <f t="shared" ca="1" si="106"/>
        <v/>
      </c>
      <c r="CQ129" s="74" t="str">
        <f t="shared" ca="1" si="106"/>
        <v/>
      </c>
      <c r="CR129" s="74" t="str">
        <f t="shared" ca="1" si="106"/>
        <v/>
      </c>
      <c r="CS129" s="74" t="str">
        <f t="shared" ca="1" si="106"/>
        <v/>
      </c>
      <c r="CT129" s="74" t="str">
        <f t="shared" ca="1" si="106"/>
        <v/>
      </c>
      <c r="CU129" s="74" t="str">
        <f t="shared" ca="1" si="103"/>
        <v/>
      </c>
      <c r="CV129" s="74" t="str">
        <f t="shared" ca="1" si="103"/>
        <v/>
      </c>
      <c r="CW129" s="74" t="str">
        <f t="shared" ca="1" si="103"/>
        <v/>
      </c>
      <c r="CX129" s="74" t="str">
        <f t="shared" ca="1" si="103"/>
        <v/>
      </c>
      <c r="CY129" s="74" t="str">
        <f t="shared" ca="1" si="103"/>
        <v/>
      </c>
      <c r="CZ129" s="75" t="str">
        <f t="shared" ca="1" si="103"/>
        <v/>
      </c>
      <c r="DA129" s="75" t="str">
        <f t="shared" ca="1" si="103"/>
        <v/>
      </c>
      <c r="DB129" s="75" t="str">
        <f t="shared" ca="1" si="103"/>
        <v/>
      </c>
      <c r="DC129" s="75" t="str">
        <f t="shared" ca="1" si="103"/>
        <v/>
      </c>
      <c r="DD129" s="75" t="str">
        <f t="shared" ca="1" si="103"/>
        <v/>
      </c>
      <c r="DE129" s="75" t="str">
        <f t="shared" ca="1" si="103"/>
        <v/>
      </c>
      <c r="DF129" s="75" t="str">
        <f t="shared" ca="1" si="103"/>
        <v/>
      </c>
      <c r="DG129" s="75" t="str">
        <f t="shared" ca="1" si="103"/>
        <v/>
      </c>
      <c r="DH129" s="75" t="str">
        <f t="shared" ca="1" si="103"/>
        <v/>
      </c>
      <c r="DI129" s="75" t="str">
        <f t="shared" ca="1" si="103"/>
        <v/>
      </c>
      <c r="DJ129" s="75" t="str">
        <f t="shared" ca="1" si="103"/>
        <v/>
      </c>
      <c r="DK129" s="75" t="str">
        <f t="shared" ca="1" si="107"/>
        <v/>
      </c>
      <c r="DL129" s="75" t="str">
        <f t="shared" ca="1" si="107"/>
        <v/>
      </c>
      <c r="DM129" s="75" t="str">
        <f t="shared" ca="1" si="107"/>
        <v/>
      </c>
      <c r="DN129" s="75" t="str">
        <f t="shared" ca="1" si="107"/>
        <v/>
      </c>
      <c r="DO129" s="75" t="str">
        <f t="shared" ca="1" si="107"/>
        <v/>
      </c>
      <c r="DP129" s="75" t="str">
        <f t="shared" ca="1" si="107"/>
        <v/>
      </c>
      <c r="DQ129" s="75" t="str">
        <f t="shared" ca="1" si="107"/>
        <v/>
      </c>
      <c r="DR129" s="75" t="str">
        <f t="shared" ca="1" si="107"/>
        <v/>
      </c>
      <c r="DS129" s="74" t="str">
        <f t="shared" ca="1" si="107"/>
        <v/>
      </c>
      <c r="DT129" s="74" t="str">
        <f t="shared" ca="1" si="107"/>
        <v/>
      </c>
      <c r="DU129" s="74" t="str">
        <f t="shared" ca="1" si="107"/>
        <v/>
      </c>
      <c r="DV129" s="74" t="str">
        <f t="shared" ca="1" si="107"/>
        <v/>
      </c>
      <c r="DW129" s="74" t="str">
        <f t="shared" ca="1" si="107"/>
        <v/>
      </c>
      <c r="DX129" s="74" t="str">
        <f t="shared" ca="1" si="107"/>
        <v/>
      </c>
      <c r="DY129" s="74" t="str">
        <f t="shared" ca="1" si="107"/>
        <v/>
      </c>
      <c r="DZ129" s="74" t="str">
        <f t="shared" ca="1" si="107"/>
        <v/>
      </c>
      <c r="EA129" s="74" t="str">
        <f t="shared" ca="1" si="104"/>
        <v/>
      </c>
      <c r="EB129" s="74" t="str">
        <f t="shared" ca="1" si="104"/>
        <v/>
      </c>
      <c r="EC129" s="74" t="str">
        <f t="shared" ca="1" si="104"/>
        <v/>
      </c>
      <c r="ED129" s="74" t="str">
        <f t="shared" ca="1" si="104"/>
        <v/>
      </c>
      <c r="EE129" s="74" t="str">
        <f t="shared" ca="1" si="104"/>
        <v/>
      </c>
      <c r="EF129" s="74" t="str">
        <f t="shared" ca="1" si="104"/>
        <v/>
      </c>
      <c r="EG129" s="74" t="str">
        <f t="shared" ca="1" si="104"/>
        <v/>
      </c>
      <c r="EH129" s="74" t="str">
        <f t="shared" ca="1" si="104"/>
        <v/>
      </c>
      <c r="EI129" s="74" t="str">
        <f t="shared" ca="1" si="104"/>
        <v/>
      </c>
      <c r="EJ129" s="74" t="str">
        <f t="shared" ca="1" si="104"/>
        <v/>
      </c>
      <c r="EK129" s="75" t="str">
        <f t="shared" ca="1" si="104"/>
        <v/>
      </c>
      <c r="EL129" s="75" t="str">
        <f t="shared" ca="1" si="104"/>
        <v/>
      </c>
      <c r="EM129" s="75" t="str">
        <f t="shared" ca="1" si="104"/>
        <v/>
      </c>
      <c r="EN129" s="75" t="str">
        <f t="shared" ca="1" si="104"/>
        <v/>
      </c>
      <c r="EO129" s="75" t="str">
        <f t="shared" ca="1" si="104"/>
        <v/>
      </c>
      <c r="EP129" s="75" t="str">
        <f t="shared" ca="1" si="104"/>
        <v/>
      </c>
      <c r="EQ129" s="75" t="str">
        <f t="shared" ca="1" si="108"/>
        <v/>
      </c>
      <c r="ER129" s="75" t="str">
        <f t="shared" ca="1" si="108"/>
        <v/>
      </c>
      <c r="ES129" s="75" t="str">
        <f t="shared" ca="1" si="108"/>
        <v/>
      </c>
      <c r="ET129" s="75" t="str">
        <f t="shared" ca="1" si="108"/>
        <v/>
      </c>
      <c r="EU129" s="75" t="str">
        <f t="shared" ca="1" si="108"/>
        <v/>
      </c>
      <c r="EV129" s="75" t="str">
        <f t="shared" ca="1" si="108"/>
        <v/>
      </c>
      <c r="EW129" s="75" t="str">
        <f t="shared" ca="1" si="108"/>
        <v/>
      </c>
      <c r="EX129" s="75" t="str">
        <f t="shared" ca="1" si="108"/>
        <v/>
      </c>
      <c r="EY129" s="75" t="str">
        <f t="shared" ca="1" si="108"/>
        <v/>
      </c>
      <c r="EZ129" s="75" t="str">
        <f t="shared" ca="1" si="108"/>
        <v/>
      </c>
      <c r="FA129" s="75" t="str">
        <f t="shared" ca="1" si="108"/>
        <v/>
      </c>
      <c r="FB129" s="75" t="str">
        <f t="shared" ca="1" si="108"/>
        <v/>
      </c>
      <c r="FC129" s="76" t="str">
        <f t="shared" ca="1" si="108"/>
        <v/>
      </c>
      <c r="FD129" s="74" t="str">
        <f t="shared" ca="1" si="108"/>
        <v/>
      </c>
      <c r="FE129" s="74" t="str">
        <f t="shared" ca="1" si="108"/>
        <v/>
      </c>
      <c r="FF129" s="74" t="str">
        <f t="shared" ca="1" si="108"/>
        <v/>
      </c>
      <c r="FG129" s="74" t="str">
        <f t="shared" ca="1" si="101"/>
        <v/>
      </c>
      <c r="FH129" s="74" t="str">
        <f t="shared" ca="1" si="101"/>
        <v/>
      </c>
      <c r="FI129" s="74" t="str">
        <f t="shared" ca="1" si="101"/>
        <v/>
      </c>
      <c r="FJ129" s="74" t="str">
        <f t="shared" ca="1" si="101"/>
        <v/>
      </c>
      <c r="FK129" s="74" t="str">
        <f t="shared" ca="1" si="101"/>
        <v/>
      </c>
      <c r="FL129" s="74" t="str">
        <f t="shared" ca="1" si="101"/>
        <v/>
      </c>
      <c r="FM129" s="74" t="str">
        <f t="shared" ca="1" si="101"/>
        <v/>
      </c>
      <c r="FN129" s="74" t="str">
        <f t="shared" ca="1" si="101"/>
        <v/>
      </c>
      <c r="FO129" s="74" t="str">
        <f t="shared" ca="1" si="101"/>
        <v/>
      </c>
      <c r="FP129" s="74" t="str">
        <f t="shared" ca="1" si="101"/>
        <v/>
      </c>
      <c r="FQ129" s="74" t="str">
        <f t="shared" ca="1" si="101"/>
        <v/>
      </c>
      <c r="FR129" s="74" t="str">
        <f t="shared" ca="1" si="101"/>
        <v/>
      </c>
      <c r="FS129" s="74" t="str">
        <f t="shared" ca="1" si="101"/>
        <v/>
      </c>
      <c r="FT129" s="74" t="str">
        <f t="shared" ca="1" si="101"/>
        <v/>
      </c>
    </row>
    <row r="130" spans="1:176" x14ac:dyDescent="0.35">
      <c r="A130" s="74"/>
      <c r="B130" s="74" t="str">
        <f t="shared" ca="1" si="95"/>
        <v/>
      </c>
      <c r="C130" s="74" t="str">
        <f t="shared" ca="1" si="95"/>
        <v/>
      </c>
      <c r="D130" s="74" t="str">
        <f t="shared" ca="1" si="95"/>
        <v/>
      </c>
      <c r="E130" s="74" t="str">
        <f t="shared" ca="1" si="95"/>
        <v/>
      </c>
      <c r="F130" t="str">
        <f t="shared" ca="1" si="96"/>
        <v/>
      </c>
      <c r="G130" t="str">
        <f t="shared" ca="1" si="96"/>
        <v/>
      </c>
      <c r="H130" t="str">
        <f t="shared" ca="1" si="96"/>
        <v/>
      </c>
      <c r="I130" s="74" t="str">
        <f t="shared" ca="1" si="95"/>
        <v/>
      </c>
      <c r="J130" s="74" t="str">
        <f t="shared" ca="1" si="95"/>
        <v/>
      </c>
      <c r="K130" s="74" t="str">
        <f t="shared" ca="1" si="95"/>
        <v/>
      </c>
      <c r="L130" s="74" t="str">
        <f t="shared" ca="1" si="95"/>
        <v/>
      </c>
      <c r="M130" s="74" t="str">
        <f t="shared" ca="1" si="95"/>
        <v/>
      </c>
      <c r="N130" s="74" t="str">
        <f t="shared" ca="1" si="95"/>
        <v/>
      </c>
      <c r="O130" s="74" t="str">
        <f t="shared" ca="1" si="95"/>
        <v/>
      </c>
      <c r="P130" s="74" t="str">
        <f t="shared" ca="1" si="95"/>
        <v/>
      </c>
      <c r="Q130" s="74" t="str">
        <f t="shared" ca="1" si="95"/>
        <v/>
      </c>
      <c r="R130" s="74" t="str">
        <f t="shared" ca="1" si="97"/>
        <v/>
      </c>
      <c r="S130" s="74" t="str">
        <f t="shared" ca="1" si="97"/>
        <v/>
      </c>
      <c r="T130" s="74" t="str">
        <f t="shared" ca="1" si="99"/>
        <v/>
      </c>
      <c r="U130" s="74" t="str">
        <f t="shared" ca="1" si="99"/>
        <v/>
      </c>
      <c r="V130" s="74" t="str">
        <f t="shared" ca="1" si="99"/>
        <v/>
      </c>
      <c r="W130" s="74" t="str">
        <f t="shared" ca="1" si="99"/>
        <v/>
      </c>
      <c r="X130" s="74" t="str">
        <f t="shared" ca="1" si="99"/>
        <v/>
      </c>
      <c r="Y130" s="74" t="str">
        <f t="shared" ca="1" si="99"/>
        <v/>
      </c>
      <c r="Z130" s="74" t="str">
        <f t="shared" ca="1" si="99"/>
        <v/>
      </c>
      <c r="AA130" s="74" t="str">
        <f t="shared" ca="1" si="99"/>
        <v/>
      </c>
      <c r="AB130" s="75" t="str">
        <f t="shared" ca="1" si="99"/>
        <v/>
      </c>
      <c r="AC130" s="75" t="str">
        <f t="shared" ca="1" si="99"/>
        <v/>
      </c>
      <c r="AD130" s="75" t="str">
        <f t="shared" ca="1" si="99"/>
        <v/>
      </c>
      <c r="AE130" s="75" t="str">
        <f t="shared" ca="1" si="99"/>
        <v/>
      </c>
      <c r="AF130" s="75" t="str">
        <f t="shared" ca="1" si="99"/>
        <v/>
      </c>
      <c r="AG130" s="75" t="str">
        <f t="shared" ca="1" si="99"/>
        <v/>
      </c>
      <c r="AH130" s="75" t="str">
        <f t="shared" ca="1" si="99"/>
        <v/>
      </c>
      <c r="AI130" s="75" t="str">
        <f t="shared" ca="1" si="100"/>
        <v/>
      </c>
      <c r="AJ130" s="75" t="str">
        <f t="shared" ca="1" si="100"/>
        <v/>
      </c>
      <c r="AK130" s="75" t="str">
        <f t="shared" ca="1" si="100"/>
        <v/>
      </c>
      <c r="AL130" s="75" t="str">
        <f t="shared" ca="1" si="100"/>
        <v/>
      </c>
      <c r="AM130" s="75" t="str">
        <f t="shared" ca="1" si="100"/>
        <v/>
      </c>
      <c r="AN130" s="75" t="str">
        <f t="shared" ca="1" si="100"/>
        <v/>
      </c>
      <c r="AO130" s="75" t="str">
        <f t="shared" ca="1" si="100"/>
        <v/>
      </c>
      <c r="AP130" s="75" t="str">
        <f t="shared" ca="1" si="100"/>
        <v/>
      </c>
      <c r="AQ130" s="75" t="str">
        <f t="shared" ca="1" si="100"/>
        <v/>
      </c>
      <c r="AR130" s="75" t="str">
        <f t="shared" ca="1" si="100"/>
        <v/>
      </c>
      <c r="AS130" s="75" t="str">
        <f t="shared" ca="1" si="100"/>
        <v/>
      </c>
      <c r="AT130" s="75" t="str">
        <f t="shared" ca="1" si="100"/>
        <v/>
      </c>
      <c r="AU130" s="74" t="str">
        <f t="shared" ca="1" si="100"/>
        <v/>
      </c>
      <c r="AV130" s="74" t="str">
        <f t="shared" ca="1" si="100"/>
        <v/>
      </c>
      <c r="AW130" s="74" t="str">
        <f t="shared" ca="1" si="98"/>
        <v/>
      </c>
      <c r="AX130" s="74" t="str">
        <f t="shared" ca="1" si="98"/>
        <v/>
      </c>
      <c r="AY130" s="74" t="str">
        <f t="shared" ca="1" si="105"/>
        <v/>
      </c>
      <c r="AZ130" s="74" t="str">
        <f t="shared" ca="1" si="105"/>
        <v/>
      </c>
      <c r="BA130" s="74" t="str">
        <f t="shared" ca="1" si="105"/>
        <v/>
      </c>
      <c r="BB130" s="74" t="str">
        <f t="shared" ca="1" si="105"/>
        <v/>
      </c>
      <c r="BC130" s="74" t="str">
        <f t="shared" ca="1" si="105"/>
        <v/>
      </c>
      <c r="BD130" s="74" t="str">
        <f t="shared" ca="1" si="105"/>
        <v/>
      </c>
      <c r="BE130" s="74" t="str">
        <f t="shared" ca="1" si="105"/>
        <v/>
      </c>
      <c r="BF130" s="74" t="str">
        <f t="shared" ca="1" si="105"/>
        <v/>
      </c>
      <c r="BG130" s="74" t="str">
        <f t="shared" ca="1" si="105"/>
        <v/>
      </c>
      <c r="BH130" s="74" t="str">
        <f t="shared" ca="1" si="105"/>
        <v/>
      </c>
      <c r="BI130" s="74" t="str">
        <f t="shared" ca="1" si="105"/>
        <v/>
      </c>
      <c r="BJ130" s="74" t="str">
        <f t="shared" ca="1" si="105"/>
        <v/>
      </c>
      <c r="BK130" s="74" t="str">
        <f t="shared" ca="1" si="105"/>
        <v/>
      </c>
      <c r="BL130" s="74" t="str">
        <f t="shared" ca="1" si="105"/>
        <v/>
      </c>
      <c r="BM130" s="74" t="str">
        <f t="shared" ca="1" si="105"/>
        <v/>
      </c>
      <c r="BN130" s="75" t="str">
        <f t="shared" ca="1" si="105"/>
        <v/>
      </c>
      <c r="BO130" s="75" t="str">
        <f t="shared" ca="1" si="102"/>
        <v/>
      </c>
      <c r="BP130" s="75" t="str">
        <f t="shared" ca="1" si="102"/>
        <v/>
      </c>
      <c r="BQ130" s="75" t="str">
        <f t="shared" ca="1" si="102"/>
        <v/>
      </c>
      <c r="BR130" s="75" t="str">
        <f t="shared" ca="1" si="102"/>
        <v/>
      </c>
      <c r="BS130" s="75" t="str">
        <f t="shared" ca="1" si="102"/>
        <v/>
      </c>
      <c r="BT130" s="75" t="str">
        <f t="shared" ca="1" si="102"/>
        <v/>
      </c>
      <c r="BU130" s="75" t="str">
        <f t="shared" ca="1" si="102"/>
        <v/>
      </c>
      <c r="BV130" s="75" t="str">
        <f t="shared" ca="1" si="102"/>
        <v/>
      </c>
      <c r="BW130" s="75" t="str">
        <f t="shared" ca="1" si="102"/>
        <v/>
      </c>
      <c r="BX130" s="75" t="str">
        <f t="shared" ca="1" si="102"/>
        <v/>
      </c>
      <c r="BY130" s="75" t="str">
        <f t="shared" ca="1" si="102"/>
        <v/>
      </c>
      <c r="BZ130" s="75" t="str">
        <f t="shared" ca="1" si="102"/>
        <v/>
      </c>
      <c r="CA130" s="75" t="str">
        <f t="shared" ca="1" si="102"/>
        <v/>
      </c>
      <c r="CB130" s="75" t="str">
        <f t="shared" ca="1" si="102"/>
        <v/>
      </c>
      <c r="CC130" s="75" t="str">
        <f t="shared" ca="1" si="102"/>
        <v/>
      </c>
      <c r="CD130" s="75" t="str">
        <f t="shared" ca="1" si="102"/>
        <v/>
      </c>
      <c r="CE130" s="75" t="str">
        <f t="shared" ca="1" si="106"/>
        <v/>
      </c>
      <c r="CF130" s="75" t="str">
        <f t="shared" ca="1" si="106"/>
        <v/>
      </c>
      <c r="CG130" s="74" t="str">
        <f t="shared" ca="1" si="106"/>
        <v/>
      </c>
      <c r="CH130" s="74" t="str">
        <f t="shared" ca="1" si="106"/>
        <v/>
      </c>
      <c r="CI130" s="74" t="str">
        <f t="shared" ca="1" si="106"/>
        <v/>
      </c>
      <c r="CJ130" s="74" t="str">
        <f t="shared" ca="1" si="106"/>
        <v/>
      </c>
      <c r="CK130" s="74" t="str">
        <f t="shared" ca="1" si="106"/>
        <v/>
      </c>
      <c r="CL130" s="74" t="str">
        <f t="shared" ca="1" si="106"/>
        <v/>
      </c>
      <c r="CM130" s="74" t="str">
        <f t="shared" ca="1" si="106"/>
        <v/>
      </c>
      <c r="CN130" s="74" t="str">
        <f t="shared" ca="1" si="106"/>
        <v/>
      </c>
      <c r="CO130" s="74" t="str">
        <f t="shared" ca="1" si="106"/>
        <v/>
      </c>
      <c r="CP130" s="74" t="str">
        <f t="shared" ca="1" si="106"/>
        <v/>
      </c>
      <c r="CQ130" s="74" t="str">
        <f t="shared" ca="1" si="106"/>
        <v/>
      </c>
      <c r="CR130" s="74" t="str">
        <f t="shared" ca="1" si="106"/>
        <v/>
      </c>
      <c r="CS130" s="74" t="str">
        <f t="shared" ca="1" si="106"/>
        <v/>
      </c>
      <c r="CT130" s="74" t="str">
        <f t="shared" ca="1" si="106"/>
        <v/>
      </c>
      <c r="CU130" s="74" t="str">
        <f t="shared" ca="1" si="103"/>
        <v/>
      </c>
      <c r="CV130" s="74" t="str">
        <f t="shared" ca="1" si="103"/>
        <v/>
      </c>
      <c r="CW130" s="74" t="str">
        <f t="shared" ca="1" si="103"/>
        <v/>
      </c>
      <c r="CX130" s="74" t="str">
        <f t="shared" ca="1" si="103"/>
        <v/>
      </c>
      <c r="CY130" s="74" t="str">
        <f t="shared" ca="1" si="103"/>
        <v/>
      </c>
      <c r="CZ130" s="75" t="str">
        <f t="shared" ca="1" si="103"/>
        <v/>
      </c>
      <c r="DA130" s="75" t="str">
        <f t="shared" ca="1" si="103"/>
        <v/>
      </c>
      <c r="DB130" s="75" t="str">
        <f t="shared" ca="1" si="103"/>
        <v/>
      </c>
      <c r="DC130" s="75" t="str">
        <f t="shared" ca="1" si="103"/>
        <v/>
      </c>
      <c r="DD130" s="75" t="str">
        <f t="shared" ca="1" si="103"/>
        <v/>
      </c>
      <c r="DE130" s="75" t="str">
        <f t="shared" ca="1" si="103"/>
        <v/>
      </c>
      <c r="DF130" s="75" t="str">
        <f t="shared" ca="1" si="103"/>
        <v/>
      </c>
      <c r="DG130" s="75" t="str">
        <f t="shared" ca="1" si="103"/>
        <v/>
      </c>
      <c r="DH130" s="75" t="str">
        <f t="shared" ca="1" si="103"/>
        <v/>
      </c>
      <c r="DI130" s="75" t="str">
        <f t="shared" ca="1" si="103"/>
        <v/>
      </c>
      <c r="DJ130" s="75" t="str">
        <f t="shared" ca="1" si="103"/>
        <v/>
      </c>
      <c r="DK130" s="75" t="str">
        <f t="shared" ca="1" si="107"/>
        <v/>
      </c>
      <c r="DL130" s="75" t="str">
        <f t="shared" ca="1" si="107"/>
        <v/>
      </c>
      <c r="DM130" s="75" t="str">
        <f t="shared" ca="1" si="107"/>
        <v/>
      </c>
      <c r="DN130" s="75" t="str">
        <f t="shared" ca="1" si="107"/>
        <v/>
      </c>
      <c r="DO130" s="75" t="str">
        <f t="shared" ca="1" si="107"/>
        <v/>
      </c>
      <c r="DP130" s="75" t="str">
        <f t="shared" ca="1" si="107"/>
        <v/>
      </c>
      <c r="DQ130" s="75" t="str">
        <f t="shared" ca="1" si="107"/>
        <v/>
      </c>
      <c r="DR130" s="75" t="str">
        <f t="shared" ca="1" si="107"/>
        <v/>
      </c>
      <c r="DS130" s="74" t="str">
        <f t="shared" ca="1" si="107"/>
        <v/>
      </c>
      <c r="DT130" s="74" t="str">
        <f t="shared" ca="1" si="107"/>
        <v/>
      </c>
      <c r="DU130" s="74" t="str">
        <f t="shared" ca="1" si="107"/>
        <v/>
      </c>
      <c r="DV130" s="74" t="str">
        <f t="shared" ca="1" si="107"/>
        <v/>
      </c>
      <c r="DW130" s="74" t="str">
        <f t="shared" ca="1" si="107"/>
        <v/>
      </c>
      <c r="DX130" s="74" t="str">
        <f t="shared" ca="1" si="107"/>
        <v/>
      </c>
      <c r="DY130" s="74" t="str">
        <f t="shared" ca="1" si="107"/>
        <v/>
      </c>
      <c r="DZ130" s="74" t="str">
        <f t="shared" ca="1" si="107"/>
        <v/>
      </c>
      <c r="EA130" s="74" t="str">
        <f t="shared" ca="1" si="104"/>
        <v/>
      </c>
      <c r="EB130" s="74" t="str">
        <f t="shared" ca="1" si="104"/>
        <v/>
      </c>
      <c r="EC130" s="74" t="str">
        <f t="shared" ca="1" si="104"/>
        <v/>
      </c>
      <c r="ED130" s="74" t="str">
        <f t="shared" ca="1" si="104"/>
        <v/>
      </c>
      <c r="EE130" s="74" t="str">
        <f t="shared" ca="1" si="104"/>
        <v/>
      </c>
      <c r="EF130" s="74" t="str">
        <f t="shared" ca="1" si="104"/>
        <v/>
      </c>
      <c r="EG130" s="74" t="str">
        <f t="shared" ca="1" si="104"/>
        <v/>
      </c>
      <c r="EH130" s="74" t="str">
        <f t="shared" ca="1" si="104"/>
        <v/>
      </c>
      <c r="EI130" s="74" t="str">
        <f t="shared" ca="1" si="104"/>
        <v/>
      </c>
      <c r="EJ130" s="74" t="str">
        <f t="shared" ca="1" si="104"/>
        <v/>
      </c>
      <c r="EK130" s="75" t="str">
        <f t="shared" ca="1" si="104"/>
        <v/>
      </c>
      <c r="EL130" s="75" t="str">
        <f t="shared" ca="1" si="104"/>
        <v/>
      </c>
      <c r="EM130" s="75" t="str">
        <f t="shared" ca="1" si="104"/>
        <v/>
      </c>
      <c r="EN130" s="75" t="str">
        <f t="shared" ca="1" si="104"/>
        <v/>
      </c>
      <c r="EO130" s="75" t="str">
        <f t="shared" ca="1" si="104"/>
        <v/>
      </c>
      <c r="EP130" s="75" t="str">
        <f t="shared" ca="1" si="104"/>
        <v/>
      </c>
      <c r="EQ130" s="75" t="str">
        <f t="shared" ca="1" si="108"/>
        <v/>
      </c>
      <c r="ER130" s="75" t="str">
        <f t="shared" ca="1" si="108"/>
        <v/>
      </c>
      <c r="ES130" s="75" t="str">
        <f t="shared" ca="1" si="108"/>
        <v/>
      </c>
      <c r="ET130" s="75" t="str">
        <f t="shared" ca="1" si="108"/>
        <v/>
      </c>
      <c r="EU130" s="75" t="str">
        <f t="shared" ca="1" si="108"/>
        <v/>
      </c>
      <c r="EV130" s="75" t="str">
        <f t="shared" ca="1" si="108"/>
        <v/>
      </c>
      <c r="EW130" s="75" t="str">
        <f t="shared" ca="1" si="108"/>
        <v/>
      </c>
      <c r="EX130" s="75" t="str">
        <f t="shared" ca="1" si="108"/>
        <v/>
      </c>
      <c r="EY130" s="75" t="str">
        <f t="shared" ca="1" si="108"/>
        <v/>
      </c>
      <c r="EZ130" s="75" t="str">
        <f t="shared" ca="1" si="108"/>
        <v/>
      </c>
      <c r="FA130" s="75" t="str">
        <f t="shared" ca="1" si="108"/>
        <v/>
      </c>
      <c r="FB130" s="75" t="str">
        <f t="shared" ca="1" si="108"/>
        <v/>
      </c>
      <c r="FC130" s="76" t="str">
        <f t="shared" ca="1" si="108"/>
        <v/>
      </c>
      <c r="FD130" s="74" t="str">
        <f t="shared" ca="1" si="108"/>
        <v/>
      </c>
      <c r="FE130" s="74" t="str">
        <f t="shared" ca="1" si="108"/>
        <v/>
      </c>
      <c r="FF130" s="74" t="str">
        <f t="shared" ca="1" si="108"/>
        <v/>
      </c>
      <c r="FG130" s="74" t="str">
        <f t="shared" ca="1" si="101"/>
        <v/>
      </c>
      <c r="FH130" s="74" t="str">
        <f t="shared" ca="1" si="101"/>
        <v/>
      </c>
      <c r="FI130" s="74" t="str">
        <f t="shared" ca="1" si="101"/>
        <v/>
      </c>
      <c r="FJ130" s="74" t="str">
        <f t="shared" ca="1" si="101"/>
        <v/>
      </c>
      <c r="FK130" s="74" t="str">
        <f t="shared" ca="1" si="101"/>
        <v/>
      </c>
      <c r="FL130" s="74" t="str">
        <f t="shared" ca="1" si="101"/>
        <v/>
      </c>
      <c r="FM130" s="74" t="str">
        <f t="shared" ca="1" si="101"/>
        <v/>
      </c>
      <c r="FN130" s="74" t="str">
        <f t="shared" ca="1" si="101"/>
        <v/>
      </c>
      <c r="FO130" s="74" t="str">
        <f t="shared" ca="1" si="101"/>
        <v/>
      </c>
      <c r="FP130" s="74" t="str">
        <f t="shared" ca="1" si="101"/>
        <v/>
      </c>
      <c r="FQ130" s="74" t="str">
        <f t="shared" ca="1" si="101"/>
        <v/>
      </c>
      <c r="FR130" s="74" t="str">
        <f t="shared" ca="1" si="101"/>
        <v/>
      </c>
      <c r="FS130" s="74" t="str">
        <f t="shared" ca="1" si="101"/>
        <v/>
      </c>
      <c r="FT130" s="74" t="str">
        <f t="shared" ca="1" si="101"/>
        <v/>
      </c>
    </row>
    <row r="131" spans="1:176" x14ac:dyDescent="0.35">
      <c r="A131" s="74"/>
      <c r="B131" s="74" t="str">
        <f t="shared" ref="B131:Q132" ca="1" si="109">IF($A131="", "", IF(INDIRECT($A131&amp; "!"&amp; B$2)="", "", INDIRECT($A131&amp; "!"&amp; B$2)))</f>
        <v/>
      </c>
      <c r="C131" s="74" t="str">
        <f t="shared" ca="1" si="109"/>
        <v/>
      </c>
      <c r="D131" s="74" t="str">
        <f t="shared" ca="1" si="109"/>
        <v/>
      </c>
      <c r="E131" s="74" t="str">
        <f t="shared" ca="1" si="109"/>
        <v/>
      </c>
      <c r="F131" t="str">
        <f t="shared" ca="1" si="109"/>
        <v/>
      </c>
      <c r="G131" t="str">
        <f t="shared" ca="1" si="109"/>
        <v/>
      </c>
      <c r="H131" t="str">
        <f t="shared" ca="1" si="109"/>
        <v/>
      </c>
      <c r="I131" s="74" t="str">
        <f t="shared" ca="1" si="109"/>
        <v/>
      </c>
      <c r="J131" s="74" t="str">
        <f t="shared" ca="1" si="109"/>
        <v/>
      </c>
      <c r="K131" s="74" t="str">
        <f t="shared" ca="1" si="109"/>
        <v/>
      </c>
      <c r="L131" s="74" t="str">
        <f t="shared" ca="1" si="109"/>
        <v/>
      </c>
      <c r="M131" s="74" t="str">
        <f t="shared" ca="1" si="109"/>
        <v/>
      </c>
      <c r="N131" s="74" t="str">
        <f t="shared" ca="1" si="109"/>
        <v/>
      </c>
      <c r="O131" s="74" t="str">
        <f t="shared" ca="1" si="109"/>
        <v/>
      </c>
      <c r="P131" s="74" t="str">
        <f t="shared" ca="1" si="109"/>
        <v/>
      </c>
      <c r="Q131" s="74" t="str">
        <f t="shared" ca="1" si="109"/>
        <v/>
      </c>
      <c r="R131" s="74" t="str">
        <f t="shared" ca="1" si="97"/>
        <v/>
      </c>
      <c r="S131" s="74" t="str">
        <f t="shared" ca="1" si="97"/>
        <v/>
      </c>
      <c r="T131" s="74" t="str">
        <f t="shared" ca="1" si="99"/>
        <v/>
      </c>
      <c r="U131" s="74" t="str">
        <f t="shared" ca="1" si="99"/>
        <v/>
      </c>
      <c r="V131" s="74" t="str">
        <f t="shared" ca="1" si="99"/>
        <v/>
      </c>
      <c r="W131" s="74" t="str">
        <f t="shared" ca="1" si="99"/>
        <v/>
      </c>
      <c r="X131" s="74" t="str">
        <f t="shared" ca="1" si="99"/>
        <v/>
      </c>
      <c r="Y131" s="74" t="str">
        <f t="shared" ca="1" si="99"/>
        <v/>
      </c>
      <c r="Z131" s="74" t="str">
        <f t="shared" ca="1" si="99"/>
        <v/>
      </c>
      <c r="AA131" s="74" t="str">
        <f t="shared" ca="1" si="99"/>
        <v/>
      </c>
      <c r="AB131" s="75" t="str">
        <f t="shared" ca="1" si="99"/>
        <v/>
      </c>
      <c r="AC131" s="75" t="str">
        <f t="shared" ca="1" si="99"/>
        <v/>
      </c>
      <c r="AD131" s="75" t="str">
        <f t="shared" ca="1" si="99"/>
        <v/>
      </c>
      <c r="AE131" s="75" t="str">
        <f t="shared" ca="1" si="99"/>
        <v/>
      </c>
      <c r="AF131" s="75" t="str">
        <f t="shared" ca="1" si="99"/>
        <v/>
      </c>
      <c r="AG131" s="75" t="str">
        <f t="shared" ca="1" si="99"/>
        <v/>
      </c>
      <c r="AH131" s="75" t="str">
        <f t="shared" ca="1" si="99"/>
        <v/>
      </c>
      <c r="AI131" s="75" t="str">
        <f t="shared" ca="1" si="100"/>
        <v/>
      </c>
      <c r="AJ131" s="75" t="str">
        <f t="shared" ca="1" si="100"/>
        <v/>
      </c>
      <c r="AK131" s="75" t="str">
        <f t="shared" ca="1" si="100"/>
        <v/>
      </c>
      <c r="AL131" s="75" t="str">
        <f t="shared" ca="1" si="100"/>
        <v/>
      </c>
      <c r="AM131" s="75" t="str">
        <f t="shared" ca="1" si="100"/>
        <v/>
      </c>
      <c r="AN131" s="75" t="str">
        <f t="shared" ca="1" si="100"/>
        <v/>
      </c>
      <c r="AO131" s="75" t="str">
        <f t="shared" ca="1" si="100"/>
        <v/>
      </c>
      <c r="AP131" s="75" t="str">
        <f t="shared" ca="1" si="100"/>
        <v/>
      </c>
      <c r="AQ131" s="75" t="str">
        <f t="shared" ca="1" si="100"/>
        <v/>
      </c>
      <c r="AR131" s="75" t="str">
        <f t="shared" ca="1" si="100"/>
        <v/>
      </c>
      <c r="AS131" s="75" t="str">
        <f t="shared" ca="1" si="100"/>
        <v/>
      </c>
      <c r="AT131" s="75" t="str">
        <f t="shared" ca="1" si="100"/>
        <v/>
      </c>
      <c r="AU131" s="74" t="str">
        <f t="shared" ca="1" si="100"/>
        <v/>
      </c>
      <c r="AV131" s="74" t="str">
        <f t="shared" ca="1" si="100"/>
        <v/>
      </c>
      <c r="AW131" s="74" t="str">
        <f t="shared" ca="1" si="98"/>
        <v/>
      </c>
      <c r="AX131" s="74" t="str">
        <f t="shared" ca="1" si="98"/>
        <v/>
      </c>
      <c r="AY131" s="74" t="str">
        <f t="shared" ca="1" si="105"/>
        <v/>
      </c>
      <c r="AZ131" s="74" t="str">
        <f t="shared" ca="1" si="105"/>
        <v/>
      </c>
      <c r="BA131" s="74" t="str">
        <f t="shared" ca="1" si="105"/>
        <v/>
      </c>
      <c r="BB131" s="74" t="str">
        <f t="shared" ca="1" si="105"/>
        <v/>
      </c>
      <c r="BC131" s="74" t="str">
        <f t="shared" ca="1" si="105"/>
        <v/>
      </c>
      <c r="BD131" s="74" t="str">
        <f t="shared" ca="1" si="105"/>
        <v/>
      </c>
      <c r="BE131" s="74" t="str">
        <f t="shared" ca="1" si="105"/>
        <v/>
      </c>
      <c r="BF131" s="74" t="str">
        <f t="shared" ca="1" si="105"/>
        <v/>
      </c>
      <c r="BG131" s="74" t="str">
        <f t="shared" ca="1" si="105"/>
        <v/>
      </c>
      <c r="BH131" s="74" t="str">
        <f t="shared" ca="1" si="105"/>
        <v/>
      </c>
      <c r="BI131" s="74" t="str">
        <f t="shared" ca="1" si="105"/>
        <v/>
      </c>
      <c r="BJ131" s="74" t="str">
        <f t="shared" ca="1" si="105"/>
        <v/>
      </c>
      <c r="BK131" s="74" t="str">
        <f t="shared" ca="1" si="105"/>
        <v/>
      </c>
      <c r="BL131" s="74" t="str">
        <f t="shared" ca="1" si="105"/>
        <v/>
      </c>
      <c r="BM131" s="74" t="str">
        <f t="shared" ca="1" si="105"/>
        <v/>
      </c>
      <c r="BN131" s="75" t="str">
        <f t="shared" ca="1" si="105"/>
        <v/>
      </c>
      <c r="BO131" s="75" t="str">
        <f t="shared" ca="1" si="102"/>
        <v/>
      </c>
      <c r="BP131" s="75" t="str">
        <f t="shared" ca="1" si="102"/>
        <v/>
      </c>
      <c r="BQ131" s="75" t="str">
        <f t="shared" ca="1" si="102"/>
        <v/>
      </c>
      <c r="BR131" s="75" t="str">
        <f t="shared" ca="1" si="102"/>
        <v/>
      </c>
      <c r="BS131" s="75" t="str">
        <f t="shared" ca="1" si="102"/>
        <v/>
      </c>
      <c r="BT131" s="75" t="str">
        <f t="shared" ca="1" si="102"/>
        <v/>
      </c>
      <c r="BU131" s="75" t="str">
        <f t="shared" ca="1" si="102"/>
        <v/>
      </c>
      <c r="BV131" s="75" t="str">
        <f t="shared" ca="1" si="102"/>
        <v/>
      </c>
      <c r="BW131" s="75" t="str">
        <f t="shared" ca="1" si="102"/>
        <v/>
      </c>
      <c r="BX131" s="75" t="str">
        <f t="shared" ca="1" si="102"/>
        <v/>
      </c>
      <c r="BY131" s="75" t="str">
        <f t="shared" ca="1" si="102"/>
        <v/>
      </c>
      <c r="BZ131" s="75" t="str">
        <f t="shared" ca="1" si="102"/>
        <v/>
      </c>
      <c r="CA131" s="75" t="str">
        <f t="shared" ca="1" si="102"/>
        <v/>
      </c>
      <c r="CB131" s="75" t="str">
        <f t="shared" ca="1" si="102"/>
        <v/>
      </c>
      <c r="CC131" s="75" t="str">
        <f t="shared" ca="1" si="102"/>
        <v/>
      </c>
      <c r="CD131" s="75" t="str">
        <f t="shared" ca="1" si="102"/>
        <v/>
      </c>
      <c r="CE131" s="75" t="str">
        <f t="shared" ca="1" si="106"/>
        <v/>
      </c>
      <c r="CF131" s="75" t="str">
        <f t="shared" ca="1" si="106"/>
        <v/>
      </c>
      <c r="CG131" s="74" t="str">
        <f t="shared" ca="1" si="106"/>
        <v/>
      </c>
      <c r="CH131" s="74" t="str">
        <f t="shared" ca="1" si="106"/>
        <v/>
      </c>
      <c r="CI131" s="74" t="str">
        <f t="shared" ca="1" si="106"/>
        <v/>
      </c>
      <c r="CJ131" s="74" t="str">
        <f t="shared" ca="1" si="106"/>
        <v/>
      </c>
      <c r="CK131" s="74" t="str">
        <f t="shared" ca="1" si="106"/>
        <v/>
      </c>
      <c r="CL131" s="74" t="str">
        <f t="shared" ca="1" si="106"/>
        <v/>
      </c>
      <c r="CM131" s="74" t="str">
        <f t="shared" ca="1" si="106"/>
        <v/>
      </c>
      <c r="CN131" s="74" t="str">
        <f t="shared" ca="1" si="106"/>
        <v/>
      </c>
      <c r="CO131" s="74" t="str">
        <f t="shared" ca="1" si="106"/>
        <v/>
      </c>
      <c r="CP131" s="74" t="str">
        <f t="shared" ca="1" si="106"/>
        <v/>
      </c>
      <c r="CQ131" s="74" t="str">
        <f t="shared" ca="1" si="106"/>
        <v/>
      </c>
      <c r="CR131" s="74" t="str">
        <f t="shared" ca="1" si="106"/>
        <v/>
      </c>
      <c r="CS131" s="74" t="str">
        <f t="shared" ca="1" si="106"/>
        <v/>
      </c>
      <c r="CT131" s="74" t="str">
        <f t="shared" ca="1" si="106"/>
        <v/>
      </c>
      <c r="CU131" s="74" t="str">
        <f t="shared" ca="1" si="103"/>
        <v/>
      </c>
      <c r="CV131" s="74" t="str">
        <f t="shared" ca="1" si="103"/>
        <v/>
      </c>
      <c r="CW131" s="74" t="str">
        <f t="shared" ca="1" si="103"/>
        <v/>
      </c>
      <c r="CX131" s="74" t="str">
        <f t="shared" ca="1" si="103"/>
        <v/>
      </c>
      <c r="CY131" s="74" t="str">
        <f t="shared" ca="1" si="103"/>
        <v/>
      </c>
      <c r="CZ131" s="75" t="str">
        <f t="shared" ca="1" si="103"/>
        <v/>
      </c>
      <c r="DA131" s="75" t="str">
        <f t="shared" ca="1" si="103"/>
        <v/>
      </c>
      <c r="DB131" s="75" t="str">
        <f t="shared" ca="1" si="103"/>
        <v/>
      </c>
      <c r="DC131" s="75" t="str">
        <f t="shared" ca="1" si="103"/>
        <v/>
      </c>
      <c r="DD131" s="75" t="str">
        <f t="shared" ca="1" si="103"/>
        <v/>
      </c>
      <c r="DE131" s="75" t="str">
        <f t="shared" ca="1" si="103"/>
        <v/>
      </c>
      <c r="DF131" s="75" t="str">
        <f t="shared" ca="1" si="103"/>
        <v/>
      </c>
      <c r="DG131" s="75" t="str">
        <f t="shared" ca="1" si="103"/>
        <v/>
      </c>
      <c r="DH131" s="75" t="str">
        <f t="shared" ca="1" si="103"/>
        <v/>
      </c>
      <c r="DI131" s="75" t="str">
        <f t="shared" ca="1" si="103"/>
        <v/>
      </c>
      <c r="DJ131" s="75" t="str">
        <f t="shared" ca="1" si="103"/>
        <v/>
      </c>
      <c r="DK131" s="75" t="str">
        <f t="shared" ca="1" si="107"/>
        <v/>
      </c>
      <c r="DL131" s="75" t="str">
        <f t="shared" ca="1" si="107"/>
        <v/>
      </c>
      <c r="DM131" s="75" t="str">
        <f t="shared" ca="1" si="107"/>
        <v/>
      </c>
      <c r="DN131" s="75" t="str">
        <f t="shared" ca="1" si="107"/>
        <v/>
      </c>
      <c r="DO131" s="75" t="str">
        <f t="shared" ca="1" si="107"/>
        <v/>
      </c>
      <c r="DP131" s="75" t="str">
        <f t="shared" ca="1" si="107"/>
        <v/>
      </c>
      <c r="DQ131" s="75" t="str">
        <f t="shared" ca="1" si="107"/>
        <v/>
      </c>
      <c r="DR131" s="75" t="str">
        <f t="shared" ca="1" si="107"/>
        <v/>
      </c>
      <c r="DS131" s="74" t="str">
        <f t="shared" ca="1" si="107"/>
        <v/>
      </c>
      <c r="DT131" s="74" t="str">
        <f t="shared" ca="1" si="107"/>
        <v/>
      </c>
      <c r="DU131" s="74" t="str">
        <f t="shared" ca="1" si="107"/>
        <v/>
      </c>
      <c r="DV131" s="74" t="str">
        <f t="shared" ca="1" si="107"/>
        <v/>
      </c>
      <c r="DW131" s="74" t="str">
        <f t="shared" ca="1" si="107"/>
        <v/>
      </c>
      <c r="DX131" s="74" t="str">
        <f t="shared" ca="1" si="107"/>
        <v/>
      </c>
      <c r="DY131" s="74" t="str">
        <f t="shared" ca="1" si="107"/>
        <v/>
      </c>
      <c r="DZ131" s="74" t="str">
        <f t="shared" ca="1" si="107"/>
        <v/>
      </c>
      <c r="EA131" s="74" t="str">
        <f t="shared" ca="1" si="104"/>
        <v/>
      </c>
      <c r="EB131" s="74" t="str">
        <f t="shared" ca="1" si="104"/>
        <v/>
      </c>
      <c r="EC131" s="74" t="str">
        <f t="shared" ca="1" si="104"/>
        <v/>
      </c>
      <c r="ED131" s="74" t="str">
        <f t="shared" ca="1" si="104"/>
        <v/>
      </c>
      <c r="EE131" s="74" t="str">
        <f t="shared" ca="1" si="104"/>
        <v/>
      </c>
      <c r="EF131" s="74" t="str">
        <f t="shared" ca="1" si="104"/>
        <v/>
      </c>
      <c r="EG131" s="74" t="str">
        <f t="shared" ca="1" si="104"/>
        <v/>
      </c>
      <c r="EH131" s="74" t="str">
        <f t="shared" ca="1" si="104"/>
        <v/>
      </c>
      <c r="EI131" s="74" t="str">
        <f t="shared" ca="1" si="104"/>
        <v/>
      </c>
      <c r="EJ131" s="74" t="str">
        <f t="shared" ca="1" si="104"/>
        <v/>
      </c>
      <c r="EK131" s="75" t="str">
        <f t="shared" ca="1" si="104"/>
        <v/>
      </c>
      <c r="EL131" s="75" t="str">
        <f t="shared" ca="1" si="104"/>
        <v/>
      </c>
      <c r="EM131" s="75" t="str">
        <f t="shared" ca="1" si="104"/>
        <v/>
      </c>
      <c r="EN131" s="75" t="str">
        <f t="shared" ca="1" si="104"/>
        <v/>
      </c>
      <c r="EO131" s="75" t="str">
        <f t="shared" ca="1" si="104"/>
        <v/>
      </c>
      <c r="EP131" s="75" t="str">
        <f t="shared" ca="1" si="104"/>
        <v/>
      </c>
      <c r="EQ131" s="75" t="str">
        <f t="shared" ca="1" si="108"/>
        <v/>
      </c>
      <c r="ER131" s="75" t="str">
        <f t="shared" ca="1" si="108"/>
        <v/>
      </c>
      <c r="ES131" s="75" t="str">
        <f t="shared" ca="1" si="108"/>
        <v/>
      </c>
      <c r="ET131" s="75" t="str">
        <f t="shared" ca="1" si="108"/>
        <v/>
      </c>
      <c r="EU131" s="75" t="str">
        <f t="shared" ca="1" si="108"/>
        <v/>
      </c>
      <c r="EV131" s="75" t="str">
        <f t="shared" ca="1" si="108"/>
        <v/>
      </c>
      <c r="EW131" s="75" t="str">
        <f t="shared" ca="1" si="108"/>
        <v/>
      </c>
      <c r="EX131" s="75" t="str">
        <f t="shared" ca="1" si="108"/>
        <v/>
      </c>
      <c r="EY131" s="75" t="str">
        <f t="shared" ca="1" si="108"/>
        <v/>
      </c>
      <c r="EZ131" s="75" t="str">
        <f t="shared" ca="1" si="108"/>
        <v/>
      </c>
      <c r="FA131" s="75" t="str">
        <f t="shared" ca="1" si="108"/>
        <v/>
      </c>
      <c r="FB131" s="75" t="str">
        <f t="shared" ca="1" si="108"/>
        <v/>
      </c>
      <c r="FC131" s="76" t="str">
        <f t="shared" ca="1" si="108"/>
        <v/>
      </c>
      <c r="FD131" s="74" t="str">
        <f t="shared" ca="1" si="108"/>
        <v/>
      </c>
      <c r="FE131" s="74" t="str">
        <f t="shared" ca="1" si="108"/>
        <v/>
      </c>
      <c r="FF131" s="74" t="str">
        <f t="shared" ca="1" si="108"/>
        <v/>
      </c>
      <c r="FG131" s="74" t="str">
        <f t="shared" ca="1" si="101"/>
        <v/>
      </c>
      <c r="FH131" s="74" t="str">
        <f t="shared" ca="1" si="101"/>
        <v/>
      </c>
      <c r="FI131" s="74" t="str">
        <f t="shared" ca="1" si="101"/>
        <v/>
      </c>
      <c r="FJ131" s="74" t="str">
        <f t="shared" ca="1" si="101"/>
        <v/>
      </c>
      <c r="FK131" s="74" t="str">
        <f t="shared" ca="1" si="101"/>
        <v/>
      </c>
      <c r="FL131" s="74" t="str">
        <f t="shared" ca="1" si="101"/>
        <v/>
      </c>
      <c r="FM131" s="74" t="str">
        <f t="shared" ca="1" si="101"/>
        <v/>
      </c>
      <c r="FN131" s="74" t="str">
        <f t="shared" ca="1" si="101"/>
        <v/>
      </c>
      <c r="FO131" s="74" t="str">
        <f t="shared" ca="1" si="101"/>
        <v/>
      </c>
      <c r="FP131" s="74" t="str">
        <f t="shared" ca="1" si="101"/>
        <v/>
      </c>
      <c r="FQ131" s="74" t="str">
        <f t="shared" ca="1" si="101"/>
        <v/>
      </c>
      <c r="FR131" s="74" t="str">
        <f t="shared" ca="1" si="101"/>
        <v/>
      </c>
      <c r="FS131" s="74" t="str">
        <f t="shared" ca="1" si="101"/>
        <v/>
      </c>
      <c r="FT131" s="74" t="str">
        <f t="shared" ca="1" si="101"/>
        <v/>
      </c>
    </row>
    <row r="132" spans="1:176" x14ac:dyDescent="0.35">
      <c r="A132" s="74"/>
      <c r="B132" s="74" t="str">
        <f t="shared" ca="1" si="109"/>
        <v/>
      </c>
      <c r="C132" s="74" t="str">
        <f t="shared" ca="1" si="109"/>
        <v/>
      </c>
      <c r="D132" s="74" t="str">
        <f t="shared" ca="1" si="109"/>
        <v/>
      </c>
      <c r="E132" s="74" t="str">
        <f t="shared" ca="1" si="109"/>
        <v/>
      </c>
      <c r="F132" t="str">
        <f ca="1">IF($A132="", "", IF(INDIRECT($A132&amp; "!"&amp; F$2)="", "", INDIRECT($A132&amp; "!"&amp; F$2)))</f>
        <v/>
      </c>
      <c r="G132" t="str">
        <f ca="1">IF($A132="", "", IF(INDIRECT($A132&amp; "!"&amp; G$2)="", "", INDIRECT($A132&amp; "!"&amp; G$2)))</f>
        <v/>
      </c>
      <c r="H132" t="str">
        <f ca="1">IF($A132="", "", IF(INDIRECT($A132&amp; "!"&amp; H$2)="", "", INDIRECT($A132&amp; "!"&amp; H$2)))</f>
        <v/>
      </c>
      <c r="I132" s="74" t="str">
        <f t="shared" ca="1" si="109"/>
        <v/>
      </c>
      <c r="J132" s="74" t="str">
        <f t="shared" ca="1" si="109"/>
        <v/>
      </c>
      <c r="K132" s="74" t="str">
        <f t="shared" ca="1" si="109"/>
        <v/>
      </c>
      <c r="L132" s="74" t="str">
        <f t="shared" ca="1" si="109"/>
        <v/>
      </c>
      <c r="M132" s="74" t="str">
        <f t="shared" ca="1" si="109"/>
        <v/>
      </c>
      <c r="N132" s="74" t="str">
        <f t="shared" ca="1" si="109"/>
        <v/>
      </c>
      <c r="O132" s="74" t="str">
        <f t="shared" ca="1" si="109"/>
        <v/>
      </c>
      <c r="P132" s="74" t="str">
        <f t="shared" ca="1" si="109"/>
        <v/>
      </c>
      <c r="Q132" s="74" t="str">
        <f t="shared" ca="1" si="109"/>
        <v/>
      </c>
      <c r="R132" s="74" t="str">
        <f t="shared" ca="1" si="97"/>
        <v/>
      </c>
      <c r="S132" s="74" t="str">
        <f t="shared" ca="1" si="97"/>
        <v/>
      </c>
      <c r="T132" s="74" t="str">
        <f t="shared" ca="1" si="99"/>
        <v/>
      </c>
      <c r="U132" s="74" t="str">
        <f t="shared" ca="1" si="99"/>
        <v/>
      </c>
      <c r="V132" s="74" t="str">
        <f t="shared" ca="1" si="99"/>
        <v/>
      </c>
      <c r="W132" s="74" t="str">
        <f t="shared" ca="1" si="99"/>
        <v/>
      </c>
      <c r="X132" s="74" t="str">
        <f t="shared" ca="1" si="99"/>
        <v/>
      </c>
      <c r="Y132" s="74" t="str">
        <f t="shared" ca="1" si="99"/>
        <v/>
      </c>
      <c r="Z132" s="74" t="str">
        <f t="shared" ca="1" si="99"/>
        <v/>
      </c>
      <c r="AA132" s="74" t="str">
        <f t="shared" ca="1" si="99"/>
        <v/>
      </c>
      <c r="AB132" s="75" t="str">
        <f t="shared" ca="1" si="99"/>
        <v/>
      </c>
      <c r="AC132" s="75" t="str">
        <f t="shared" ca="1" si="99"/>
        <v/>
      </c>
      <c r="AD132" s="75" t="str">
        <f t="shared" ca="1" si="99"/>
        <v/>
      </c>
      <c r="AE132" s="75" t="str">
        <f t="shared" ca="1" si="99"/>
        <v/>
      </c>
      <c r="AF132" s="75" t="str">
        <f t="shared" ca="1" si="99"/>
        <v/>
      </c>
      <c r="AG132" s="75" t="str">
        <f t="shared" ca="1" si="99"/>
        <v/>
      </c>
      <c r="AH132" s="75" t="str">
        <f t="shared" ca="1" si="99"/>
        <v/>
      </c>
      <c r="AI132" s="75" t="str">
        <f t="shared" ca="1" si="100"/>
        <v/>
      </c>
      <c r="AJ132" s="75" t="str">
        <f t="shared" ca="1" si="100"/>
        <v/>
      </c>
      <c r="AK132" s="75" t="str">
        <f t="shared" ca="1" si="100"/>
        <v/>
      </c>
      <c r="AL132" s="75" t="str">
        <f t="shared" ca="1" si="100"/>
        <v/>
      </c>
      <c r="AM132" s="75" t="str">
        <f t="shared" ca="1" si="100"/>
        <v/>
      </c>
      <c r="AN132" s="75" t="str">
        <f t="shared" ca="1" si="100"/>
        <v/>
      </c>
      <c r="AO132" s="75" t="str">
        <f t="shared" ca="1" si="100"/>
        <v/>
      </c>
      <c r="AP132" s="75" t="str">
        <f t="shared" ca="1" si="100"/>
        <v/>
      </c>
      <c r="AQ132" s="75" t="str">
        <f t="shared" ca="1" si="100"/>
        <v/>
      </c>
      <c r="AR132" s="75" t="str">
        <f t="shared" ca="1" si="100"/>
        <v/>
      </c>
      <c r="AS132" s="75" t="str">
        <f t="shared" ca="1" si="100"/>
        <v/>
      </c>
      <c r="AT132" s="75" t="str">
        <f t="shared" ca="1" si="100"/>
        <v/>
      </c>
      <c r="AU132" s="74" t="str">
        <f t="shared" ca="1" si="100"/>
        <v/>
      </c>
      <c r="AV132" s="74" t="str">
        <f t="shared" ca="1" si="100"/>
        <v/>
      </c>
      <c r="AW132" s="74" t="str">
        <f t="shared" ca="1" si="100"/>
        <v/>
      </c>
      <c r="AX132" s="74" t="str">
        <f t="shared" ca="1" si="100"/>
        <v/>
      </c>
      <c r="AY132" s="74" t="str">
        <f t="shared" ca="1" si="105"/>
        <v/>
      </c>
      <c r="AZ132" s="74" t="str">
        <f t="shared" ca="1" si="105"/>
        <v/>
      </c>
      <c r="BA132" s="74" t="str">
        <f t="shared" ca="1" si="105"/>
        <v/>
      </c>
      <c r="BB132" s="74" t="str">
        <f t="shared" ca="1" si="105"/>
        <v/>
      </c>
      <c r="BC132" s="74" t="str">
        <f t="shared" ca="1" si="105"/>
        <v/>
      </c>
      <c r="BD132" s="74" t="str">
        <f t="shared" ca="1" si="105"/>
        <v/>
      </c>
      <c r="BE132" s="74" t="str">
        <f t="shared" ca="1" si="105"/>
        <v/>
      </c>
      <c r="BF132" s="74" t="str">
        <f t="shared" ca="1" si="105"/>
        <v/>
      </c>
      <c r="BG132" s="74" t="str">
        <f t="shared" ca="1" si="105"/>
        <v/>
      </c>
      <c r="BH132" s="74" t="str">
        <f t="shared" ca="1" si="105"/>
        <v/>
      </c>
      <c r="BI132" s="74" t="str">
        <f t="shared" ca="1" si="105"/>
        <v/>
      </c>
      <c r="BJ132" s="74" t="str">
        <f t="shared" ca="1" si="105"/>
        <v/>
      </c>
      <c r="BK132" s="74" t="str">
        <f t="shared" ca="1" si="105"/>
        <v/>
      </c>
      <c r="BL132" s="74" t="str">
        <f t="shared" ca="1" si="105"/>
        <v/>
      </c>
      <c r="BM132" s="74" t="str">
        <f t="shared" ca="1" si="105"/>
        <v/>
      </c>
      <c r="BN132" s="75" t="str">
        <f t="shared" ca="1" si="105"/>
        <v/>
      </c>
      <c r="BO132" s="75" t="str">
        <f t="shared" ca="1" si="102"/>
        <v/>
      </c>
      <c r="BP132" s="75" t="str">
        <f t="shared" ca="1" si="102"/>
        <v/>
      </c>
      <c r="BQ132" s="75" t="str">
        <f t="shared" ca="1" si="102"/>
        <v/>
      </c>
      <c r="BR132" s="75" t="str">
        <f t="shared" ca="1" si="102"/>
        <v/>
      </c>
      <c r="BS132" s="75" t="str">
        <f t="shared" ca="1" si="102"/>
        <v/>
      </c>
      <c r="BT132" s="75" t="str">
        <f t="shared" ca="1" si="102"/>
        <v/>
      </c>
      <c r="BU132" s="75" t="str">
        <f t="shared" ca="1" si="102"/>
        <v/>
      </c>
      <c r="BV132" s="75" t="str">
        <f t="shared" ca="1" si="102"/>
        <v/>
      </c>
      <c r="BW132" s="75" t="str">
        <f t="shared" ca="1" si="102"/>
        <v/>
      </c>
      <c r="BX132" s="75" t="str">
        <f t="shared" ca="1" si="102"/>
        <v/>
      </c>
      <c r="BY132" s="75" t="str">
        <f t="shared" ca="1" si="102"/>
        <v/>
      </c>
      <c r="BZ132" s="75" t="str">
        <f t="shared" ca="1" si="102"/>
        <v/>
      </c>
      <c r="CA132" s="75" t="str">
        <f t="shared" ca="1" si="102"/>
        <v/>
      </c>
      <c r="CB132" s="75" t="str">
        <f t="shared" ca="1" si="102"/>
        <v/>
      </c>
      <c r="CC132" s="75" t="str">
        <f t="shared" ca="1" si="102"/>
        <v/>
      </c>
      <c r="CD132" s="75" t="str">
        <f t="shared" ca="1" si="102"/>
        <v/>
      </c>
      <c r="CE132" s="75" t="str">
        <f t="shared" ca="1" si="106"/>
        <v/>
      </c>
      <c r="CF132" s="75" t="str">
        <f t="shared" ca="1" si="106"/>
        <v/>
      </c>
      <c r="CG132" s="74" t="str">
        <f t="shared" ca="1" si="106"/>
        <v/>
      </c>
      <c r="CH132" s="74" t="str">
        <f t="shared" ca="1" si="106"/>
        <v/>
      </c>
      <c r="CI132" s="74" t="str">
        <f t="shared" ca="1" si="106"/>
        <v/>
      </c>
      <c r="CJ132" s="74" t="str">
        <f t="shared" ca="1" si="106"/>
        <v/>
      </c>
      <c r="CK132" s="74" t="str">
        <f t="shared" ca="1" si="106"/>
        <v/>
      </c>
      <c r="CL132" s="74" t="str">
        <f t="shared" ca="1" si="106"/>
        <v/>
      </c>
      <c r="CM132" s="74" t="str">
        <f t="shared" ca="1" si="106"/>
        <v/>
      </c>
      <c r="CN132" s="74" t="str">
        <f t="shared" ca="1" si="106"/>
        <v/>
      </c>
      <c r="CO132" s="74" t="str">
        <f t="shared" ca="1" si="106"/>
        <v/>
      </c>
      <c r="CP132" s="74" t="str">
        <f t="shared" ca="1" si="106"/>
        <v/>
      </c>
      <c r="CQ132" s="74" t="str">
        <f t="shared" ca="1" si="106"/>
        <v/>
      </c>
      <c r="CR132" s="74" t="str">
        <f t="shared" ca="1" si="106"/>
        <v/>
      </c>
      <c r="CS132" s="74" t="str">
        <f t="shared" ca="1" si="106"/>
        <v/>
      </c>
      <c r="CT132" s="74" t="str">
        <f t="shared" ca="1" si="106"/>
        <v/>
      </c>
      <c r="CU132" s="74" t="str">
        <f t="shared" ca="1" si="103"/>
        <v/>
      </c>
      <c r="CV132" s="74" t="str">
        <f t="shared" ca="1" si="103"/>
        <v/>
      </c>
      <c r="CW132" s="74" t="str">
        <f t="shared" ca="1" si="103"/>
        <v/>
      </c>
      <c r="CX132" s="74" t="str">
        <f t="shared" ca="1" si="103"/>
        <v/>
      </c>
      <c r="CY132" s="74" t="str">
        <f t="shared" ca="1" si="103"/>
        <v/>
      </c>
      <c r="CZ132" s="75" t="str">
        <f t="shared" ca="1" si="103"/>
        <v/>
      </c>
      <c r="DA132" s="75" t="str">
        <f t="shared" ca="1" si="103"/>
        <v/>
      </c>
      <c r="DB132" s="75" t="str">
        <f t="shared" ca="1" si="103"/>
        <v/>
      </c>
      <c r="DC132" s="75" t="str">
        <f t="shared" ca="1" si="103"/>
        <v/>
      </c>
      <c r="DD132" s="75" t="str">
        <f t="shared" ca="1" si="103"/>
        <v/>
      </c>
      <c r="DE132" s="75" t="str">
        <f t="shared" ca="1" si="103"/>
        <v/>
      </c>
      <c r="DF132" s="75" t="str">
        <f t="shared" ca="1" si="103"/>
        <v/>
      </c>
      <c r="DG132" s="75" t="str">
        <f t="shared" ca="1" si="103"/>
        <v/>
      </c>
      <c r="DH132" s="75" t="str">
        <f t="shared" ca="1" si="103"/>
        <v/>
      </c>
      <c r="DI132" s="75" t="str">
        <f t="shared" ca="1" si="103"/>
        <v/>
      </c>
      <c r="DJ132" s="75" t="str">
        <f t="shared" ca="1" si="103"/>
        <v/>
      </c>
      <c r="DK132" s="75" t="str">
        <f t="shared" ca="1" si="107"/>
        <v/>
      </c>
      <c r="DL132" s="75" t="str">
        <f t="shared" ca="1" si="107"/>
        <v/>
      </c>
      <c r="DM132" s="75" t="str">
        <f t="shared" ca="1" si="107"/>
        <v/>
      </c>
      <c r="DN132" s="75" t="str">
        <f t="shared" ca="1" si="107"/>
        <v/>
      </c>
      <c r="DO132" s="75" t="str">
        <f t="shared" ca="1" si="107"/>
        <v/>
      </c>
      <c r="DP132" s="75" t="str">
        <f t="shared" ca="1" si="107"/>
        <v/>
      </c>
      <c r="DQ132" s="75" t="str">
        <f t="shared" ca="1" si="107"/>
        <v/>
      </c>
      <c r="DR132" s="75" t="str">
        <f t="shared" ca="1" si="107"/>
        <v/>
      </c>
      <c r="DS132" s="74" t="str">
        <f t="shared" ca="1" si="107"/>
        <v/>
      </c>
      <c r="DT132" s="74" t="str">
        <f t="shared" ca="1" si="107"/>
        <v/>
      </c>
      <c r="DU132" s="74" t="str">
        <f t="shared" ca="1" si="107"/>
        <v/>
      </c>
      <c r="DV132" s="74" t="str">
        <f t="shared" ca="1" si="107"/>
        <v/>
      </c>
      <c r="DW132" s="74" t="str">
        <f t="shared" ca="1" si="107"/>
        <v/>
      </c>
      <c r="DX132" s="74" t="str">
        <f t="shared" ca="1" si="107"/>
        <v/>
      </c>
      <c r="DY132" s="74" t="str">
        <f t="shared" ca="1" si="107"/>
        <v/>
      </c>
      <c r="DZ132" s="74" t="str">
        <f t="shared" ca="1" si="107"/>
        <v/>
      </c>
      <c r="EA132" s="74" t="str">
        <f t="shared" ca="1" si="104"/>
        <v/>
      </c>
      <c r="EB132" s="74" t="str">
        <f t="shared" ca="1" si="104"/>
        <v/>
      </c>
      <c r="EC132" s="74" t="str">
        <f t="shared" ca="1" si="104"/>
        <v/>
      </c>
      <c r="ED132" s="74" t="str">
        <f t="shared" ca="1" si="104"/>
        <v/>
      </c>
      <c r="EE132" s="74" t="str">
        <f t="shared" ca="1" si="104"/>
        <v/>
      </c>
      <c r="EF132" s="74" t="str">
        <f t="shared" ca="1" si="104"/>
        <v/>
      </c>
      <c r="EG132" s="74" t="str">
        <f t="shared" ca="1" si="104"/>
        <v/>
      </c>
      <c r="EH132" s="74" t="str">
        <f t="shared" ca="1" si="104"/>
        <v/>
      </c>
      <c r="EI132" s="74" t="str">
        <f t="shared" ca="1" si="104"/>
        <v/>
      </c>
      <c r="EJ132" s="74" t="str">
        <f t="shared" ca="1" si="104"/>
        <v/>
      </c>
      <c r="EK132" s="75" t="str">
        <f t="shared" ca="1" si="104"/>
        <v/>
      </c>
      <c r="EL132" s="75" t="str">
        <f t="shared" ca="1" si="104"/>
        <v/>
      </c>
      <c r="EM132" s="75" t="str">
        <f t="shared" ca="1" si="104"/>
        <v/>
      </c>
      <c r="EN132" s="75" t="str">
        <f t="shared" ca="1" si="104"/>
        <v/>
      </c>
      <c r="EO132" s="75" t="str">
        <f t="shared" ca="1" si="104"/>
        <v/>
      </c>
      <c r="EP132" s="75" t="str">
        <f t="shared" ca="1" si="104"/>
        <v/>
      </c>
      <c r="EQ132" s="75" t="str">
        <f t="shared" ca="1" si="108"/>
        <v/>
      </c>
      <c r="ER132" s="75" t="str">
        <f t="shared" ca="1" si="108"/>
        <v/>
      </c>
      <c r="ES132" s="75" t="str">
        <f t="shared" ca="1" si="108"/>
        <v/>
      </c>
      <c r="ET132" s="75" t="str">
        <f t="shared" ca="1" si="108"/>
        <v/>
      </c>
      <c r="EU132" s="75" t="str">
        <f t="shared" ca="1" si="108"/>
        <v/>
      </c>
      <c r="EV132" s="75" t="str">
        <f t="shared" ca="1" si="108"/>
        <v/>
      </c>
      <c r="EW132" s="75" t="str">
        <f t="shared" ca="1" si="108"/>
        <v/>
      </c>
      <c r="EX132" s="75" t="str">
        <f t="shared" ca="1" si="108"/>
        <v/>
      </c>
      <c r="EY132" s="75" t="str">
        <f t="shared" ca="1" si="108"/>
        <v/>
      </c>
      <c r="EZ132" s="75" t="str">
        <f t="shared" ca="1" si="108"/>
        <v/>
      </c>
      <c r="FA132" s="75" t="str">
        <f t="shared" ca="1" si="108"/>
        <v/>
      </c>
      <c r="FB132" s="75" t="str">
        <f t="shared" ca="1" si="108"/>
        <v/>
      </c>
      <c r="FC132" s="76" t="str">
        <f t="shared" ca="1" si="108"/>
        <v/>
      </c>
      <c r="FD132" s="74" t="str">
        <f t="shared" ca="1" si="108"/>
        <v/>
      </c>
      <c r="FE132" s="74" t="str">
        <f t="shared" ca="1" si="108"/>
        <v/>
      </c>
      <c r="FF132" s="74" t="str">
        <f t="shared" ca="1" si="108"/>
        <v/>
      </c>
      <c r="FG132" s="74" t="str">
        <f t="shared" ca="1" si="101"/>
        <v/>
      </c>
      <c r="FH132" s="74" t="str">
        <f t="shared" ca="1" si="101"/>
        <v/>
      </c>
      <c r="FI132" s="74" t="str">
        <f t="shared" ca="1" si="101"/>
        <v/>
      </c>
      <c r="FJ132" s="74" t="str">
        <f t="shared" ca="1" si="101"/>
        <v/>
      </c>
      <c r="FK132" s="74" t="str">
        <f t="shared" ca="1" si="101"/>
        <v/>
      </c>
      <c r="FL132" s="74" t="str">
        <f t="shared" ca="1" si="101"/>
        <v/>
      </c>
      <c r="FM132" s="74" t="str">
        <f t="shared" ca="1" si="101"/>
        <v/>
      </c>
      <c r="FN132" s="74" t="str">
        <f t="shared" ca="1" si="101"/>
        <v/>
      </c>
      <c r="FO132" s="74" t="str">
        <f t="shared" ca="1" si="101"/>
        <v/>
      </c>
      <c r="FP132" s="74" t="str">
        <f t="shared" ca="1" si="101"/>
        <v/>
      </c>
      <c r="FQ132" s="74" t="str">
        <f t="shared" ca="1" si="101"/>
        <v/>
      </c>
      <c r="FR132" s="74" t="str">
        <f t="shared" ca="1" si="101"/>
        <v/>
      </c>
      <c r="FS132" s="74" t="str">
        <f t="shared" ca="1" si="101"/>
        <v/>
      </c>
      <c r="FT132" s="74" t="str">
        <f t="shared" ca="1" si="101"/>
        <v/>
      </c>
    </row>
    <row r="133" spans="1:176" x14ac:dyDescent="0.35">
      <c r="A133" s="74"/>
    </row>
    <row r="134" spans="1:176" x14ac:dyDescent="0.35">
      <c r="A134" s="7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56F12946469E4FBF86A6881B5CE42C" ma:contentTypeVersion="0" ma:contentTypeDescription="Create a new document." ma:contentTypeScope="" ma:versionID="f6a3249720dd2c3c2f8a766cb65a6bf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F34AA0E-A8AB-42FC-9F01-4783E6213D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02D4B68A-85C1-4253-9937-368057B3B508}">
  <ds:schemaRefs>
    <ds:schemaRef ds:uri="http://schemas.microsoft.com/office/2006/metadata/longProperties"/>
  </ds:schemaRefs>
</ds:datastoreItem>
</file>

<file path=customXml/itemProps3.xml><?xml version="1.0" encoding="utf-8"?>
<ds:datastoreItem xmlns:ds="http://schemas.openxmlformats.org/officeDocument/2006/customXml" ds:itemID="{1EC96011-5B0A-4A40-84C3-A7D5D96BC4B4}">
  <ds:schemaRefs>
    <ds:schemaRef ds:uri="http://schemas.microsoft.com/sharepoint/v3/contenttype/forms"/>
  </ds:schemaRefs>
</ds:datastoreItem>
</file>

<file path=customXml/itemProps4.xml><?xml version="1.0" encoding="utf-8"?>
<ds:datastoreItem xmlns:ds="http://schemas.openxmlformats.org/officeDocument/2006/customXml" ds:itemID="{B731BA31-CC1E-4594-B99F-B07A2808A4AC}">
  <ds:schemaRefs>
    <ds:schemaRef ds:uri="http://schemas.microsoft.com/office/2006/documentManagement/types"/>
    <ds:schemaRef ds:uri="http://schemas.openxmlformats.org/package/2006/metadata/core-properties"/>
    <ds:schemaRef ds:uri="http://purl.org/dc/terms/"/>
    <ds:schemaRef ds:uri="http://purl.org/dc/elements/1.1/"/>
    <ds:schemaRef ds:uri="http://schemas.microsoft.com/office/2006/metadata/properties"/>
    <ds:schemaRef ds:uri="http://purl.org/dc/dcmityp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Notes</vt:lpstr>
      <vt:lpstr>ProjectScoresTBL</vt:lpstr>
      <vt:lpstr>ProjectCommentsTBL</vt:lpstr>
      <vt:lpstr>ScheduleTBL</vt:lpstr>
      <vt:lpstr>Agenda</vt:lpstr>
      <vt:lpstr>187</vt:lpstr>
      <vt:lpstr>237</vt:lpstr>
      <vt:lpstr>238</vt:lpstr>
      <vt:lpstr>EvalDB</vt:lpstr>
    </vt:vector>
  </TitlesOfParts>
  <Company>SRA International,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eugenie</dc:creator>
  <cp:lastModifiedBy>Skudneski, Sandyn</cp:lastModifiedBy>
  <cp:lastPrinted>2017-02-13T22:39:42Z</cp:lastPrinted>
  <dcterms:created xsi:type="dcterms:W3CDTF">2012-03-12T16:08:02Z</dcterms:created>
  <dcterms:modified xsi:type="dcterms:W3CDTF">2017-03-18T05:48:08Z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0x0101001156F12946469E4FBF86A6881B5CE42C</vt:lpwstr>
  </property>
</Properties>
</file>